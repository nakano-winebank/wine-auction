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ダッシュボード" sheetId="1" state="visible" r:id="rId1"/>
    <sheet xmlns:r="http://schemas.openxmlformats.org/officeDocument/2006/relationships" name="前提" sheetId="2" state="visible" r:id="rId2"/>
    <sheet xmlns:r="http://schemas.openxmlformats.org/officeDocument/2006/relationships" name="会員・預かり資産" sheetId="3" state="visible" r:id="rId3"/>
    <sheet xmlns:r="http://schemas.openxmlformats.org/officeDocument/2006/relationships" name="マイル計算" sheetId="4" state="visible" r:id="rId4"/>
    <sheet xmlns:r="http://schemas.openxmlformats.org/officeDocument/2006/relationships" name="損益計算書" sheetId="5" state="visible" r:id="rId5"/>
    <sheet xmlns:r="http://schemas.openxmlformats.org/officeDocument/2006/relationships" name="キャッシュフロー" sheetId="6" state="visible" r:id="rId6"/>
    <sheet xmlns:r="http://schemas.openxmlformats.org/officeDocument/2006/relationships" name="感度分析" sheetId="7" state="visible" r:id="rId7"/>
    <sheet xmlns:r="http://schemas.openxmlformats.org/officeDocument/2006/relationships" name="会員メリット" sheetId="8" state="visible" r:id="rId8"/>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10">
    <font>
      <name val="Calibri"/>
      <family val="2"/>
      <color theme="1"/>
      <sz val="11"/>
      <scheme val="minor"/>
    </font>
    <font>
      <b val="1"/>
      <color rgb="007B1E3A"/>
      <sz val="14"/>
    </font>
    <font>
      <color rgb="00666666"/>
      <sz val="9"/>
    </font>
    <font>
      <b val="1"/>
      <color rgb="007B1E3A"/>
      <sz val="11"/>
    </font>
    <font>
      <b val="1"/>
      <color rgb="00FFFFFF"/>
      <sz val="10"/>
    </font>
    <font>
      <b val="1"/>
    </font>
    <font>
      <b val="1"/>
      <color rgb="007B1E3A"/>
      <sz val="9"/>
    </font>
    <font>
      <b val="1"/>
      <color rgb="00666666"/>
      <sz val="9"/>
    </font>
    <font>
      <b val="1"/>
      <color rgb="007B1E3A"/>
      <sz val="16"/>
    </font>
    <font>
      <sz val="9"/>
    </font>
  </fonts>
  <fills count="6">
    <fill>
      <patternFill/>
    </fill>
    <fill>
      <patternFill patternType="gray125"/>
    </fill>
    <fill>
      <patternFill patternType="solid">
        <fgColor rgb="00EFE7EA"/>
      </patternFill>
    </fill>
    <fill>
      <patternFill patternType="solid">
        <fgColor rgb="007B1E3A"/>
      </patternFill>
    </fill>
    <fill>
      <patternFill patternType="solid">
        <fgColor rgb="00FFF6D5"/>
      </patternFill>
    </fill>
    <fill>
      <patternFill patternType="solid">
        <fgColor rgb="00F4EF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7" fillId="0" borderId="0" pivotButton="0" quotePrefix="0" xfId="0"/>
    <xf numFmtId="3" fontId="8" fillId="5" borderId="0" pivotButton="0" quotePrefix="0" xfId="0"/>
    <xf numFmtId="166" fontId="8" fillId="5" borderId="0" pivotButton="0" quotePrefix="0" xfId="0"/>
    <xf numFmtId="10" fontId="8" fillId="5" borderId="0" pivotButton="0" quotePrefix="0" xfId="0"/>
    <xf numFmtId="164" fontId="8" fillId="5" borderId="0" pivotButton="0" quotePrefix="0" xfId="0"/>
    <xf numFmtId="49" fontId="8" fillId="5" borderId="0" pivotButton="0" quotePrefix="0" xfId="0"/>
    <xf numFmtId="0" fontId="3" fillId="2" borderId="0" pivotButton="0" quotePrefix="0" xfId="0"/>
    <xf numFmtId="0" fontId="4" fillId="3" borderId="1" applyAlignment="1" pivotButton="0" quotePrefix="0" xfId="0">
      <alignment horizontal="center" vertical="center"/>
    </xf>
    <xf numFmtId="0" fontId="0" fillId="0" borderId="1" pivotButton="0" quotePrefix="0" xfId="0"/>
    <xf numFmtId="3" fontId="0" fillId="0" borderId="1" pivotButton="0" quotePrefix="0" xfId="0"/>
    <xf numFmtId="3" fontId="5" fillId="0" borderId="1" pivotButton="0" quotePrefix="0" xfId="0"/>
    <xf numFmtId="0" fontId="9" fillId="0" borderId="0" pivotButton="0" quotePrefix="0" xfId="0"/>
    <xf numFmtId="0" fontId="5" fillId="0" borderId="1" pivotButton="0" quotePrefix="0" xfId="0"/>
    <xf numFmtId="3" fontId="0" fillId="4" borderId="1" pivotButton="0" quotePrefix="0" xfId="0"/>
    <xf numFmtId="10" fontId="0" fillId="4" borderId="1" pivotButton="0" quotePrefix="0" xfId="0"/>
    <xf numFmtId="0" fontId="5" fillId="0" borderId="0" pivotButton="0" quotePrefix="0" xfId="0"/>
    <xf numFmtId="3" fontId="5" fillId="0" borderId="0" pivotButton="0" quotePrefix="0" xfId="0"/>
    <xf numFmtId="10" fontId="0" fillId="0" borderId="0" pivotButton="0" quotePrefix="0" xfId="0"/>
    <xf numFmtId="164" fontId="0" fillId="4" borderId="0" pivotButton="0" quotePrefix="0" xfId="0"/>
    <xf numFmtId="3" fontId="0" fillId="0" borderId="0" pivotButton="0" quotePrefix="0" xfId="0"/>
    <xf numFmtId="164" fontId="0" fillId="4" borderId="1" pivotButton="0" quotePrefix="0" xfId="0"/>
    <xf numFmtId="165" fontId="0" fillId="4" borderId="1" pivotButton="0" quotePrefix="0" xfId="0"/>
    <xf numFmtId="164" fontId="0" fillId="0" borderId="0" pivotButton="0" quotePrefix="0" xfId="0"/>
    <xf numFmtId="2" fontId="0" fillId="0" borderId="0" pivotButton="0" quotePrefix="0" xfId="0"/>
    <xf numFmtId="10" fontId="5" fillId="0" borderId="0" pivotButton="0" quotePrefix="0" xfId="0"/>
    <xf numFmtId="164" fontId="5" fillId="0" borderId="0" pivotButton="0" quotePrefix="0" xfId="0"/>
    <xf numFmtId="164" fontId="0" fillId="0" borderId="1" pivotButton="0" quotePrefix="0" xfId="0"/>
    <xf numFmtId="2" fontId="0" fillId="4" borderId="1" pivotButton="0" quotePrefix="0" xfId="0"/>
    <xf numFmtId="166" fontId="0" fillId="0" borderId="1" pivotButton="0" quotePrefix="0" xfId="0"/>
    <xf numFmtId="165" fontId="5" fillId="0" borderId="0" pivotButton="0" quotePrefix="0" xfId="0"/>
    <xf numFmtId="166" fontId="5" fillId="0" borderId="0" pivotButton="0" quotePrefix="0" xfId="0"/>
    <xf numFmtId="166" fontId="5" fillId="5" borderId="0" pivotButton="0" quotePrefix="0" xfId="0"/>
    <xf numFmtId="167" fontId="0" fillId="0" borderId="0" pivotButton="0" quotePrefix="0" xfId="0"/>
    <xf numFmtId="3" fontId="5" fillId="5" borderId="0" pivotButton="0" quotePrefix="0" xfId="0"/>
    <xf numFmtId="0" fontId="4" fillId="3" borderId="0" applyAlignment="1" pivotButton="0" quotePrefix="0" xfId="0">
      <alignment horizontal="center" vertical="center"/>
    </xf>
    <xf numFmtId="167" fontId="5" fillId="0" borderId="0" pivotButton="0" quotePrefix="0" xfId="0"/>
    <xf numFmtId="167" fontId="5" fillId="5" borderId="0" pivotButton="0" quotePrefix="0" xfId="0"/>
    <xf numFmtId="167" fontId="0" fillId="0" borderId="1" pivotButton="0" quotePrefix="0" xfId="0"/>
    <xf numFmtId="0" fontId="5" fillId="5" borderId="0" pivotButton="0" quotePrefix="0" xfId="0"/>
    <xf numFmtId="10" fontId="0" fillId="0" borderId="1" pivotButton="0" quotePrefix="0" xfId="0"/>
    <xf numFmtId="0" fontId="6" fillId="0" borderId="0" pivotButton="0" quotePrefix="0" xfId="0"/>
    <xf numFmtId="164" fontId="5" fillId="5" borderId="0" pivotButton="0" quotePrefix="0" xfId="0"/>
    <xf numFmtId="166" fontId="0" fillId="0" borderId="0" pivotButton="0" quotePrefix="0" xfId="0"/>
    <xf numFmtId="10" fontId="5" fillId="5" borderId="0" pivotButton="0" quotePrefix="0" xfId="0"/>
    <xf numFmtId="2"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6" customWidth="1" min="2" max="2"/>
    <col width="22" customWidth="1" min="3" max="3"/>
    <col width="16" customWidth="1" min="4" max="4"/>
    <col width="22" customWidth="1" min="5" max="5"/>
    <col width="16" customWidth="1" min="6" max="6"/>
    <col width="24" customWidth="1" min="7" max="7"/>
    <col width="16" customWidth="1" min="8" max="8"/>
  </cols>
  <sheetData>
    <row r="1">
      <c r="A1" s="1" t="inlineStr">
        <is>
          <t>WineBank ワインマイル｜3か年PL ダッシュボード</t>
        </is>
      </c>
    </row>
    <row r="2">
      <c r="A2" s="2" t="inlineStr">
        <is>
          <t>成功報酬は未実現のため経常利益と分けて表示。単位：万円</t>
        </is>
      </c>
    </row>
    <row r="4">
      <c r="A4" s="3" t="inlineStr">
        <is>
          <t>3年末 預かり資産</t>
        </is>
      </c>
      <c r="C4" s="3" t="inlineStr">
        <is>
          <t>3年末 会員数</t>
        </is>
      </c>
      <c r="E4" s="3" t="inlineStr">
        <is>
          <t>3年累計 売上高</t>
        </is>
      </c>
      <c r="G4" s="3" t="inlineStr">
        <is>
          <t>3年累計 経常利益</t>
        </is>
      </c>
    </row>
    <row r="5">
      <c r="A5" s="4">
        <f>会員・預かり資産!D28</f>
        <v/>
      </c>
      <c r="C5" s="4">
        <f>会員・預かり資産!D22</f>
        <v/>
      </c>
      <c r="E5" s="4">
        <f>損益計算書!E9</f>
        <v/>
      </c>
      <c r="G5" s="4">
        <f>損益計算書!E28</f>
        <v/>
      </c>
    </row>
    <row r="7">
      <c r="A7" s="3" t="inlineStr">
        <is>
          <t>3年累計 経済利益（成功報酬込）</t>
        </is>
      </c>
      <c r="C7" s="3" t="inlineStr">
        <is>
          <t>発行1マイル 当社期待原価</t>
        </is>
      </c>
      <c r="E7" s="3" t="inlineStr">
        <is>
          <t>ストック利幅（成功報酬前）</t>
        </is>
      </c>
      <c r="G7" s="3" t="inlineStr">
        <is>
          <t>ストック利幅（成功報酬込）</t>
        </is>
      </c>
    </row>
    <row r="8">
      <c r="A8" s="4">
        <f>損益計算書!E33</f>
        <v/>
      </c>
      <c r="C8" s="5">
        <f>'前提'!$B$51</f>
        <v/>
      </c>
      <c r="E8" s="6">
        <f>会員・預かり資産!D42</f>
        <v/>
      </c>
      <c r="G8" s="6">
        <f>会員・預かり資産!D43</f>
        <v/>
      </c>
    </row>
    <row r="10">
      <c r="A10" s="3" t="inlineStr">
        <is>
          <t>100万会員 実質メリット率</t>
        </is>
      </c>
      <c r="C10" s="3" t="inlineStr">
        <is>
          <t>フロー（販売粗利）依存度</t>
        </is>
      </c>
      <c r="E10" s="3" t="inlineStr">
        <is>
          <t>3年累計 純キャッシュフロー</t>
        </is>
      </c>
      <c r="G10" s="3" t="inlineStr">
        <is>
          <t>損益分岐マイル原価 vs 実績</t>
        </is>
      </c>
    </row>
    <row r="11">
      <c r="A11" s="6">
        <f>会員メリット!B17</f>
        <v/>
      </c>
      <c r="C11" s="7">
        <f>損益計算書!E41</f>
        <v/>
      </c>
      <c r="E11" s="4">
        <f>キャッシュフロー!E11</f>
        <v/>
      </c>
      <c r="G11" s="8">
        <f>TEXT(損益計算書!D48,"0.000")&amp;" / "&amp;TEXT(損益計算書!D49,"0.000")</f>
        <v/>
      </c>
    </row>
    <row r="14">
      <c r="A14" s="9" t="inlineStr">
        <is>
          <t>■ 年度別サマリ</t>
        </is>
      </c>
    </row>
    <row r="15">
      <c r="A15" s="10" t="inlineStr">
        <is>
          <t>指標</t>
        </is>
      </c>
      <c r="B15" s="10" t="inlineStr">
        <is>
          <t>1年目</t>
        </is>
      </c>
      <c r="C15" s="10" t="inlineStr">
        <is>
          <t>2年目</t>
        </is>
      </c>
      <c r="D15" s="10" t="inlineStr">
        <is>
          <t>3年目</t>
        </is>
      </c>
      <c r="E15" s="10" t="inlineStr">
        <is>
          <t>3年累計</t>
        </is>
      </c>
    </row>
    <row r="16">
      <c r="A16" s="11" t="inlineStr">
        <is>
          <t>売上高</t>
        </is>
      </c>
      <c r="B16" s="12">
        <f>損益計算書!B9</f>
        <v/>
      </c>
      <c r="C16" s="12">
        <f>損益計算書!C9</f>
        <v/>
      </c>
      <c r="D16" s="12">
        <f>損益計算書!D9</f>
        <v/>
      </c>
      <c r="E16" s="13">
        <f>SUM(B16:D16)</f>
        <v/>
      </c>
    </row>
    <row r="17">
      <c r="A17" s="11" t="inlineStr">
        <is>
          <t>営業利益</t>
        </is>
      </c>
      <c r="B17" s="12">
        <f>損益計算書!B24</f>
        <v/>
      </c>
      <c r="C17" s="12">
        <f>損益計算書!C24</f>
        <v/>
      </c>
      <c r="D17" s="12">
        <f>損益計算書!D24</f>
        <v/>
      </c>
      <c r="E17" s="13">
        <f>SUM(B17:D17)</f>
        <v/>
      </c>
    </row>
    <row r="18">
      <c r="A18" s="11" t="inlineStr">
        <is>
          <t>経常利益</t>
        </is>
      </c>
      <c r="B18" s="12">
        <f>損益計算書!B28</f>
        <v/>
      </c>
      <c r="C18" s="12">
        <f>損益計算書!C28</f>
        <v/>
      </c>
      <c r="D18" s="12">
        <f>損益計算書!D28</f>
        <v/>
      </c>
      <c r="E18" s="13">
        <f>SUM(B18:D18)</f>
        <v/>
      </c>
    </row>
    <row r="19">
      <c r="A19" s="11" t="inlineStr">
        <is>
          <t>経済利益（成功報酬発生込）</t>
        </is>
      </c>
      <c r="B19" s="12">
        <f>損益計算書!B33</f>
        <v/>
      </c>
      <c r="C19" s="12">
        <f>損益計算書!C33</f>
        <v/>
      </c>
      <c r="D19" s="12">
        <f>損益計算書!D33</f>
        <v/>
      </c>
      <c r="E19" s="13">
        <f>SUM(B19:D19)</f>
        <v/>
      </c>
    </row>
    <row r="20">
      <c r="A20" s="11" t="inlineStr">
        <is>
          <t>ストック損益（成功報酬前）</t>
        </is>
      </c>
      <c r="B20" s="12">
        <f>会員・預かり資産!B40</f>
        <v/>
      </c>
      <c r="C20" s="12">
        <f>会員・預かり資産!C40</f>
        <v/>
      </c>
      <c r="D20" s="12">
        <f>会員・預かり資産!D40</f>
        <v/>
      </c>
      <c r="E20" s="13">
        <f>SUM(B20:D20)</f>
        <v/>
      </c>
    </row>
    <row r="21">
      <c r="A21" s="11" t="inlineStr">
        <is>
          <t>ストック経済損益（成功報酬込）</t>
        </is>
      </c>
      <c r="B21" s="12">
        <f>会員・預かり資産!B41</f>
        <v/>
      </c>
      <c r="C21" s="12">
        <f>会員・預かり資産!C41</f>
        <v/>
      </c>
      <c r="D21" s="12">
        <f>会員・預かり資産!D41</f>
        <v/>
      </c>
      <c r="E21" s="13">
        <f>SUM(B21:D21)</f>
        <v/>
      </c>
    </row>
    <row r="22">
      <c r="A22" s="11" t="inlineStr">
        <is>
          <t>マイル費用（P/L）</t>
        </is>
      </c>
      <c r="B22" s="12">
        <f>マイル計算!B13</f>
        <v/>
      </c>
      <c r="C22" s="12">
        <f>マイル計算!C13</f>
        <v/>
      </c>
      <c r="D22" s="12">
        <f>マイル計算!D13</f>
        <v/>
      </c>
      <c r="E22" s="13">
        <f>SUM(B22:D22)</f>
        <v/>
      </c>
    </row>
    <row r="23">
      <c r="A23" s="11" t="inlineStr">
        <is>
          <t>実利用マイル原価（現金）</t>
        </is>
      </c>
      <c r="B23" s="12">
        <f>マイル計算!B14</f>
        <v/>
      </c>
      <c r="C23" s="12">
        <f>マイル計算!C14</f>
        <v/>
      </c>
      <c r="D23" s="12">
        <f>マイル計算!D14</f>
        <v/>
      </c>
      <c r="E23" s="13">
        <f>SUM(B23:D23)</f>
        <v/>
      </c>
    </row>
    <row r="24">
      <c r="A24" s="11" t="inlineStr">
        <is>
          <t>純キャッシュフロー</t>
        </is>
      </c>
      <c r="B24" s="12">
        <f>キャッシュフロー!B11</f>
        <v/>
      </c>
      <c r="C24" s="12">
        <f>キャッシュフロー!C11</f>
        <v/>
      </c>
      <c r="D24" s="12">
        <f>キャッシュフロー!D11</f>
        <v/>
      </c>
      <c r="E24" s="13">
        <f>SUM(B24:D24)</f>
        <v/>
      </c>
    </row>
    <row r="25">
      <c r="A25" s="11" t="inlineStr">
        <is>
          <t>期末預かり資産</t>
        </is>
      </c>
      <c r="B25" s="12">
        <f>会員・預かり資産!B28</f>
        <v/>
      </c>
      <c r="C25" s="12">
        <f>会員・預かり資産!C28</f>
        <v/>
      </c>
      <c r="D25" s="12">
        <f>会員・預かり資産!D28</f>
        <v/>
      </c>
      <c r="E25" s="13">
        <f>D25</f>
        <v/>
      </c>
    </row>
    <row r="27">
      <c r="A27" s="9" t="inlineStr">
        <is>
          <t>■ 中谷氏コメントへの回答</t>
        </is>
      </c>
    </row>
    <row r="28">
      <c r="A28" s="14">
        <f>"Q1「レストランは1.0でなく0.8でもよいのでは」→ 感度分析Aの通り、0.8にすると当社利幅は改善するが、"&amp;"100万会員の実質メリットは "&amp;TEXT(感度分析!F6,"#,##0")&amp;"円 → "&amp;TEXT(感度分析!F8,"#,##0")&amp;"円へ縮小する。"</f>
        <v/>
      </c>
    </row>
    <row r="29">
      <c r="A29" s="14">
        <f>"   代わりに感度分析Bの通り、レートは1.0のまま原価率を90%→55%（平日オフピーク枠に限定）にすれば、"&amp;"利幅は "&amp;TEXT(感度分析!C6,"0.00%")&amp;" → "&amp;TEXT(感度分析!C15,"0.00%")&amp;" と、0.8にする以上の改善を会員メリットを一切削らずに得られる。"</f>
        <v/>
      </c>
    </row>
    <row r="30">
      <c r="A30" s="14" t="inlineStr">
        <is>
          <t>Q2「マイル消化98%＋新規流入を織り込んでも回るか」→ 全費目が預かり資産に対して線形のため、ストック利幅は規模によらず一定。上表の通り3年とも同水準。</t>
        </is>
      </c>
    </row>
    <row r="31">
      <c r="A31" s="14">
        <f>"Q3「PL上で回収できるか」→ フロー（ワイン販売粗利）依存度は "&amp;TEXT(損益計算書!E41,"0.0%")&amp;"。"&amp;"100%を下回るほどストック単体で自立していることを意味する。"</f>
        <v/>
      </c>
    </row>
    <row r="32">
      <c r="A32" s="14" t="inlineStr">
        <is>
          <t>前提の更新点：保管料1.5%→1.05%（鈴与実額）／還元率3・4・5%→3.5・4.5・5.5%／成功報酬30%→25%／オークション買い手手数料を収益計上／ワインスクール・交流イベント（原価率50%）を交換先に追加。</t>
        </is>
      </c>
    </row>
    <row r="33">
      <c r="A33" s="14" t="inlineStr">
        <is>
          <t>本ファイルは事業採算確認用の管理PLです。法定会計ではマイルを履行義務として収益繰延する可能性があるため、税理士・会計士の確認が必要です。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34" customWidth="1" min="1" max="1"/>
    <col width="16" customWidth="1" min="2" max="2"/>
    <col width="18" customWidth="1" min="3" max="3"/>
    <col width="14" customWidth="1" min="4" max="4"/>
    <col width="14" customWidth="1" min="5" max="5"/>
    <col width="20" customWidth="1" min="6" max="6"/>
    <col width="20" customWidth="1" min="7" max="7"/>
    <col width="74" customWidth="1" min="8" max="8"/>
  </cols>
  <sheetData>
    <row r="1">
      <c r="A1" s="1" t="inlineStr">
        <is>
          <t>WineBank ワインマイル｜3か年PL 前提条件</t>
        </is>
      </c>
    </row>
    <row r="2">
      <c r="A2" s="2" t="inlineStr">
        <is>
          <t>黄色セル＝入力値（変更可）。金額単位：万円。中谷氏作成版の構造を踏襲し、8/31以降に合意した前提へ更新。</t>
        </is>
      </c>
    </row>
    <row r="4">
      <c r="A4" s="9" t="inlineStr">
        <is>
          <t>■ ランク別プラン・3か年販売計画</t>
        </is>
      </c>
    </row>
    <row r="5">
      <c r="A5" s="10" t="inlineStr">
        <is>
          <t>ランク</t>
        </is>
      </c>
      <c r="B5" s="10" t="inlineStr">
        <is>
          <t>1人あたり預かり額</t>
        </is>
      </c>
      <c r="C5" s="10" t="inlineStr">
        <is>
          <t>管理・保管手数料率</t>
        </is>
      </c>
      <c r="D5" s="10" t="inlineStr">
        <is>
          <t>マイル還元率</t>
        </is>
      </c>
      <c r="E5" s="10" t="inlineStr">
        <is>
          <t>1年目 新規人数</t>
        </is>
      </c>
      <c r="F5" s="10" t="inlineStr">
        <is>
          <t>2年目 新規人数</t>
        </is>
      </c>
      <c r="G5" s="10" t="inlineStr">
        <is>
          <t>3年目 新規人数</t>
        </is>
      </c>
      <c r="H5" s="10" t="inlineStr">
        <is>
          <t>出典・備考</t>
        </is>
      </c>
    </row>
    <row r="6">
      <c r="A6" s="15" t="inlineStr">
        <is>
          <t>PRESTIGE</t>
        </is>
      </c>
      <c r="B6" s="16" t="n">
        <v>100</v>
      </c>
      <c r="C6" s="17" t="n">
        <v>0.025</v>
      </c>
      <c r="D6" s="17" t="n">
        <v>0.035</v>
      </c>
      <c r="E6" s="16" t="n">
        <v>30</v>
      </c>
      <c r="F6" s="16" t="n">
        <v>52</v>
      </c>
      <c r="G6" s="16" t="n">
        <v>70</v>
      </c>
      <c r="H6" s="2" t="inlineStr">
        <is>
          <t>還元率は 3.5/4.5/5.5%（100万会員の額面メリットを1.0%確保するため引上げ済）</t>
        </is>
      </c>
    </row>
    <row r="7">
      <c r="A7" s="15" t="inlineStr">
        <is>
          <t>GOLD</t>
        </is>
      </c>
      <c r="B7" s="16" t="n">
        <v>400</v>
      </c>
      <c r="C7" s="17" t="n">
        <v>0.025</v>
      </c>
      <c r="D7" s="17" t="n">
        <v>0.045</v>
      </c>
      <c r="E7" s="16" t="n">
        <v>5</v>
      </c>
      <c r="F7" s="16" t="n">
        <v>10</v>
      </c>
      <c r="G7" s="16" t="n">
        <v>15</v>
      </c>
      <c r="H7" s="2" t="inlineStr">
        <is>
          <t>還元率は 3.5/4.5/5.5%（100万会員の額面メリットを1.0%確保するため引上げ済）</t>
        </is>
      </c>
    </row>
    <row r="8">
      <c r="A8" s="15" t="inlineStr">
        <is>
          <t>SIGNATURE</t>
        </is>
      </c>
      <c r="B8" s="16" t="n">
        <v>1000</v>
      </c>
      <c r="C8" s="17" t="n">
        <v>0.025</v>
      </c>
      <c r="D8" s="17" t="n">
        <v>0.055</v>
      </c>
      <c r="E8" s="16" t="n">
        <v>2</v>
      </c>
      <c r="F8" s="16" t="n">
        <v>3</v>
      </c>
      <c r="G8" s="16" t="n">
        <v>5</v>
      </c>
      <c r="H8" s="2" t="inlineStr">
        <is>
          <t>還元率は 3.5/4.5/5.5%（100万会員の額面メリットを1.0%確保するため引上げ済）</t>
        </is>
      </c>
    </row>
    <row r="9">
      <c r="A9" s="18" t="inlineStr">
        <is>
          <t>合計新規会員数</t>
        </is>
      </c>
      <c r="E9" s="19">
        <f>SUM(E6:E8)</f>
        <v/>
      </c>
      <c r="F9" s="19">
        <f>SUM(F6:F8)</f>
        <v/>
      </c>
      <c r="G9" s="19">
        <f>SUM(G6:G8)</f>
        <v/>
      </c>
    </row>
    <row r="10">
      <c r="A10" s="18" t="inlineStr">
        <is>
          <t>新規預かり資産／販売対象額</t>
        </is>
      </c>
      <c r="E10" s="19">
        <f>$B$6*E6+$B$7*E7+$B$8*E8</f>
        <v/>
      </c>
      <c r="F10" s="19">
        <f>$B$6*F6+$B$7*F7+$B$8*F8</f>
        <v/>
      </c>
      <c r="G10" s="19">
        <f>$B$6*G6+$B$7*G7+$B$8*G8</f>
        <v/>
      </c>
    </row>
    <row r="11">
      <c r="A11" t="inlineStr">
        <is>
          <t>加重平均マイル還元率</t>
        </is>
      </c>
      <c r="E11" s="20">
        <f>IF(E10=0,0,($B$6*$D$6*E6+$B$7*$D$7*E7+$B$8*$D$8*E8)/E10)</f>
        <v/>
      </c>
      <c r="F11" s="20">
        <f>IF(F10=0,0,($B$6*$D$6*F6+$B$7*$D$7*F7+$B$8*$D$8*F8)/F10)</f>
        <v/>
      </c>
      <c r="G11" s="20">
        <f>IF(G10=0,0,($B$6*$D$6*G6+$B$7*$D$7*G7+$B$8*$D$8*G8)/G10)</f>
        <v/>
      </c>
    </row>
    <row r="12">
      <c r="A12" t="inlineStr">
        <is>
          <t>ワイン販売を伴う比率</t>
        </is>
      </c>
      <c r="E12" s="21" t="n">
        <v>1</v>
      </c>
      <c r="F12" s="21" t="n">
        <v>1</v>
      </c>
      <c r="G12" s="21" t="n">
        <v>1</v>
      </c>
      <c r="H12" s="2" t="inlineStr">
        <is>
          <t>100%＝全件WineBank販売。既存ワイン持込型は比率を下げる</t>
        </is>
      </c>
    </row>
    <row r="13">
      <c r="A13" s="18" t="inlineStr">
        <is>
          <t>ワイン販売売上</t>
        </is>
      </c>
      <c r="E13" s="22">
        <f>E10*E12</f>
        <v/>
      </c>
      <c r="F13" s="22">
        <f>F10*F12</f>
        <v/>
      </c>
      <c r="G13" s="22">
        <f>G10*G12</f>
        <v/>
      </c>
    </row>
    <row r="15">
      <c r="A15" s="9" t="inlineStr">
        <is>
          <t>■ 事業・獲得前提</t>
        </is>
      </c>
    </row>
    <row r="16">
      <c r="A16" t="inlineStr">
        <is>
          <t>販売粗利率</t>
        </is>
      </c>
      <c r="B16" s="17" t="n">
        <v>0.3</v>
      </c>
      <c r="H16" s="2" t="inlineStr">
        <is>
          <t>売価ベース30%</t>
        </is>
      </c>
    </row>
    <row r="17">
      <c r="A17" t="inlineStr">
        <is>
          <t>ワイン値上がり率（年）</t>
        </is>
      </c>
      <c r="B17" s="17" t="n">
        <v>0.06</v>
      </c>
      <c r="H17" s="2" t="inlineStr">
        <is>
          <t>実績6%</t>
        </is>
      </c>
    </row>
    <row r="18">
      <c r="A18" t="inlineStr">
        <is>
          <t>成功報酬率</t>
        </is>
      </c>
      <c r="B18" s="17" t="n">
        <v>0.25</v>
      </c>
      <c r="H18" s="2" t="inlineStr">
        <is>
          <t>値上がり益に対する成功報酬。合意値は25%</t>
        </is>
      </c>
    </row>
    <row r="19">
      <c r="A19" t="inlineStr">
        <is>
          <t>預かり資産の保管・保険原価率（年）</t>
        </is>
      </c>
      <c r="B19" s="17" t="n">
        <v>0.0105</v>
      </c>
      <c r="H19" s="2" t="inlineStr">
        <is>
          <t>鈴与実額 210円/本/年 ÷ 平均単価20,000円＝1.05%（倉持案の1億＝約7,619本より）</t>
        </is>
      </c>
    </row>
    <row r="20">
      <c r="A20" t="inlineStr">
        <is>
          <t>年間預かり継続率</t>
        </is>
      </c>
      <c r="B20" s="23" t="n">
        <v>1</v>
      </c>
      <c r="H20" s="2" t="inlineStr">
        <is>
          <t>基本100%。解約を織り込む場合はここを下げる</t>
        </is>
      </c>
    </row>
    <row r="21">
      <c r="A21" t="inlineStr">
        <is>
          <t>行動マイル追加発行率（対 預かり資産）</t>
        </is>
      </c>
      <c r="B21" s="17" t="n">
        <v>0</v>
      </c>
      <c r="H21" s="2" t="inlineStr">
        <is>
          <t>落札・会食等の限定マイルは数量前提がないため0%</t>
        </is>
      </c>
    </row>
    <row r="22">
      <c r="A22" t="inlineStr">
        <is>
          <t>CPL（1リード獲得費・万円）</t>
        </is>
      </c>
      <c r="B22" s="24" t="n">
        <v>0.8</v>
      </c>
      <c r="H22" s="2" t="inlineStr">
        <is>
          <t>8,000円</t>
        </is>
      </c>
    </row>
    <row r="23">
      <c r="A23" t="inlineStr">
        <is>
          <t>CPA（1会員獲得費・営業込み・万円）</t>
        </is>
      </c>
      <c r="B23" s="24" t="n">
        <v>5</v>
      </c>
      <c r="H23" s="2" t="inlineStr">
        <is>
          <t>50,000円。CPLを内包し二重計上しない</t>
        </is>
      </c>
    </row>
    <row r="24">
      <c r="A24" t="inlineStr">
        <is>
          <t>想定リード→会員CVR</t>
        </is>
      </c>
      <c r="B24" s="25">
        <f>IF(B23=0,0,B22/B23)</f>
        <v/>
      </c>
    </row>
    <row r="25">
      <c r="A25" t="inlineStr">
        <is>
          <t>1会員獲得に必要なリード数</t>
        </is>
      </c>
      <c r="B25" s="26">
        <f>IF(B22=0,0,B23/B22)</f>
        <v/>
      </c>
    </row>
    <row r="27">
      <c r="A27" s="9" t="inlineStr">
        <is>
          <t>■ オークション（売り手手数料0・買い手課金モデル）</t>
        </is>
      </c>
    </row>
    <row r="28">
      <c r="A28" t="inlineStr">
        <is>
          <t>年間在庫回転率（対 預かり資産）</t>
        </is>
      </c>
      <c r="B28" s="23" t="n">
        <v>0.1</v>
      </c>
      <c r="H28" s="2" t="inlineStr">
        <is>
          <t>預かり資産のうち年間で売却に回る比率</t>
        </is>
      </c>
    </row>
    <row r="29">
      <c r="A29" t="inlineStr">
        <is>
          <t>当社ルート通過率</t>
        </is>
      </c>
      <c r="B29" s="23" t="n">
        <v>0.5</v>
      </c>
      <c r="H29" s="2" t="inlineStr">
        <is>
          <t>他ルート売却の可能性を織り込み保守的に50%</t>
        </is>
      </c>
    </row>
    <row r="30">
      <c r="A30" t="inlineStr">
        <is>
          <t>買い手手数料率</t>
        </is>
      </c>
      <c r="B30" s="23" t="n">
        <v>0.1</v>
      </c>
      <c r="H30" s="2" t="inlineStr">
        <is>
          <t>落札者から10%</t>
        </is>
      </c>
    </row>
    <row r="31">
      <c r="A31" t="inlineStr">
        <is>
          <t>売り手手数料率</t>
        </is>
      </c>
      <c r="B31" s="23" t="n">
        <v>0</v>
      </c>
      <c r="H31" s="2" t="inlineStr">
        <is>
          <t>会員（売り手）からは取らない</t>
        </is>
      </c>
    </row>
    <row r="32">
      <c r="A32" s="18" t="inlineStr">
        <is>
          <t>オークション収益率（対 預かり資産）</t>
        </is>
      </c>
      <c r="B32" s="27">
        <f>B28*B29*(B30+B31)</f>
        <v/>
      </c>
      <c r="H32" s="2" t="inlineStr">
        <is>
          <t>回転率 × 当社ルート率 ×（買い手＋売り手手数料率）</t>
        </is>
      </c>
    </row>
    <row r="34">
      <c r="A34" s="9" t="inlineStr">
        <is>
          <t>■ マイル消化前提（1年以内にほぼ利用）</t>
        </is>
      </c>
    </row>
    <row r="35">
      <c r="A35" t="inlineStr">
        <is>
          <t>最終利用率（1年以内）</t>
        </is>
      </c>
      <c r="B35" s="23" t="n">
        <v>0.98</v>
      </c>
      <c r="H35" s="2" t="inlineStr">
        <is>
          <t>中谷案を踏襲。失効益をあてにしない保守設計</t>
        </is>
      </c>
    </row>
    <row r="36">
      <c r="A36" t="inlineStr">
        <is>
          <t>付与年度内の利用率</t>
        </is>
      </c>
      <c r="B36" s="23" t="n">
        <v>0.5</v>
      </c>
      <c r="H36" s="2" t="inlineStr">
        <is>
          <t>年間で均等獲得する前提</t>
        </is>
      </c>
    </row>
    <row r="37">
      <c r="A37" t="inlineStr">
        <is>
          <t>翌年度の利用率</t>
        </is>
      </c>
      <c r="B37" s="23" t="n">
        <v>0.48</v>
      </c>
      <c r="H37" s="2" t="inlineStr">
        <is>
          <t>残りを翌年度中に利用</t>
        </is>
      </c>
    </row>
    <row r="38">
      <c r="A38" t="inlineStr">
        <is>
          <t>失効率</t>
        </is>
      </c>
      <c r="B38" s="23" t="n">
        <v>0.02</v>
      </c>
      <c r="H38" s="2" t="inlineStr">
        <is>
          <t>1年経過時点で未利用分が失効</t>
        </is>
      </c>
    </row>
    <row r="39">
      <c r="A39" s="18" t="inlineStr">
        <is>
          <t>合計チェック（100%）</t>
        </is>
      </c>
      <c r="B39" s="28">
        <f>SUM(B36:B38)</f>
        <v/>
      </c>
    </row>
    <row r="41">
      <c r="A41" s="9" t="inlineStr">
        <is>
          <t>■ 利用先ミックス（利用マイル100%に対する構成）</t>
        </is>
      </c>
    </row>
    <row r="42">
      <c r="A42" s="10" t="inlineStr">
        <is>
          <t>交換先</t>
        </is>
      </c>
      <c r="B42" s="10" t="inlineStr">
        <is>
          <t>構成比（入力）</t>
        </is>
      </c>
      <c r="C42" s="10" t="inlineStr">
        <is>
          <t>利用マイル内構成比</t>
        </is>
      </c>
      <c r="D42" s="10" t="inlineStr">
        <is>
          <t>交換レート</t>
        </is>
      </c>
      <c r="E42" s="10" t="inlineStr">
        <is>
          <t>当社原価率</t>
        </is>
      </c>
      <c r="F42" s="10" t="inlineStr">
        <is>
          <t>利用1マイル当たり原価</t>
        </is>
      </c>
      <c r="G42" s="10" t="inlineStr">
        <is>
          <t>利用1マイル当たり会員価値</t>
        </is>
      </c>
      <c r="H42" s="10" t="inlineStr">
        <is>
          <t>備考</t>
        </is>
      </c>
    </row>
    <row r="43">
      <c r="A43" s="11" t="inlineStr">
        <is>
          <t>系列レストラン</t>
        </is>
      </c>
      <c r="B43" s="24" t="n">
        <v>27.8</v>
      </c>
      <c r="C43" s="29">
        <f>IF(SUM($B$43:$B$49)=0,0,B43/SUM($B$43:$B$49))</f>
        <v/>
      </c>
      <c r="D43" s="30" t="n">
        <v>1</v>
      </c>
      <c r="E43" s="23" t="n">
        <v>0.9</v>
      </c>
      <c r="F43" s="31">
        <f>D43*E43</f>
        <v/>
      </c>
      <c r="G43" s="31">
        <f>D43</f>
        <v/>
      </c>
      <c r="H43" s="2" t="inlineStr">
        <is>
          <t>額面×1.0。原価率はオフピーク枠運用で引下げ余地あり（感度分析B参照）</t>
        </is>
      </c>
    </row>
    <row r="44">
      <c r="A44" s="11" t="inlineStr">
        <is>
          <t>グランメゾン（1P=0.5円）</t>
        </is>
      </c>
      <c r="B44" s="24" t="n">
        <v>20</v>
      </c>
      <c r="C44" s="29">
        <f>IF(SUM($B$43:$B$49)=0,0,B44/SUM($B$43:$B$49))</f>
        <v/>
      </c>
      <c r="D44" s="30" t="n">
        <v>0.5</v>
      </c>
      <c r="E44" s="23" t="n">
        <v>0.9</v>
      </c>
      <c r="F44" s="31">
        <f>D44*E44</f>
        <v/>
      </c>
      <c r="G44" s="31">
        <f>D44</f>
        <v/>
      </c>
      <c r="H44" s="2" t="inlineStr">
        <is>
          <t>権威性チャネル。レート0.5で当社負担を抑制</t>
        </is>
      </c>
    </row>
    <row r="45">
      <c r="A45" s="11" t="inlineStr">
        <is>
          <t>WineBank CLUB 会費充当</t>
        </is>
      </c>
      <c r="B45" s="24" t="n">
        <v>13.3</v>
      </c>
      <c r="C45" s="29">
        <f>IF(SUM($B$43:$B$49)=0,0,B45/SUM($B$43:$B$49))</f>
        <v/>
      </c>
      <c r="D45" s="30" t="n">
        <v>1</v>
      </c>
      <c r="E45" s="23" t="n">
        <v>0</v>
      </c>
      <c r="F45" s="31">
        <f>D45*E45</f>
        <v/>
      </c>
      <c r="G45" s="31">
        <f>D45</f>
        <v/>
      </c>
      <c r="H45" s="2" t="inlineStr">
        <is>
          <t>内部振替。原価ほぼ0でレート1.0</t>
        </is>
      </c>
    </row>
    <row r="46">
      <c r="A46" s="11" t="inlineStr">
        <is>
          <t>オークション参加</t>
        </is>
      </c>
      <c r="B46" s="24" t="n">
        <v>13.3</v>
      </c>
      <c r="C46" s="29">
        <f>IF(SUM($B$43:$B$49)=0,0,B46/SUM($B$43:$B$49))</f>
        <v/>
      </c>
      <c r="D46" s="30" t="n">
        <v>1</v>
      </c>
      <c r="E46" s="23" t="n">
        <v>0</v>
      </c>
      <c r="F46" s="31">
        <f>D46*E46</f>
        <v/>
      </c>
      <c r="G46" s="31">
        <f>D46</f>
        <v/>
      </c>
      <c r="H46" s="2" t="inlineStr">
        <is>
          <t>手数料充当。原価0かつ買い手手数料を誘発</t>
        </is>
      </c>
    </row>
    <row r="47">
      <c r="A47" s="11" t="inlineStr">
        <is>
          <t>ワインスクール</t>
        </is>
      </c>
      <c r="B47" s="24" t="n">
        <v>11.1</v>
      </c>
      <c r="C47" s="29">
        <f>IF(SUM($B$43:$B$49)=0,0,B47/SUM($B$43:$B$49))</f>
        <v/>
      </c>
      <c r="D47" s="30" t="n">
        <v>1</v>
      </c>
      <c r="E47" s="23" t="n">
        <v>0.5</v>
      </c>
      <c r="F47" s="31">
        <f>D47*E47</f>
        <v/>
      </c>
      <c r="G47" s="31">
        <f>D47</f>
        <v/>
      </c>
      <c r="H47" s="2" t="inlineStr">
        <is>
          <t>自社開催。原価率50%</t>
        </is>
      </c>
    </row>
    <row r="48">
      <c r="A48" s="11" t="inlineStr">
        <is>
          <t>会員交流イベント</t>
        </is>
      </c>
      <c r="B48" s="24" t="n">
        <v>8.9</v>
      </c>
      <c r="C48" s="29">
        <f>IF(SUM($B$43:$B$49)=0,0,B48/SUM($B$43:$B$49))</f>
        <v/>
      </c>
      <c r="D48" s="30" t="n">
        <v>1</v>
      </c>
      <c r="E48" s="23" t="n">
        <v>0.5</v>
      </c>
      <c r="F48" s="31">
        <f>D48*E48</f>
        <v/>
      </c>
      <c r="G48" s="31">
        <f>D48</f>
        <v/>
      </c>
      <c r="H48" s="2" t="inlineStr">
        <is>
          <t>自社開催。原価率50%</t>
        </is>
      </c>
    </row>
    <row r="49">
      <c r="A49" s="11" t="inlineStr">
        <is>
          <t>ワイン追加購入</t>
        </is>
      </c>
      <c r="B49" s="24" t="n">
        <v>5.6</v>
      </c>
      <c r="C49" s="29">
        <f>IF(SUM($B$43:$B$49)=0,0,B49/SUM($B$43:$B$49))</f>
        <v/>
      </c>
      <c r="D49" s="30" t="n">
        <v>1</v>
      </c>
      <c r="E49" s="23" t="n">
        <v>0.8</v>
      </c>
      <c r="F49" s="31">
        <f>D49*E49</f>
        <v/>
      </c>
      <c r="G49" s="31">
        <f>D49</f>
        <v/>
      </c>
      <c r="H49" s="2" t="inlineStr">
        <is>
          <t>仕入原価80%。上限管理あり</t>
        </is>
      </c>
    </row>
    <row r="50">
      <c r="A50" s="18" t="inlineStr">
        <is>
          <t>合計 / 加重平均</t>
        </is>
      </c>
      <c r="B50" s="32">
        <f>SUM(B43:B49)</f>
        <v/>
      </c>
      <c r="C50" s="28">
        <f>SUM(C43:C49)</f>
        <v/>
      </c>
      <c r="F50" s="33">
        <f>SUMPRODUCT(C43:C49,F43:F49)</f>
        <v/>
      </c>
      <c r="G50" s="33">
        <f>SUMPRODUCT(C43:C49,G43:G49)</f>
        <v/>
      </c>
    </row>
    <row r="51">
      <c r="A51" s="18" t="inlineStr">
        <is>
          <t>発行1マイル当たり 当社期待原価</t>
        </is>
      </c>
      <c r="B51" s="34">
        <f>B35*F50</f>
        <v/>
      </c>
      <c r="H51" s="2" t="inlineStr">
        <is>
          <t>最終利用率 × 利用時の加重平均原価</t>
        </is>
      </c>
    </row>
    <row r="52">
      <c r="A52" s="18" t="inlineStr">
        <is>
          <t>発行1マイル当たり 会員期待価値</t>
        </is>
      </c>
      <c r="B52" s="34">
        <f>B35*G50</f>
        <v/>
      </c>
      <c r="H52" s="2" t="inlineStr">
        <is>
          <t>最終利用率 × 利用時の加重平均交換レート</t>
        </is>
      </c>
    </row>
    <row r="53">
      <c r="A53" t="inlineStr">
        <is>
          <t>マイル実質原価率（対 預かり資産・1年目）</t>
        </is>
      </c>
      <c r="B53" s="20">
        <f>E11*B51</f>
        <v/>
      </c>
    </row>
    <row r="55">
      <c r="A55" s="9" t="inlineStr">
        <is>
          <t>■ 年次固定費・任意費用（単位：万円）</t>
        </is>
      </c>
    </row>
    <row r="56">
      <c r="A56" s="10" t="inlineStr">
        <is>
          <t>項目</t>
        </is>
      </c>
      <c r="B56" s="10" t="inlineStr">
        <is>
          <t>1年目</t>
        </is>
      </c>
      <c r="C56" s="10" t="inlineStr">
        <is>
          <t>2年目</t>
        </is>
      </c>
      <c r="D56" s="10" t="inlineStr">
        <is>
          <t>3年目</t>
        </is>
      </c>
      <c r="E56" s="10" t="inlineStr"/>
      <c r="F56" s="10" t="inlineStr"/>
      <c r="G56" s="10" t="inlineStr"/>
      <c r="H56" s="10" t="inlineStr">
        <is>
          <t>出典・備考</t>
        </is>
      </c>
    </row>
    <row r="57">
      <c r="A57" s="11" t="inlineStr">
        <is>
          <t>人件費</t>
        </is>
      </c>
      <c r="B57" s="16" t="n">
        <v>0</v>
      </c>
      <c r="C57" s="16" t="n">
        <v>0</v>
      </c>
      <c r="D57" s="16" t="n">
        <v>0</v>
      </c>
      <c r="H57" s="2" t="inlineStr">
        <is>
          <t>金額未提示のため0。入力するとPLへ反映</t>
        </is>
      </c>
    </row>
    <row r="58">
      <c r="A58" s="11" t="inlineStr">
        <is>
          <t>システム開発・保守費</t>
        </is>
      </c>
      <c r="B58" s="16" t="n">
        <v>0</v>
      </c>
      <c r="C58" s="16" t="n">
        <v>0</v>
      </c>
      <c r="D58" s="16" t="n">
        <v>0</v>
      </c>
      <c r="H58" s="2" t="inlineStr">
        <is>
          <t>金額未提示のため0</t>
        </is>
      </c>
    </row>
    <row r="59">
      <c r="A59" s="11" t="inlineStr">
        <is>
          <t>交流イベント・コミュニティ費</t>
        </is>
      </c>
      <c r="B59" s="16" t="n">
        <v>0</v>
      </c>
      <c r="C59" s="16" t="n">
        <v>0</v>
      </c>
      <c r="D59" s="16" t="n">
        <v>0</v>
      </c>
      <c r="H59" s="2" t="inlineStr">
        <is>
          <t>マイル交換分は原価率50%で別途計上済。追加の持出があれば入力</t>
        </is>
      </c>
    </row>
    <row r="60">
      <c r="A60" s="11" t="inlineStr">
        <is>
          <t>その他固定販管費</t>
        </is>
      </c>
      <c r="B60" s="16" t="n">
        <v>0</v>
      </c>
      <c r="C60" s="16" t="n">
        <v>0</v>
      </c>
      <c r="D60" s="16" t="n">
        <v>0</v>
      </c>
      <c r="H60" s="2" t="inlineStr">
        <is>
          <t>金額未提示のため0</t>
        </is>
      </c>
    </row>
    <row r="61">
      <c r="A61" s="11" t="inlineStr">
        <is>
          <t>自社在庫の保管・保険料</t>
        </is>
      </c>
      <c r="B61" s="16" t="n">
        <v>158</v>
      </c>
      <c r="C61" s="16" t="n">
        <v>158</v>
      </c>
      <c r="D61" s="16" t="n">
        <v>158</v>
      </c>
      <c r="H61" s="2" t="inlineStr">
        <is>
          <t>自社在庫1.5億×1.05%＝158万。在庫を持ち続ける前提で3年計上</t>
        </is>
      </c>
    </row>
    <row r="62">
      <c r="A62" s="11" t="inlineStr">
        <is>
          <t>支払利息</t>
        </is>
      </c>
      <c r="B62" s="16" t="n">
        <v>360</v>
      </c>
      <c r="C62" s="16" t="n">
        <v>360</v>
      </c>
      <c r="D62" s="16" t="n">
        <v>360</v>
      </c>
      <c r="H62" s="2" t="inlineStr">
        <is>
          <t>買付借入1.2億×3%。借換継続の前提で3年計上</t>
        </is>
      </c>
    </row>
    <row r="64">
      <c r="A64" s="9" t="inlineStr">
        <is>
          <t>■ 在庫投資（キャッシュフロー用・単位：万円）</t>
        </is>
      </c>
    </row>
    <row r="65">
      <c r="A65" s="11" t="inlineStr">
        <is>
          <t>新規ワイン買付額</t>
        </is>
      </c>
      <c r="B65" s="16" t="n">
        <v>12000</v>
      </c>
      <c r="C65" s="16" t="n">
        <v>0</v>
      </c>
      <c r="D65" s="16" t="n">
        <v>0</v>
      </c>
      <c r="H65" s="2" t="inlineStr">
        <is>
          <t>1年目に1.2億相当を新規買付する前提。2〜3年目は方針未定のため0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52" customWidth="1" min="5" max="5"/>
  </cols>
  <sheetData>
    <row r="1">
      <c r="A1" s="1" t="inlineStr">
        <is>
          <t>会員数・預かり資産｜3か年推移</t>
        </is>
      </c>
    </row>
    <row r="2">
      <c r="A2" s="2" t="inlineStr">
        <is>
          <t>前提シートの年度別会員数を反映。獲得年から手数料・マイルを満額計上。単位：万円</t>
        </is>
      </c>
    </row>
    <row r="4">
      <c r="A4" s="9" t="inlineStr">
        <is>
          <t>■ 新規獲得・ファネル</t>
        </is>
      </c>
    </row>
    <row r="5">
      <c r="A5" s="10" t="inlineStr">
        <is>
          <t>項目</t>
        </is>
      </c>
      <c r="B5" s="10" t="inlineStr">
        <is>
          <t>1年目</t>
        </is>
      </c>
      <c r="C5" s="10" t="inlineStr">
        <is>
          <t>2年目</t>
        </is>
      </c>
      <c r="D5" s="10" t="inlineStr">
        <is>
          <t>3年目</t>
        </is>
      </c>
      <c r="E5" s="10" t="inlineStr">
        <is>
          <t>備考</t>
        </is>
      </c>
    </row>
    <row r="6">
      <c r="A6" t="inlineStr">
        <is>
          <t>PRESTIGE 新規会員数</t>
        </is>
      </c>
      <c r="B6" s="22">
        <f>前提!E6</f>
        <v/>
      </c>
      <c r="C6" s="22">
        <f>前提!F6</f>
        <v/>
      </c>
      <c r="D6" s="22">
        <f>前提!G6</f>
        <v/>
      </c>
      <c r="E6" s="2" t="inlineStr"/>
    </row>
    <row r="7">
      <c r="A7" t="inlineStr">
        <is>
          <t>GOLD 新規会員数</t>
        </is>
      </c>
      <c r="B7" s="22">
        <f>前提!E7</f>
        <v/>
      </c>
      <c r="C7" s="22">
        <f>前提!F7</f>
        <v/>
      </c>
      <c r="D7" s="22">
        <f>前提!G7</f>
        <v/>
      </c>
      <c r="E7" s="2" t="inlineStr"/>
    </row>
    <row r="8">
      <c r="A8" t="inlineStr">
        <is>
          <t>SIGNATURE 新規会員数</t>
        </is>
      </c>
      <c r="B8" s="22">
        <f>前提!E8</f>
        <v/>
      </c>
      <c r="C8" s="22">
        <f>前提!F8</f>
        <v/>
      </c>
      <c r="D8" s="22">
        <f>前提!G8</f>
        <v/>
      </c>
      <c r="E8" s="2" t="inlineStr"/>
    </row>
    <row r="9">
      <c r="A9" s="18" t="inlineStr">
        <is>
          <t>新規会員数 合計</t>
        </is>
      </c>
      <c r="B9" s="19">
        <f>SUM(B6:B8)</f>
        <v/>
      </c>
      <c r="C9" s="19">
        <f>SUM(C6:C8)</f>
        <v/>
      </c>
      <c r="D9" s="19">
        <f>SUM(D6:D8)</f>
        <v/>
      </c>
      <c r="E9" s="2" t="inlineStr"/>
    </row>
    <row r="10">
      <c r="A10" t="inlineStr">
        <is>
          <t>必要リード数</t>
        </is>
      </c>
      <c r="B10" s="22">
        <f>IF(前提!$B$22=0,0,B9*前提!$B$23/前提!$B$22)</f>
        <v/>
      </c>
      <c r="C10" s="22">
        <f>IF(前提!$B$22=0,0,C9*前提!$B$23/前提!$B$22)</f>
        <v/>
      </c>
      <c r="D10" s="22">
        <f>IF(前提!$B$22=0,0,D9*前提!$B$23/前提!$B$22)</f>
        <v/>
      </c>
      <c r="E10" s="2" t="inlineStr">
        <is>
          <t>CPL 0.8万／CPA 5万から逆算</t>
        </is>
      </c>
    </row>
    <row r="11">
      <c r="A11" t="inlineStr">
        <is>
          <t>リード→会員CVR</t>
        </is>
      </c>
      <c r="B11" s="25">
        <f>IF(B10=0,0,B9/B10)</f>
        <v/>
      </c>
      <c r="C11" s="25">
        <f>IF(C10=0,0,C9/C10)</f>
        <v/>
      </c>
      <c r="D11" s="25">
        <f>IF(D10=0,0,D9/D10)</f>
        <v/>
      </c>
      <c r="E11" s="2" t="inlineStr"/>
    </row>
    <row r="12">
      <c r="A12" t="inlineStr">
        <is>
          <t>ユーザー獲得費</t>
        </is>
      </c>
      <c r="B12" s="22">
        <f>B9*前提!$B$23</f>
        <v/>
      </c>
      <c r="C12" s="22">
        <f>C9*前提!$B$23</f>
        <v/>
      </c>
      <c r="D12" s="22">
        <f>D9*前提!$B$23</f>
        <v/>
      </c>
      <c r="E12" s="2" t="inlineStr">
        <is>
          <t>新規会員数 × CPA 5万円</t>
        </is>
      </c>
    </row>
    <row r="13">
      <c r="A13" s="18" t="inlineStr">
        <is>
          <t>新規預かり資産</t>
        </is>
      </c>
      <c r="B13" s="19">
        <f>前提!E10</f>
        <v/>
      </c>
      <c r="C13" s="19">
        <f>前提!F10</f>
        <v/>
      </c>
      <c r="D13" s="19">
        <f>前提!G10</f>
        <v/>
      </c>
      <c r="E13" s="2" t="inlineStr"/>
    </row>
    <row r="14">
      <c r="A14" t="inlineStr">
        <is>
          <t>ワイン販売を伴う比率</t>
        </is>
      </c>
      <c r="B14" s="25">
        <f>前提!E12</f>
        <v/>
      </c>
      <c r="C14" s="25">
        <f>前提!F12</f>
        <v/>
      </c>
      <c r="D14" s="25">
        <f>前提!G12</f>
        <v/>
      </c>
      <c r="E14" s="2" t="inlineStr"/>
    </row>
    <row r="15">
      <c r="A15" s="18" t="inlineStr">
        <is>
          <t>ワイン販売売上</t>
        </is>
      </c>
      <c r="B15" s="19">
        <f>B13*B14</f>
        <v/>
      </c>
      <c r="C15" s="19">
        <f>C13*C14</f>
        <v/>
      </c>
      <c r="D15" s="19">
        <f>D13*D14</f>
        <v/>
      </c>
      <c r="E15" s="2" t="inlineStr"/>
    </row>
    <row r="16">
      <c r="A16" t="inlineStr">
        <is>
          <t>新規会員1人あたり預かり資産</t>
        </is>
      </c>
      <c r="B16" s="35">
        <f>IF(B9=0,0,B13/B9)</f>
        <v/>
      </c>
      <c r="C16" s="35">
        <f>IF(C9=0,0,C13/C9)</f>
        <v/>
      </c>
      <c r="D16" s="35">
        <f>IF(D9=0,0,D13/D9)</f>
        <v/>
      </c>
      <c r="E16" s="2" t="inlineStr"/>
    </row>
    <row r="18">
      <c r="A18" s="9" t="inlineStr">
        <is>
          <t>■ 期末会員数</t>
        </is>
      </c>
    </row>
    <row r="19">
      <c r="A19" t="inlineStr">
        <is>
          <t>PRESTIGE 期末会員数</t>
        </is>
      </c>
      <c r="B19" s="22">
        <f>B6</f>
        <v/>
      </c>
      <c r="C19" s="22">
        <f>B19*前提!$B$20+C6</f>
        <v/>
      </c>
      <c r="D19" s="22">
        <f>C19*前提!$B$20+D6</f>
        <v/>
      </c>
      <c r="E19" s="2" t="inlineStr">
        <is>
          <t>継続率反映</t>
        </is>
      </c>
    </row>
    <row r="20">
      <c r="A20" t="inlineStr">
        <is>
          <t>GOLD 期末会員数</t>
        </is>
      </c>
      <c r="B20" s="22">
        <f>B7</f>
        <v/>
      </c>
      <c r="C20" s="22">
        <f>B20*前提!$B$20+C7</f>
        <v/>
      </c>
      <c r="D20" s="22">
        <f>C20*前提!$B$20+D7</f>
        <v/>
      </c>
      <c r="E20" s="2" t="inlineStr">
        <is>
          <t>継続率反映</t>
        </is>
      </c>
    </row>
    <row r="21">
      <c r="A21" t="inlineStr">
        <is>
          <t>SIGNATURE 期末会員数</t>
        </is>
      </c>
      <c r="B21" s="22">
        <f>B8</f>
        <v/>
      </c>
      <c r="C21" s="22">
        <f>B21*前提!$B$20+C8</f>
        <v/>
      </c>
      <c r="D21" s="22">
        <f>C21*前提!$B$20+D8</f>
        <v/>
      </c>
      <c r="E21" s="2" t="inlineStr">
        <is>
          <t>継続率反映</t>
        </is>
      </c>
    </row>
    <row r="22">
      <c r="A22" s="18" t="inlineStr">
        <is>
          <t>期末会員数 合計</t>
        </is>
      </c>
      <c r="B22" s="19">
        <f>SUM(B19:B21)</f>
        <v/>
      </c>
      <c r="C22" s="19">
        <f>SUM(C19:C21)</f>
        <v/>
      </c>
      <c r="D22" s="19">
        <f>SUM(D19:D21)</f>
        <v/>
      </c>
    </row>
    <row r="24">
      <c r="A24" s="9" t="inlineStr">
        <is>
          <t>■ 預かり資産・ストック採算</t>
        </is>
      </c>
    </row>
    <row r="25">
      <c r="A25" t="inlineStr">
        <is>
          <t>PRESTIGE 期末預かり資産</t>
        </is>
      </c>
      <c r="B25" s="22">
        <f>B19*前提!$B$6</f>
        <v/>
      </c>
      <c r="C25" s="22">
        <f>C19*前提!$B$6</f>
        <v/>
      </c>
      <c r="D25" s="22">
        <f>D19*前提!$B$6</f>
        <v/>
      </c>
    </row>
    <row r="26">
      <c r="A26" t="inlineStr">
        <is>
          <t>GOLD 期末預かり資産</t>
        </is>
      </c>
      <c r="B26" s="22">
        <f>B20*前提!$B$7</f>
        <v/>
      </c>
      <c r="C26" s="22">
        <f>C20*前提!$B$7</f>
        <v/>
      </c>
      <c r="D26" s="22">
        <f>D20*前提!$B$7</f>
        <v/>
      </c>
    </row>
    <row r="27">
      <c r="A27" t="inlineStr">
        <is>
          <t>SIGNATURE 期末預かり資産</t>
        </is>
      </c>
      <c r="B27" s="22">
        <f>B21*前提!$B$8</f>
        <v/>
      </c>
      <c r="C27" s="22">
        <f>C21*前提!$B$8</f>
        <v/>
      </c>
      <c r="D27" s="22">
        <f>D21*前提!$B$8</f>
        <v/>
      </c>
    </row>
    <row r="28">
      <c r="A28" s="18" t="inlineStr">
        <is>
          <t>期末預かり資産 合計</t>
        </is>
      </c>
      <c r="B28" s="36">
        <f>SUM(B25:B27)</f>
        <v/>
      </c>
      <c r="C28" s="36">
        <f>SUM(C25:C27)</f>
        <v/>
      </c>
      <c r="D28" s="36">
        <f>SUM(D25:D27)</f>
        <v/>
      </c>
    </row>
    <row r="29">
      <c r="A29" t="inlineStr">
        <is>
          <t>期首預かり資産</t>
        </is>
      </c>
      <c r="B29" s="22" t="n">
        <v>0</v>
      </c>
      <c r="C29" s="22">
        <f>B28</f>
        <v/>
      </c>
      <c r="D29" s="22">
        <f>C28</f>
        <v/>
      </c>
    </row>
    <row r="30">
      <c r="A30" t="inlineStr">
        <is>
          <t>継続後の期首預かり資産</t>
        </is>
      </c>
      <c r="B30" s="22" t="n">
        <v>0</v>
      </c>
      <c r="C30" s="22">
        <f>B28*前提!$B$20</f>
        <v/>
      </c>
      <c r="D30" s="22">
        <f>C28*前提!$B$20</f>
        <v/>
      </c>
    </row>
    <row r="31">
      <c r="A31" t="inlineStr">
        <is>
          <t>新規預かり資産</t>
        </is>
      </c>
      <c r="B31" s="22">
        <f>B13</f>
        <v/>
      </c>
      <c r="C31" s="22">
        <f>C13</f>
        <v/>
      </c>
      <c r="D31" s="22">
        <f>D13</f>
        <v/>
      </c>
    </row>
    <row r="32">
      <c r="A32" t="inlineStr">
        <is>
          <t>資産ブリッジ差額（0確認）</t>
        </is>
      </c>
      <c r="B32" s="22">
        <f>B30+B31-B28</f>
        <v/>
      </c>
      <c r="C32" s="22">
        <f>C30+C31-C28</f>
        <v/>
      </c>
      <c r="D32" s="22">
        <f>D30+D31-D28</f>
        <v/>
      </c>
    </row>
    <row r="33">
      <c r="A33" t="inlineStr">
        <is>
          <t>管理・保管手数料収入</t>
        </is>
      </c>
      <c r="B33" s="22">
        <f>B25*前提!$C$6+B26*前提!$C$7+B27*前提!$C$8</f>
        <v/>
      </c>
      <c r="C33" s="22">
        <f>C25*前提!$C$6+C26*前提!$C$7+C27*前提!$C$8</f>
        <v/>
      </c>
      <c r="D33" s="22">
        <f>D25*前提!$C$6+D26*前提!$C$7+D27*前提!$C$8</f>
        <v/>
      </c>
      <c r="E33" s="2" t="inlineStr">
        <is>
          <t>期末預かり資産×2.5%</t>
        </is>
      </c>
    </row>
    <row r="34">
      <c r="A34" t="inlineStr">
        <is>
          <t>預かり資産の保管・保険原価</t>
        </is>
      </c>
      <c r="B34" s="22">
        <f>B28*前提!$B$19</f>
        <v/>
      </c>
      <c r="C34" s="22">
        <f>C28*前提!$B$19</f>
        <v/>
      </c>
      <c r="D34" s="22">
        <f>D28*前提!$B$19</f>
        <v/>
      </c>
      <c r="E34" s="2" t="inlineStr">
        <is>
          <t>期末預かり資産×1.05%（鈴与実額）</t>
        </is>
      </c>
    </row>
    <row r="35">
      <c r="A35" t="inlineStr">
        <is>
          <t>オークション手数料収入</t>
        </is>
      </c>
      <c r="B35" s="22">
        <f>B28*前提!$B$32</f>
        <v/>
      </c>
      <c r="C35" s="22">
        <f>C28*前提!$B$32</f>
        <v/>
      </c>
      <c r="D35" s="22">
        <f>D28*前提!$B$32</f>
        <v/>
      </c>
      <c r="E35" s="2" t="inlineStr">
        <is>
          <t>買い手10%×当社ルート50%×回転10%</t>
        </is>
      </c>
    </row>
    <row r="36">
      <c r="A36" t="inlineStr">
        <is>
          <t>マイル発行額（額面）</t>
        </is>
      </c>
      <c r="B36" s="22">
        <f>B25*前提!$D$6+B26*前提!$D$7+B27*前提!$D$8+B28*前提!$B$21</f>
        <v/>
      </c>
      <c r="C36" s="22">
        <f>C25*前提!$D$6+C26*前提!$D$7+C27*前提!$D$8+C28*前提!$B$21</f>
        <v/>
      </c>
      <c r="D36" s="22">
        <f>D25*前提!$D$6+D26*前提!$D$7+D27*前提!$D$8+D28*前提!$B$21</f>
        <v/>
      </c>
      <c r="E36" s="2" t="inlineStr">
        <is>
          <t>ランク別還元率＋行動マイル</t>
        </is>
      </c>
    </row>
    <row r="37">
      <c r="A37" t="inlineStr">
        <is>
          <t>加重平均マイル発行率</t>
        </is>
      </c>
      <c r="B37" s="20">
        <f>IF(B28=0,0,B36/B28)</f>
        <v/>
      </c>
      <c r="C37" s="20">
        <f>IF(C28=0,0,C36/C28)</f>
        <v/>
      </c>
      <c r="D37" s="20">
        <f>IF(D28=0,0,D36/D28)</f>
        <v/>
      </c>
      <c r="E37" s="2" t="inlineStr">
        <is>
          <t>実績ミックスで変動</t>
        </is>
      </c>
    </row>
    <row r="38">
      <c r="A38" t="inlineStr">
        <is>
          <t>成功報酬の経済発生額（未実現）</t>
        </is>
      </c>
      <c r="B38" s="22">
        <f>B28*前提!$B$17*前提!$B$18</f>
        <v/>
      </c>
      <c r="C38" s="22">
        <f>C28*前提!$B$17*前提!$B$18</f>
        <v/>
      </c>
      <c r="D38" s="22">
        <f>D28*前提!$B$17*前提!$B$18</f>
        <v/>
      </c>
      <c r="E38" s="2" t="inlineStr">
        <is>
          <t>預かり資産×値上がり率6%×成功報酬率25%</t>
        </is>
      </c>
    </row>
    <row r="39">
      <c r="A39" t="inlineStr">
        <is>
          <t>マイル費用（P/L見込計上）</t>
        </is>
      </c>
      <c r="B39" s="22">
        <f>B36*'前提'!$B$51</f>
        <v/>
      </c>
      <c r="C39" s="22">
        <f>C36*'前提'!$B$51</f>
        <v/>
      </c>
      <c r="D39" s="22">
        <f>D36*'前提'!$B$51</f>
        <v/>
      </c>
      <c r="E39" s="2" t="inlineStr">
        <is>
          <t>発行額×発行1マイル期待原価</t>
        </is>
      </c>
    </row>
    <row r="40">
      <c r="A40" s="18" t="inlineStr">
        <is>
          <t>ストック損益（成功報酬前）</t>
        </is>
      </c>
      <c r="B40" s="19">
        <f>B33-B34+B35-B39</f>
        <v/>
      </c>
      <c r="C40" s="19">
        <f>C33-C34+C35-C39</f>
        <v/>
      </c>
      <c r="D40" s="19">
        <f>D33-D34+D35-D39</f>
        <v/>
      </c>
      <c r="E40" s="2" t="inlineStr">
        <is>
          <t>手数料－保管原価＋オークション－マイル費用</t>
        </is>
      </c>
    </row>
    <row r="41">
      <c r="A41" s="18" t="inlineStr">
        <is>
          <t>ストック経済損益（成功報酬込）</t>
        </is>
      </c>
      <c r="B41" s="19">
        <f>B40+B38</f>
        <v/>
      </c>
      <c r="C41" s="19">
        <f>C40+C38</f>
        <v/>
      </c>
      <c r="D41" s="19">
        <f>D40+D38</f>
        <v/>
      </c>
      <c r="E41" s="2" t="inlineStr">
        <is>
          <t>成功報酬の経済発生を加算</t>
        </is>
      </c>
    </row>
    <row r="42">
      <c r="A42" s="18" t="inlineStr">
        <is>
          <t>ストック利幅（成功報酬前）</t>
        </is>
      </c>
      <c r="B42" s="27">
        <f>IF(B28=0,0,B40/B28)</f>
        <v/>
      </c>
      <c r="C42" s="27">
        <f>IF(C28=0,0,C40/C28)</f>
        <v/>
      </c>
      <c r="D42" s="27">
        <f>IF(D28=0,0,D40/D28)</f>
        <v/>
      </c>
      <c r="E42" s="2" t="inlineStr">
        <is>
          <t>現金・会計ベース</t>
        </is>
      </c>
    </row>
    <row r="43">
      <c r="A43" t="inlineStr">
        <is>
          <t>ストック利幅（成功報酬込）</t>
        </is>
      </c>
      <c r="B43" s="20">
        <f>IF(B28=0,0,B41/B28)</f>
        <v/>
      </c>
      <c r="C43" s="20">
        <f>IF(C28=0,0,C41/C28)</f>
        <v/>
      </c>
      <c r="D43" s="20">
        <f>IF(D28=0,0,D41/D28)</f>
        <v/>
      </c>
      <c r="E43" s="2" t="inlineStr">
        <is>
          <t>成功報酬を含む経済利幅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0" customWidth="1" min="1" max="1"/>
    <col width="18" customWidth="1" min="2" max="2"/>
    <col width="16" customWidth="1" min="3" max="3"/>
    <col width="13" customWidth="1" min="4" max="4"/>
    <col width="13" customWidth="1" min="5" max="5"/>
    <col width="13" customWidth="1" min="6" max="6"/>
    <col width="13" customWidth="1" min="7" max="7"/>
    <col width="13" customWidth="1" min="8" max="8"/>
    <col width="13" customWidth="1" min="9" max="9"/>
    <col width="46" customWidth="1" min="10" max="10"/>
  </cols>
  <sheetData>
    <row r="1">
      <c r="A1" s="1" t="inlineStr">
        <is>
          <t>マイル計算｜発行・利用・P/L費用・現金負担</t>
        </is>
      </c>
    </row>
    <row r="2">
      <c r="A2" s="2" t="inlineStr">
        <is>
          <t>P/Lは発行時に最終利用率ベースの期待原価を計上。現金負担は実際に利用された年に表示。単位：万円</t>
        </is>
      </c>
    </row>
    <row r="4">
      <c r="A4" s="9" t="inlineStr">
        <is>
          <t>■ 発行・消化スケジュール</t>
        </is>
      </c>
    </row>
    <row r="5">
      <c r="A5" s="10" t="inlineStr">
        <is>
          <t>項目</t>
        </is>
      </c>
      <c r="B5" s="10" t="inlineStr">
        <is>
          <t>1年目</t>
        </is>
      </c>
      <c r="C5" s="10" t="inlineStr">
        <is>
          <t>2年目</t>
        </is>
      </c>
      <c r="D5" s="10" t="inlineStr">
        <is>
          <t>3年目</t>
        </is>
      </c>
      <c r="J5" s="37" t="inlineStr">
        <is>
          <t>備考</t>
        </is>
      </c>
    </row>
    <row r="6">
      <c r="A6" t="inlineStr">
        <is>
          <t>期首未使用マイル残高（額面）</t>
        </is>
      </c>
      <c r="B6" s="35" t="n">
        <v>0</v>
      </c>
      <c r="C6" s="35">
        <f>B12</f>
        <v/>
      </c>
      <c r="D6" s="35">
        <f>C12</f>
        <v/>
      </c>
      <c r="J6" s="2" t="inlineStr">
        <is>
          <t>前年期末残高</t>
        </is>
      </c>
    </row>
    <row r="7">
      <c r="A7" s="18" t="inlineStr">
        <is>
          <t>当年マイル発行額（額面）</t>
        </is>
      </c>
      <c r="B7" s="38">
        <f>会員・預かり資産!B36</f>
        <v/>
      </c>
      <c r="C7" s="38">
        <f>会員・預かり資産!C36</f>
        <v/>
      </c>
      <c r="D7" s="38">
        <f>会員・預かり資産!D36</f>
        <v/>
      </c>
      <c r="J7" s="2" t="inlineStr">
        <is>
          <t>期末預かり資産×ランク別還元率</t>
        </is>
      </c>
    </row>
    <row r="8">
      <c r="A8" t="inlineStr">
        <is>
          <t>当年発行分の当年度利用</t>
        </is>
      </c>
      <c r="B8" s="35">
        <f>B7*前提!$B$36</f>
        <v/>
      </c>
      <c r="C8" s="35">
        <f>C7*前提!$B$36</f>
        <v/>
      </c>
      <c r="D8" s="35">
        <f>D7*前提!$B$36</f>
        <v/>
      </c>
      <c r="J8" s="2" t="inlineStr">
        <is>
          <t>年間均等獲得の前提で50%</t>
        </is>
      </c>
    </row>
    <row r="9">
      <c r="A9" t="inlineStr">
        <is>
          <t>前年度発行分の翌年度利用</t>
        </is>
      </c>
      <c r="B9" s="35" t="n">
        <v>0</v>
      </c>
      <c r="C9" s="35">
        <f>B7*前提!$B$37</f>
        <v/>
      </c>
      <c r="D9" s="35">
        <f>C7*前提!$B$37</f>
        <v/>
      </c>
      <c r="J9" s="2" t="inlineStr">
        <is>
          <t>前年コホートの48%</t>
        </is>
      </c>
    </row>
    <row r="10">
      <c r="A10" s="18" t="inlineStr">
        <is>
          <t>当年度の利用額 合計（額面）</t>
        </is>
      </c>
      <c r="B10" s="38">
        <f>B8+B9</f>
        <v/>
      </c>
      <c r="C10" s="38">
        <f>C8+C9</f>
        <v/>
      </c>
      <c r="D10" s="38">
        <f>D8+D9</f>
        <v/>
      </c>
      <c r="J10" s="2" t="inlineStr">
        <is>
          <t>サービス利用に充当された額面</t>
        </is>
      </c>
    </row>
    <row r="11">
      <c r="A11" t="inlineStr">
        <is>
          <t>前年度発行分の失効</t>
        </is>
      </c>
      <c r="B11" s="35" t="n">
        <v>0</v>
      </c>
      <c r="C11" s="35">
        <f>B7*前提!$B$38</f>
        <v/>
      </c>
      <c r="D11" s="35">
        <f>C7*前提!$B$38</f>
        <v/>
      </c>
      <c r="J11" s="2" t="inlineStr">
        <is>
          <t>前年コホートの2%</t>
        </is>
      </c>
    </row>
    <row r="12">
      <c r="A12" t="inlineStr">
        <is>
          <t>期末未使用マイル残高（額面）</t>
        </is>
      </c>
      <c r="B12" s="35">
        <f>B6+B7-B10-B11</f>
        <v/>
      </c>
      <c r="C12" s="35">
        <f>C6+C7-C10-C11</f>
        <v/>
      </c>
      <c r="D12" s="35">
        <f>D6+D7-D10-D11</f>
        <v/>
      </c>
      <c r="J12" s="2" t="inlineStr">
        <is>
          <t>翌年度に利用または失効</t>
        </is>
      </c>
    </row>
    <row r="13">
      <c r="A13" s="18" t="inlineStr">
        <is>
          <t>マイル費用（P/L見込計上）</t>
        </is>
      </c>
      <c r="B13" s="39">
        <f>B7*'前提'!$B$51</f>
        <v/>
      </c>
      <c r="C13" s="39">
        <f>C7*'前提'!$B$51</f>
        <v/>
      </c>
      <c r="D13" s="39">
        <f>D7*'前提'!$B$51</f>
        <v/>
      </c>
      <c r="J13" s="2" t="inlineStr">
        <is>
          <t>将来利用分も含め発行年度に期待原価を計上</t>
        </is>
      </c>
    </row>
    <row r="14">
      <c r="A14" t="inlineStr">
        <is>
          <t>実利用による現金・原価負担</t>
        </is>
      </c>
      <c r="B14" s="35">
        <f>B10*'前提'!$F$50</f>
        <v/>
      </c>
      <c r="C14" s="35">
        <f>C10*'前提'!$F$50</f>
        <v/>
      </c>
      <c r="D14" s="35">
        <f>D10*'前提'!$F$50</f>
        <v/>
      </c>
      <c r="J14" s="2" t="inlineStr">
        <is>
          <t>実際にサービス利用された年の原価</t>
        </is>
      </c>
    </row>
    <row r="15">
      <c r="A15" t="inlineStr">
        <is>
          <t>未払マイル原価の増減</t>
        </is>
      </c>
      <c r="B15" s="35">
        <f>B13-B14</f>
        <v/>
      </c>
      <c r="C15" s="35">
        <f>C13-C14</f>
        <v/>
      </c>
      <c r="D15" s="35">
        <f>D13-D14</f>
        <v/>
      </c>
      <c r="J15" s="2" t="inlineStr">
        <is>
          <t>P/L費用－実利用原価</t>
        </is>
      </c>
    </row>
    <row r="16">
      <c r="A16" t="inlineStr">
        <is>
          <t>期末未払マイル原価（負債）</t>
        </is>
      </c>
      <c r="B16" s="35">
        <f>B15</f>
        <v/>
      </c>
      <c r="C16" s="35">
        <f>B16+C15</f>
        <v/>
      </c>
      <c r="D16" s="35">
        <f>C16+D15</f>
        <v/>
      </c>
      <c r="J16" s="2" t="inlineStr">
        <is>
          <t>将来利用に備えた原価見込み</t>
        </is>
      </c>
    </row>
    <row r="17">
      <c r="A17" t="inlineStr">
        <is>
          <t>コホート最終利用率</t>
        </is>
      </c>
      <c r="B17" s="25">
        <f>'前提'!$B$35</f>
        <v/>
      </c>
      <c r="C17" s="25">
        <f>'前提'!$B$35</f>
        <v/>
      </c>
      <c r="D17" s="25">
        <f>'前提'!$B$35</f>
        <v/>
      </c>
      <c r="J17" s="2" t="inlineStr"/>
    </row>
    <row r="19">
      <c r="A19" s="9" t="inlineStr">
        <is>
          <t>■ 利用先別の実利用額・実コスト</t>
        </is>
      </c>
    </row>
    <row r="20">
      <c r="A20" s="10" t="inlineStr">
        <is>
          <t>交換先</t>
        </is>
      </c>
      <c r="B20" s="10" t="inlineStr">
        <is>
          <t>利用マイル内構成比</t>
        </is>
      </c>
      <c r="C20" s="10" t="inlineStr">
        <is>
          <t>利用1マイル原価</t>
        </is>
      </c>
      <c r="D20" s="10" t="inlineStr">
        <is>
          <t>1年目 額面</t>
        </is>
      </c>
      <c r="E20" s="10" t="inlineStr">
        <is>
          <t>1年目 原価</t>
        </is>
      </c>
      <c r="F20" s="10" t="inlineStr">
        <is>
          <t>2年目 額面</t>
        </is>
      </c>
      <c r="G20" s="10" t="inlineStr">
        <is>
          <t>2年目 原価</t>
        </is>
      </c>
      <c r="H20" s="10" t="inlineStr">
        <is>
          <t>3年目 額面</t>
        </is>
      </c>
      <c r="I20" s="10" t="inlineStr">
        <is>
          <t>3年目 原価</t>
        </is>
      </c>
      <c r="J20" s="10" t="inlineStr">
        <is>
          <t>備考</t>
        </is>
      </c>
    </row>
    <row r="21">
      <c r="A21" s="11">
        <f>前提!A43</f>
        <v/>
      </c>
      <c r="B21" s="29">
        <f>前提!C43</f>
        <v/>
      </c>
      <c r="C21" s="31">
        <f>前提!F43</f>
        <v/>
      </c>
      <c r="D21" s="40">
        <f>$B$10*$B21</f>
        <v/>
      </c>
      <c r="E21" s="40">
        <f>D21*$C21</f>
        <v/>
      </c>
      <c r="F21" s="40">
        <f>$C$10*$B21</f>
        <v/>
      </c>
      <c r="G21" s="40">
        <f>F21*$C21</f>
        <v/>
      </c>
      <c r="H21" s="40">
        <f>$D$10*$B21</f>
        <v/>
      </c>
      <c r="I21" s="40">
        <f>H21*$C21</f>
        <v/>
      </c>
    </row>
    <row r="22">
      <c r="A22" s="11">
        <f>前提!A44</f>
        <v/>
      </c>
      <c r="B22" s="29">
        <f>前提!C44</f>
        <v/>
      </c>
      <c r="C22" s="31">
        <f>前提!F44</f>
        <v/>
      </c>
      <c r="D22" s="40">
        <f>$B$10*$B22</f>
        <v/>
      </c>
      <c r="E22" s="40">
        <f>D22*$C22</f>
        <v/>
      </c>
      <c r="F22" s="40">
        <f>$C$10*$B22</f>
        <v/>
      </c>
      <c r="G22" s="40">
        <f>F22*$C22</f>
        <v/>
      </c>
      <c r="H22" s="40">
        <f>$D$10*$B22</f>
        <v/>
      </c>
      <c r="I22" s="40">
        <f>H22*$C22</f>
        <v/>
      </c>
    </row>
    <row r="23">
      <c r="A23" s="11">
        <f>前提!A45</f>
        <v/>
      </c>
      <c r="B23" s="29">
        <f>前提!C45</f>
        <v/>
      </c>
      <c r="C23" s="31">
        <f>前提!F45</f>
        <v/>
      </c>
      <c r="D23" s="40">
        <f>$B$10*$B23</f>
        <v/>
      </c>
      <c r="E23" s="40">
        <f>D23*$C23</f>
        <v/>
      </c>
      <c r="F23" s="40">
        <f>$C$10*$B23</f>
        <v/>
      </c>
      <c r="G23" s="40">
        <f>F23*$C23</f>
        <v/>
      </c>
      <c r="H23" s="40">
        <f>$D$10*$B23</f>
        <v/>
      </c>
      <c r="I23" s="40">
        <f>H23*$C23</f>
        <v/>
      </c>
    </row>
    <row r="24">
      <c r="A24" s="11">
        <f>前提!A46</f>
        <v/>
      </c>
      <c r="B24" s="29">
        <f>前提!C46</f>
        <v/>
      </c>
      <c r="C24" s="31">
        <f>前提!F46</f>
        <v/>
      </c>
      <c r="D24" s="40">
        <f>$B$10*$B24</f>
        <v/>
      </c>
      <c r="E24" s="40">
        <f>D24*$C24</f>
        <v/>
      </c>
      <c r="F24" s="40">
        <f>$C$10*$B24</f>
        <v/>
      </c>
      <c r="G24" s="40">
        <f>F24*$C24</f>
        <v/>
      </c>
      <c r="H24" s="40">
        <f>$D$10*$B24</f>
        <v/>
      </c>
      <c r="I24" s="40">
        <f>H24*$C24</f>
        <v/>
      </c>
    </row>
    <row r="25">
      <c r="A25" s="11">
        <f>前提!A47</f>
        <v/>
      </c>
      <c r="B25" s="29">
        <f>前提!C47</f>
        <v/>
      </c>
      <c r="C25" s="31">
        <f>前提!F47</f>
        <v/>
      </c>
      <c r="D25" s="40">
        <f>$B$10*$B25</f>
        <v/>
      </c>
      <c r="E25" s="40">
        <f>D25*$C25</f>
        <v/>
      </c>
      <c r="F25" s="40">
        <f>$C$10*$B25</f>
        <v/>
      </c>
      <c r="G25" s="40">
        <f>F25*$C25</f>
        <v/>
      </c>
      <c r="H25" s="40">
        <f>$D$10*$B25</f>
        <v/>
      </c>
      <c r="I25" s="40">
        <f>H25*$C25</f>
        <v/>
      </c>
    </row>
    <row r="26">
      <c r="A26" s="11">
        <f>前提!A48</f>
        <v/>
      </c>
      <c r="B26" s="29">
        <f>前提!C48</f>
        <v/>
      </c>
      <c r="C26" s="31">
        <f>前提!F48</f>
        <v/>
      </c>
      <c r="D26" s="40">
        <f>$B$10*$B26</f>
        <v/>
      </c>
      <c r="E26" s="40">
        <f>D26*$C26</f>
        <v/>
      </c>
      <c r="F26" s="40">
        <f>$C$10*$B26</f>
        <v/>
      </c>
      <c r="G26" s="40">
        <f>F26*$C26</f>
        <v/>
      </c>
      <c r="H26" s="40">
        <f>$D$10*$B26</f>
        <v/>
      </c>
      <c r="I26" s="40">
        <f>H26*$C26</f>
        <v/>
      </c>
    </row>
    <row r="27">
      <c r="A27" s="11">
        <f>前提!A49</f>
        <v/>
      </c>
      <c r="B27" s="29">
        <f>前提!C49</f>
        <v/>
      </c>
      <c r="C27" s="31">
        <f>前提!F49</f>
        <v/>
      </c>
      <c r="D27" s="40">
        <f>$B$10*$B27</f>
        <v/>
      </c>
      <c r="E27" s="40">
        <f>D27*$C27</f>
        <v/>
      </c>
      <c r="F27" s="40">
        <f>$C$10*$B27</f>
        <v/>
      </c>
      <c r="G27" s="40">
        <f>F27*$C27</f>
        <v/>
      </c>
      <c r="H27" s="40">
        <f>$D$10*$B27</f>
        <v/>
      </c>
      <c r="I27" s="40">
        <f>H27*$C27</f>
        <v/>
      </c>
    </row>
    <row r="28">
      <c r="A28" s="18" t="inlineStr">
        <is>
          <t>合計</t>
        </is>
      </c>
      <c r="B28" s="28">
        <f>SUM(B21:B27)</f>
        <v/>
      </c>
      <c r="D28" s="38">
        <f>SUM(D21:D27)</f>
        <v/>
      </c>
      <c r="E28" s="38">
        <f>SUM(E21:E27)</f>
        <v/>
      </c>
      <c r="F28" s="38">
        <f>SUM(F21:F27)</f>
        <v/>
      </c>
      <c r="G28" s="38">
        <f>SUM(G21:G27)</f>
        <v/>
      </c>
      <c r="H28" s="38">
        <f>SUM(H21:H27)</f>
        <v/>
      </c>
      <c r="I28" s="38">
        <f>SUM(I21:I27)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14" customWidth="1" min="5" max="5"/>
    <col width="62" customWidth="1" min="6" max="6"/>
  </cols>
  <sheetData>
    <row r="1">
      <c r="A1" s="1" t="inlineStr">
        <is>
          <t>損益計算書｜WineBank ワインマイル事業 3か年</t>
        </is>
      </c>
    </row>
    <row r="2">
      <c r="A2" s="2" t="inlineStr">
        <is>
          <t>単位：万円。成功報酬は未実現のため営業利益と分けて表示。</t>
        </is>
      </c>
    </row>
    <row r="4">
      <c r="A4" s="10" t="inlineStr"/>
      <c r="B4" s="10" t="inlineStr">
        <is>
          <t>1年目</t>
        </is>
      </c>
      <c r="C4" s="10" t="inlineStr">
        <is>
          <t>2年目</t>
        </is>
      </c>
      <c r="D4" s="10" t="inlineStr">
        <is>
          <t>3年目</t>
        </is>
      </c>
      <c r="E4" s="10" t="inlineStr">
        <is>
          <t>3年累計</t>
        </is>
      </c>
      <c r="F4" s="10" t="inlineStr">
        <is>
          <t>備考</t>
        </is>
      </c>
    </row>
    <row r="5">
      <c r="A5" s="9" t="inlineStr">
        <is>
          <t>【売上高】</t>
        </is>
      </c>
    </row>
    <row r="6">
      <c r="A6" t="inlineStr">
        <is>
          <t>ワイン販売売上</t>
        </is>
      </c>
      <c r="B6" s="22">
        <f>会員・預かり資産!B15</f>
        <v/>
      </c>
      <c r="C6" s="22">
        <f>会員・預かり資産!C15</f>
        <v/>
      </c>
      <c r="D6" s="22">
        <f>会員・預かり資産!D15</f>
        <v/>
      </c>
      <c r="E6" s="22">
        <f>SUM(B6:D6)</f>
        <v/>
      </c>
      <c r="F6" s="2" t="inlineStr">
        <is>
          <t>新規預かり資産×販売を伴う比率</t>
        </is>
      </c>
    </row>
    <row r="7">
      <c r="A7" t="inlineStr">
        <is>
          <t>管理・保管手数料収入</t>
        </is>
      </c>
      <c r="B7" s="22">
        <f>会員・預かり資産!B33</f>
        <v/>
      </c>
      <c r="C7" s="22">
        <f>会員・預かり資産!C33</f>
        <v/>
      </c>
      <c r="D7" s="22">
        <f>会員・預かり資産!D33</f>
        <v/>
      </c>
      <c r="E7" s="22">
        <f>SUM(B7:D7)</f>
        <v/>
      </c>
      <c r="F7" s="2" t="inlineStr">
        <is>
          <t>期末預かり資産×2.5%</t>
        </is>
      </c>
    </row>
    <row r="8">
      <c r="A8" t="inlineStr">
        <is>
          <t>オークション手数料収入</t>
        </is>
      </c>
      <c r="B8" s="22">
        <f>会員・預かり資産!B35</f>
        <v/>
      </c>
      <c r="C8" s="22">
        <f>会員・預かり資産!C35</f>
        <v/>
      </c>
      <c r="D8" s="22">
        <f>会員・預かり資産!D35</f>
        <v/>
      </c>
      <c r="E8" s="22">
        <f>SUM(B8:D8)</f>
        <v/>
      </c>
      <c r="F8" s="2" t="inlineStr">
        <is>
          <t>買い手10%・売り手0%・当社ルート50%</t>
        </is>
      </c>
    </row>
    <row r="9">
      <c r="A9" s="18" t="inlineStr">
        <is>
          <t>売上高 計</t>
        </is>
      </c>
      <c r="B9" s="19">
        <f>SUM(B6:B8)</f>
        <v/>
      </c>
      <c r="C9" s="19">
        <f>SUM(C6:C8)</f>
        <v/>
      </c>
      <c r="D9" s="19">
        <f>SUM(D6:D8)</f>
        <v/>
      </c>
      <c r="E9" s="19">
        <f>SUM(B9:D9)</f>
        <v/>
      </c>
      <c r="F9" s="2" t="inlineStr"/>
    </row>
    <row r="10">
      <c r="A10" s="9" t="inlineStr">
        <is>
          <t>【売上原価・売上総利益】</t>
        </is>
      </c>
    </row>
    <row r="11">
      <c r="A11" t="inlineStr">
        <is>
          <t>ワイン売上原価</t>
        </is>
      </c>
      <c r="B11" s="22">
        <f>B6*(1-前提!$B$16)</f>
        <v/>
      </c>
      <c r="C11" s="22">
        <f>C6*(1-前提!$B$16)</f>
        <v/>
      </c>
      <c r="D11" s="22">
        <f>D6*(1-前提!$B$16)</f>
        <v/>
      </c>
      <c r="E11" s="22">
        <f>SUM(B11:D11)</f>
        <v/>
      </c>
      <c r="F11" s="2" t="inlineStr">
        <is>
          <t>販売粗利率30%</t>
        </is>
      </c>
    </row>
    <row r="12">
      <c r="A12" s="18" t="inlineStr">
        <is>
          <t>売上総利益</t>
        </is>
      </c>
      <c r="B12" s="19">
        <f>B9-B11</f>
        <v/>
      </c>
      <c r="C12" s="19">
        <f>C9-C11</f>
        <v/>
      </c>
      <c r="D12" s="19">
        <f>D9-D11</f>
        <v/>
      </c>
      <c r="E12" s="19">
        <f>SUM(B12:D12)</f>
        <v/>
      </c>
      <c r="F12" s="2" t="inlineStr"/>
    </row>
    <row r="13">
      <c r="A13" t="inlineStr">
        <is>
          <t>売上総利益率</t>
        </is>
      </c>
      <c r="B13" s="25">
        <f>IF(B9=0,0,B12/B9)</f>
        <v/>
      </c>
      <c r="C13" s="25">
        <f>IF(C9=0,0,C12/C9)</f>
        <v/>
      </c>
      <c r="D13" s="25">
        <f>IF(D9=0,0,D12/D9)</f>
        <v/>
      </c>
      <c r="E13" s="25">
        <f>IF(E9=0,0,E12/E9)</f>
        <v/>
      </c>
    </row>
    <row r="14">
      <c r="A14" s="9" t="inlineStr">
        <is>
          <t>【販売費及び一般管理費】</t>
        </is>
      </c>
    </row>
    <row r="15">
      <c r="A15" t="inlineStr">
        <is>
          <t>マイル費用（P/L見込計上）</t>
        </is>
      </c>
      <c r="B15" s="22">
        <f>マイル計算!B13</f>
        <v/>
      </c>
      <c r="C15" s="22">
        <f>マイル計算!C13</f>
        <v/>
      </c>
      <c r="D15" s="22">
        <f>マイル計算!D13</f>
        <v/>
      </c>
      <c r="E15" s="22">
        <f>SUM(B15:D15)</f>
        <v/>
      </c>
      <c r="F15" s="2" t="inlineStr">
        <is>
          <t>発行額×発行1マイル期待原価</t>
        </is>
      </c>
    </row>
    <row r="16">
      <c r="A16" t="inlineStr">
        <is>
          <t>預かり資産の保管・保険原価</t>
        </is>
      </c>
      <c r="B16" s="22">
        <f>会員・預かり資産!B34</f>
        <v/>
      </c>
      <c r="C16" s="22">
        <f>会員・預かり資産!C34</f>
        <v/>
      </c>
      <c r="D16" s="22">
        <f>会員・預かり資産!D34</f>
        <v/>
      </c>
      <c r="E16" s="22">
        <f>SUM(B16:D16)</f>
        <v/>
      </c>
      <c r="F16" s="2" t="inlineStr">
        <is>
          <t>期末預かり資産×1.05%</t>
        </is>
      </c>
    </row>
    <row r="17">
      <c r="A17" t="inlineStr">
        <is>
          <t>ユーザー獲得費</t>
        </is>
      </c>
      <c r="B17" s="22">
        <f>会員・預かり資産!B12</f>
        <v/>
      </c>
      <c r="C17" s="22">
        <f>会員・預かり資産!C12</f>
        <v/>
      </c>
      <c r="D17" s="22">
        <f>会員・預かり資産!D12</f>
        <v/>
      </c>
      <c r="E17" s="22">
        <f>SUM(B17:D17)</f>
        <v/>
      </c>
      <c r="F17" s="2" t="inlineStr">
        <is>
          <t>新規会員数×CPA 5万円</t>
        </is>
      </c>
    </row>
    <row r="18">
      <c r="A18" t="inlineStr">
        <is>
          <t>人件費</t>
        </is>
      </c>
      <c r="B18" s="22">
        <f>前提!B57</f>
        <v/>
      </c>
      <c r="C18" s="22">
        <f>前提!C57</f>
        <v/>
      </c>
      <c r="D18" s="22">
        <f>前提!D57</f>
        <v/>
      </c>
      <c r="E18" s="22">
        <f>SUM(B18:D18)</f>
        <v/>
      </c>
      <c r="F18" s="2" t="inlineStr">
        <is>
          <t>前提シート入力</t>
        </is>
      </c>
    </row>
    <row r="19">
      <c r="A19" t="inlineStr">
        <is>
          <t>システム開発・保守費</t>
        </is>
      </c>
      <c r="B19" s="22">
        <f>前提!B58</f>
        <v/>
      </c>
      <c r="C19" s="22">
        <f>前提!C58</f>
        <v/>
      </c>
      <c r="D19" s="22">
        <f>前提!D58</f>
        <v/>
      </c>
      <c r="E19" s="22">
        <f>SUM(B19:D19)</f>
        <v/>
      </c>
      <c r="F19" s="2" t="inlineStr">
        <is>
          <t>前提シート入力</t>
        </is>
      </c>
    </row>
    <row r="20">
      <c r="A20" t="inlineStr">
        <is>
          <t>交流イベント・コミュニティ費</t>
        </is>
      </c>
      <c r="B20" s="22">
        <f>前提!B59</f>
        <v/>
      </c>
      <c r="C20" s="22">
        <f>前提!C59</f>
        <v/>
      </c>
      <c r="D20" s="22">
        <f>前提!D59</f>
        <v/>
      </c>
      <c r="E20" s="22">
        <f>SUM(B20:D20)</f>
        <v/>
      </c>
      <c r="F20" s="2" t="inlineStr">
        <is>
          <t>前提シート入力</t>
        </is>
      </c>
    </row>
    <row r="21">
      <c r="A21" t="inlineStr">
        <is>
          <t>その他固定販管費</t>
        </is>
      </c>
      <c r="B21" s="22">
        <f>前提!B60</f>
        <v/>
      </c>
      <c r="C21" s="22">
        <f>前提!C60</f>
        <v/>
      </c>
      <c r="D21" s="22">
        <f>前提!D60</f>
        <v/>
      </c>
      <c r="E21" s="22">
        <f>SUM(B21:D21)</f>
        <v/>
      </c>
      <c r="F21" s="2" t="inlineStr">
        <is>
          <t>前提シート入力</t>
        </is>
      </c>
    </row>
    <row r="22">
      <c r="A22" t="inlineStr">
        <is>
          <t>自社在庫の保管・保険料</t>
        </is>
      </c>
      <c r="B22" s="22">
        <f>前提!B61</f>
        <v/>
      </c>
      <c r="C22" s="22">
        <f>前提!C61</f>
        <v/>
      </c>
      <c r="D22" s="22">
        <f>前提!D61</f>
        <v/>
      </c>
      <c r="E22" s="22">
        <f>SUM(B22:D22)</f>
        <v/>
      </c>
      <c r="F22" s="2" t="inlineStr">
        <is>
          <t>前提シート入力</t>
        </is>
      </c>
    </row>
    <row r="23">
      <c r="A23" s="18" t="inlineStr">
        <is>
          <t>販管費 計</t>
        </is>
      </c>
      <c r="B23" s="19">
        <f>SUM(B15:B22)</f>
        <v/>
      </c>
      <c r="C23" s="19">
        <f>SUM(C15:C22)</f>
        <v/>
      </c>
      <c r="D23" s="19">
        <f>SUM(D15:D22)</f>
        <v/>
      </c>
      <c r="E23" s="19">
        <f>SUM(B23:D23)</f>
        <v/>
      </c>
      <c r="F23" s="2" t="inlineStr"/>
    </row>
    <row r="24">
      <c r="A24" s="18" t="inlineStr">
        <is>
          <t>営業利益</t>
        </is>
      </c>
      <c r="B24" s="36">
        <f>B12-B23</f>
        <v/>
      </c>
      <c r="C24" s="36">
        <f>C12-C23</f>
        <v/>
      </c>
      <c r="D24" s="36">
        <f>D12-D23</f>
        <v/>
      </c>
      <c r="E24" s="36">
        <f>SUM(B24:D24)</f>
        <v/>
      </c>
      <c r="F24" s="2" t="inlineStr"/>
    </row>
    <row r="25">
      <c r="A25" t="inlineStr">
        <is>
          <t>営業利益率</t>
        </is>
      </c>
      <c r="B25" s="25">
        <f>IF(B9=0,0,B24/B9)</f>
        <v/>
      </c>
      <c r="C25" s="25">
        <f>IF(C9=0,0,C24/C9)</f>
        <v/>
      </c>
      <c r="D25" s="25">
        <f>IF(D9=0,0,D24/D9)</f>
        <v/>
      </c>
      <c r="E25" s="25">
        <f>IF(E9=0,0,E24/E9)</f>
        <v/>
      </c>
    </row>
    <row r="26">
      <c r="A26" s="9" t="inlineStr">
        <is>
          <t>【営業外損益】</t>
        </is>
      </c>
    </row>
    <row r="27">
      <c r="A27" t="inlineStr">
        <is>
          <t>支払利息</t>
        </is>
      </c>
      <c r="B27" s="22">
        <f>前提!B62</f>
        <v/>
      </c>
      <c r="C27" s="22">
        <f>前提!C62</f>
        <v/>
      </c>
      <c r="D27" s="22">
        <f>前提!D62</f>
        <v/>
      </c>
      <c r="E27" s="22">
        <f>SUM(B27:D27)</f>
        <v/>
      </c>
      <c r="F27" s="2" t="inlineStr">
        <is>
          <t>買付借入1.2億×3%</t>
        </is>
      </c>
    </row>
    <row r="28">
      <c r="A28" s="18" t="inlineStr">
        <is>
          <t>経常利益</t>
        </is>
      </c>
      <c r="B28" s="36">
        <f>B24-B27</f>
        <v/>
      </c>
      <c r="C28" s="36">
        <f>C24-C27</f>
        <v/>
      </c>
      <c r="D28" s="36">
        <f>D24-D27</f>
        <v/>
      </c>
      <c r="E28" s="36">
        <f>SUM(B28:D28)</f>
        <v/>
      </c>
      <c r="F28" s="2" t="inlineStr"/>
    </row>
    <row r="29">
      <c r="A29" t="inlineStr">
        <is>
          <t>経常利益率</t>
        </is>
      </c>
      <c r="B29" s="25">
        <f>IF(B9=0,0,B28/B9)</f>
        <v/>
      </c>
      <c r="C29" s="25">
        <f>IF(C9=0,0,C28/C9)</f>
        <v/>
      </c>
      <c r="D29" s="25">
        <f>IF(D9=0,0,D28/D9)</f>
        <v/>
      </c>
      <c r="E29" s="25">
        <f>IF(E9=0,0,E28/E9)</f>
        <v/>
      </c>
    </row>
    <row r="31">
      <c r="A31" s="9" t="inlineStr">
        <is>
          <t>【参考：成功報酬の経済発生（契約終了時まで未実現）】</t>
        </is>
      </c>
    </row>
    <row r="32">
      <c r="A32" t="inlineStr">
        <is>
          <t>成功報酬の経済発生額</t>
        </is>
      </c>
      <c r="B32" s="22">
        <f>会員・預かり資産!B38</f>
        <v/>
      </c>
      <c r="C32" s="22">
        <f>会員・預かり資産!C38</f>
        <v/>
      </c>
      <c r="D32" s="22">
        <f>会員・預かり資産!D38</f>
        <v/>
      </c>
      <c r="E32" s="22">
        <f>SUM(B32:D32)</f>
        <v/>
      </c>
      <c r="F32" s="2" t="inlineStr">
        <is>
          <t>預かり資産×値上がり率6%×成功報酬率25%</t>
        </is>
      </c>
    </row>
    <row r="33">
      <c r="A33" s="18" t="inlineStr">
        <is>
          <t>経済利益（経常利益＋成功報酬発生）</t>
        </is>
      </c>
      <c r="B33" s="19">
        <f>B28+B32</f>
        <v/>
      </c>
      <c r="C33" s="19">
        <f>C28+C32</f>
        <v/>
      </c>
      <c r="D33" s="19">
        <f>D28+D32</f>
        <v/>
      </c>
      <c r="E33" s="19">
        <f>SUM(B33:D33)</f>
        <v/>
      </c>
      <c r="F33" s="2" t="inlineStr"/>
    </row>
    <row r="35">
      <c r="A35" s="9" t="inlineStr">
        <is>
          <t>【★利益の源泉分解｜フロー依存度の確認】</t>
        </is>
      </c>
    </row>
    <row r="36">
      <c r="A36" t="inlineStr">
        <is>
          <t>ワイン販売粗利（フロー）</t>
        </is>
      </c>
      <c r="B36" s="22">
        <f>B6-B11</f>
        <v/>
      </c>
      <c r="C36" s="22">
        <f>C6-C11</f>
        <v/>
      </c>
      <c r="D36" s="22">
        <f>D6-D11</f>
        <v/>
      </c>
      <c r="E36" s="22">
        <f>SUM(B36:D36)</f>
        <v/>
      </c>
      <c r="F36" s="2" t="inlineStr">
        <is>
          <t>新規販売がある限りの利益</t>
        </is>
      </c>
    </row>
    <row r="37">
      <c r="A37" t="inlineStr">
        <is>
          <t>ストック損益（成功報酬前）</t>
        </is>
      </c>
      <c r="B37" s="22">
        <f>会員・預かり資産!B40</f>
        <v/>
      </c>
      <c r="C37" s="22">
        <f>会員・預かり資産!C40</f>
        <v/>
      </c>
      <c r="D37" s="22">
        <f>会員・預かり資産!D40</f>
        <v/>
      </c>
      <c r="E37" s="22">
        <f>SUM(B37:D37)</f>
        <v/>
      </c>
      <c r="F37" s="2" t="inlineStr">
        <is>
          <t>手数料－保管－マイル＋オークション</t>
        </is>
      </c>
    </row>
    <row r="38">
      <c r="A38" t="inlineStr">
        <is>
          <t>ユーザー獲得費</t>
        </is>
      </c>
      <c r="B38" s="22">
        <f>-会員・預かり資産!B12</f>
        <v/>
      </c>
      <c r="C38" s="22">
        <f>-会員・預かり資産!C12</f>
        <v/>
      </c>
      <c r="D38" s="22">
        <f>-会員・預かり資産!D12</f>
        <v/>
      </c>
      <c r="E38" s="22">
        <f>SUM(B38:D38)</f>
        <v/>
      </c>
      <c r="F38" s="2" t="inlineStr"/>
    </row>
    <row r="39">
      <c r="A39" t="inlineStr">
        <is>
          <t>固定費・自社在庫</t>
        </is>
      </c>
      <c r="B39" s="22">
        <f>-SUM(B18:B22)</f>
        <v/>
      </c>
      <c r="C39" s="22">
        <f>-SUM(C18:C22)</f>
        <v/>
      </c>
      <c r="D39" s="22">
        <f>-SUM(D18:D22)</f>
        <v/>
      </c>
      <c r="E39" s="22">
        <f>SUM(B39:D39)</f>
        <v/>
      </c>
      <c r="F39" s="2" t="inlineStr"/>
    </row>
    <row r="40">
      <c r="A40" s="18" t="inlineStr">
        <is>
          <t>営業利益（検算）</t>
        </is>
      </c>
      <c r="B40" s="19">
        <f>SUM(B36:B39)</f>
        <v/>
      </c>
      <c r="C40" s="19">
        <f>SUM(C36:C39)</f>
        <v/>
      </c>
      <c r="D40" s="19">
        <f>SUM(D36:D39)</f>
        <v/>
      </c>
      <c r="E40" s="19">
        <f>SUM(B40:D40)</f>
        <v/>
      </c>
      <c r="F40" s="2" t="inlineStr"/>
    </row>
    <row r="41">
      <c r="A41" s="18" t="inlineStr">
        <is>
          <t>フロー（販売粗利）依存度</t>
        </is>
      </c>
      <c r="B41" s="28">
        <f>IF(B24=0,0,B36/B24)</f>
        <v/>
      </c>
      <c r="C41" s="28">
        <f>IF(C24=0,0,C36/C24)</f>
        <v/>
      </c>
      <c r="D41" s="28">
        <f>IF(D24=0,0,D36/D24)</f>
        <v/>
      </c>
      <c r="E41" s="28">
        <f>IF(E24=0,0,E36/E24)</f>
        <v/>
      </c>
      <c r="F41" s="2" t="inlineStr">
        <is>
          <t>100%超＝新規販売が止まると赤字。ストック単独で黒字化するほど依存度は下がる</t>
        </is>
      </c>
    </row>
    <row r="43">
      <c r="A43" s="9" t="inlineStr">
        <is>
          <t>【ストック部分だけの採算】</t>
        </is>
      </c>
    </row>
    <row r="44">
      <c r="A44" s="18" t="inlineStr">
        <is>
          <t>ストック損益（成功報酬前）</t>
        </is>
      </c>
      <c r="B44" s="19">
        <f>会員・預かり資産!B40</f>
        <v/>
      </c>
      <c r="C44" s="19">
        <f>会員・預かり資産!C40</f>
        <v/>
      </c>
      <c r="D44" s="19">
        <f>会員・預かり資産!D40</f>
        <v/>
      </c>
      <c r="E44" s="19">
        <f>SUM(B44:D44)</f>
        <v/>
      </c>
      <c r="F44" s="2" t="inlineStr"/>
    </row>
    <row r="45">
      <c r="A45" s="18" t="inlineStr">
        <is>
          <t>ストック経済損益（成功報酬込）</t>
        </is>
      </c>
      <c r="B45" s="19">
        <f>会員・預かり資産!B41</f>
        <v/>
      </c>
      <c r="C45" s="19">
        <f>会員・預かり資産!C41</f>
        <v/>
      </c>
      <c r="D45" s="19">
        <f>会員・預かり資産!D41</f>
        <v/>
      </c>
      <c r="E45" s="19">
        <f>SUM(B45:D45)</f>
        <v/>
      </c>
      <c r="F45" s="2" t="inlineStr"/>
    </row>
    <row r="46">
      <c r="A46" t="inlineStr">
        <is>
          <t>ストック利幅（成功報酬前）</t>
        </is>
      </c>
      <c r="B46" s="20">
        <f>会員・預かり資産!B42</f>
        <v/>
      </c>
      <c r="C46" s="20">
        <f>会員・預かり資産!C42</f>
        <v/>
      </c>
      <c r="D46" s="20">
        <f>会員・預かり資産!D42</f>
        <v/>
      </c>
    </row>
    <row r="47">
      <c r="A47" t="inlineStr">
        <is>
          <t>ストック利幅（成功報酬込）</t>
        </is>
      </c>
      <c r="B47" s="20">
        <f>会員・預かり資産!B43</f>
        <v/>
      </c>
      <c r="C47" s="20">
        <f>会員・預かり資産!C43</f>
        <v/>
      </c>
      <c r="D47" s="20">
        <f>会員・預かり資産!D43</f>
        <v/>
      </c>
    </row>
    <row r="48">
      <c r="A48" s="18" t="inlineStr">
        <is>
          <t>損益分岐となる発行1マイル期待原価</t>
        </is>
      </c>
      <c r="B48" s="33">
        <f>IF(会員・預かり資産!B37=0,0,(前提!$C$6-前提!$B$19+前提!$B$32)/会員・預かり資産!B37)</f>
        <v/>
      </c>
      <c r="C48" s="33">
        <f>IF(会員・預かり資産!C37=0,0,(前提!$C$6-前提!$B$19+前提!$B$32)/会員・預かり資産!C37)</f>
        <v/>
      </c>
      <c r="D48" s="33">
        <f>IF(会員・預かり資産!D37=0,0,(前提!$C$6-前提!$B$19+前提!$B$32)/会員・預かり資産!D37)</f>
        <v/>
      </c>
    </row>
    <row r="49">
      <c r="A49" s="18" t="inlineStr">
        <is>
          <t>現在の発行1マイル期待原価</t>
        </is>
      </c>
      <c r="B49" s="33">
        <f>'前提'!$B$51</f>
        <v/>
      </c>
      <c r="C49" s="33">
        <f>'前提'!$B$51</f>
        <v/>
      </c>
      <c r="D49" s="33">
        <f>'前提'!$B$51</f>
        <v/>
      </c>
    </row>
    <row r="50">
      <c r="A50" s="18" t="inlineStr">
        <is>
          <t>判定</t>
        </is>
      </c>
      <c r="B50" s="41">
        <f>IF(B49&lt;=B48,"OK：ストック単体で黒字","要改善：成功報酬前は赤字")</f>
        <v/>
      </c>
      <c r="C50" s="41">
        <f>IF(C49&lt;=C48,"OK：ストック単体で黒字","要改善：成功報酬前は赤字")</f>
        <v/>
      </c>
      <c r="D50" s="41">
        <f>IF(D49&lt;=D48,"OK：ストック単体で黒字","要改善：成功報酬前は赤字")</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52" customWidth="1" min="6" max="6"/>
  </cols>
  <sheetData>
    <row r="1">
      <c r="A1" s="1" t="inlineStr">
        <is>
          <t>キャッシュフロー｜3か年</t>
        </is>
      </c>
    </row>
    <row r="2">
      <c r="A2" s="2" t="inlineStr">
        <is>
          <t>成功報酬は契約終了時まで現金化しないため本表に含めない。単位：万円</t>
        </is>
      </c>
    </row>
    <row r="4">
      <c r="A4" s="10" t="inlineStr">
        <is>
          <t>項目</t>
        </is>
      </c>
      <c r="B4" s="10" t="inlineStr">
        <is>
          <t>1年目</t>
        </is>
      </c>
      <c r="C4" s="10" t="inlineStr">
        <is>
          <t>2年目</t>
        </is>
      </c>
      <c r="D4" s="10" t="inlineStr">
        <is>
          <t>3年目</t>
        </is>
      </c>
      <c r="E4" s="10" t="inlineStr">
        <is>
          <t>3年累計</t>
        </is>
      </c>
      <c r="F4" s="10" t="inlineStr">
        <is>
          <t>備考</t>
        </is>
      </c>
    </row>
    <row r="5">
      <c r="A5" t="inlineStr">
        <is>
          <t>営業利益</t>
        </is>
      </c>
      <c r="B5" s="22">
        <f>損益計算書!B24</f>
        <v/>
      </c>
      <c r="C5" s="22">
        <f>損益計算書!C24</f>
        <v/>
      </c>
      <c r="D5" s="22">
        <f>損益計算書!D24</f>
        <v/>
      </c>
      <c r="E5" s="22">
        <f>SUM(B5:D5)</f>
        <v/>
      </c>
      <c r="F5" s="2" t="inlineStr">
        <is>
          <t>P/Lより</t>
        </is>
      </c>
    </row>
    <row r="6">
      <c r="A6" t="inlineStr">
        <is>
          <t>＋マイル費用（P/L計上・非現金分）</t>
        </is>
      </c>
      <c r="B6" s="22">
        <f>マイル計算!B13</f>
        <v/>
      </c>
      <c r="C6" s="22">
        <f>マイル計算!C13</f>
        <v/>
      </c>
      <c r="D6" s="22">
        <f>マイル計算!D13</f>
        <v/>
      </c>
      <c r="E6" s="22">
        <f>SUM(B6:D6)</f>
        <v/>
      </c>
      <c r="F6" s="2" t="inlineStr">
        <is>
          <t>発行時に費用計上した額を戻す</t>
        </is>
      </c>
    </row>
    <row r="7">
      <c r="A7" t="inlineStr">
        <is>
          <t>▲実利用マイル原価（現金流出）</t>
        </is>
      </c>
      <c r="B7" s="22">
        <f>-マイル計算!B14</f>
        <v/>
      </c>
      <c r="C7" s="22">
        <f>-マイル計算!C14</f>
        <v/>
      </c>
      <c r="D7" s="22">
        <f>-マイル計算!D14</f>
        <v/>
      </c>
      <c r="E7" s="22">
        <f>SUM(B7:D7)</f>
        <v/>
      </c>
      <c r="F7" s="2" t="inlineStr">
        <is>
          <t>実際に使われた年の原価</t>
        </is>
      </c>
    </row>
    <row r="8">
      <c r="A8" s="18" t="inlineStr">
        <is>
          <t>営業キャッシュフロー（在庫投資前）</t>
        </is>
      </c>
      <c r="B8" s="36">
        <f>SUM(B5:B7)</f>
        <v/>
      </c>
      <c r="C8" s="36">
        <f>SUM(C5:C7)</f>
        <v/>
      </c>
      <c r="D8" s="36">
        <f>SUM(D5:D7)</f>
        <v/>
      </c>
      <c r="E8" s="36">
        <f>SUM(B8:D8)</f>
        <v/>
      </c>
      <c r="F8" s="2" t="inlineStr"/>
    </row>
    <row r="9">
      <c r="A9" t="inlineStr">
        <is>
          <t>▲新規ワイン買付（在庫投資）</t>
        </is>
      </c>
      <c r="B9" s="22">
        <f>-前提!B65</f>
        <v/>
      </c>
      <c r="C9" s="22">
        <f>-前提!C65</f>
        <v/>
      </c>
      <c r="D9" s="22">
        <f>-前提!D65</f>
        <v/>
      </c>
      <c r="E9" s="22">
        <f>SUM(B9:D9)</f>
        <v/>
      </c>
      <c r="F9" s="2" t="inlineStr">
        <is>
          <t>1年目1.2億の買付</t>
        </is>
      </c>
    </row>
    <row r="10">
      <c r="A10" t="inlineStr">
        <is>
          <t>▲支払利息</t>
        </is>
      </c>
      <c r="B10" s="22">
        <f>-損益計算書!B27</f>
        <v/>
      </c>
      <c r="C10" s="22">
        <f>-損益計算書!C27</f>
        <v/>
      </c>
      <c r="D10" s="22">
        <f>-損益計算書!D27</f>
        <v/>
      </c>
      <c r="E10" s="22">
        <f>SUM(B10:D10)</f>
        <v/>
      </c>
      <c r="F10" s="2" t="inlineStr"/>
    </row>
    <row r="11">
      <c r="A11" s="18" t="inlineStr">
        <is>
          <t>純キャッシュフロー</t>
        </is>
      </c>
      <c r="B11" s="36">
        <f>B8+B9+B10</f>
        <v/>
      </c>
      <c r="C11" s="36">
        <f>C8+C9+C10</f>
        <v/>
      </c>
      <c r="D11" s="36">
        <f>D8+D9+D10</f>
        <v/>
      </c>
      <c r="E11" s="36">
        <f>SUM(B11:D11)</f>
        <v/>
      </c>
      <c r="F11" s="2" t="inlineStr"/>
    </row>
    <row r="12">
      <c r="A12" s="18" t="inlineStr">
        <is>
          <t>累計キャッシュフロー</t>
        </is>
      </c>
      <c r="B12" s="19">
        <f>B11</f>
        <v/>
      </c>
      <c r="C12" s="19">
        <f>B12+C11</f>
        <v/>
      </c>
      <c r="D12" s="19">
        <f>C12+D11</f>
        <v/>
      </c>
    </row>
    <row r="14">
      <c r="A14" s="9" t="inlineStr">
        <is>
          <t>【参考：未実現の経済価値】</t>
        </is>
      </c>
    </row>
    <row r="15">
      <c r="A15" t="inlineStr">
        <is>
          <t>成功報酬の累計発生額</t>
        </is>
      </c>
      <c r="B15" s="22">
        <f>損益計算書!B32</f>
        <v/>
      </c>
      <c r="C15" s="22">
        <f>B15+損益計算書!C32</f>
        <v/>
      </c>
      <c r="D15" s="22">
        <f>C15+損益計算書!D32</f>
        <v/>
      </c>
      <c r="F15" s="2" t="inlineStr">
        <is>
          <t>契約終了時に精算。3年時点では現金化していない</t>
        </is>
      </c>
    </row>
    <row r="16">
      <c r="A16" t="inlineStr">
        <is>
          <t>期末未払マイル原価（将来の現金流出）</t>
        </is>
      </c>
      <c r="B16" s="22">
        <f>マイル計算!B16</f>
        <v/>
      </c>
      <c r="C16" s="22">
        <f>マイル計算!C16</f>
        <v/>
      </c>
      <c r="D16" s="22">
        <f>マイル計算!D16</f>
        <v/>
      </c>
      <c r="F16" s="2" t="inlineStr">
        <is>
          <t>翌年度以降に利用される分の原価見込み</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20" customWidth="1" min="1" max="1"/>
    <col width="22" customWidth="1" min="2" max="2"/>
    <col width="24" customWidth="1" min="3" max="3"/>
    <col width="24" customWidth="1" min="4" max="4"/>
    <col width="26" customWidth="1" min="5" max="5"/>
    <col width="28" customWidth="1" min="6" max="6"/>
    <col width="3" customWidth="1" min="7" max="7"/>
    <col width="58" customWidth="1" min="8" max="8"/>
  </cols>
  <sheetData>
    <row r="1">
      <c r="A1" s="1" t="inlineStr">
        <is>
          <t>感度分析｜交換レート・原価率・利用率・販売比率</t>
        </is>
      </c>
    </row>
    <row r="2">
      <c r="A2" s="2" t="inlineStr">
        <is>
          <t>中谷氏コメント「レストランは1.0でなく0.8でもよいのでは」への定量回答を含む。</t>
        </is>
      </c>
    </row>
    <row r="4">
      <c r="A4" s="9" t="inlineStr">
        <is>
          <t>■ A. 系列レストランの交換レート別（原価率は90%のまま）</t>
        </is>
      </c>
    </row>
    <row r="5">
      <c r="A5" s="10" t="inlineStr">
        <is>
          <t>交換レート</t>
        </is>
      </c>
      <c r="B5" s="10" t="inlineStr">
        <is>
          <t>発行1マイル 当社原価</t>
        </is>
      </c>
      <c r="C5" s="10" t="inlineStr">
        <is>
          <t>ストック利幅（成功報酬前）</t>
        </is>
      </c>
      <c r="D5" s="10" t="inlineStr">
        <is>
          <t>ストック利幅（成功報酬込）</t>
        </is>
      </c>
      <c r="E5" s="10" t="inlineStr">
        <is>
          <t>100万会員の実質メリット率</t>
        </is>
      </c>
      <c r="F5" s="10" t="inlineStr">
        <is>
          <t>100万会員の実質メリット額（円）</t>
        </is>
      </c>
    </row>
    <row r="6">
      <c r="A6" s="30" t="n">
        <v>1</v>
      </c>
      <c r="B6" s="31">
        <f>'前提'!$B$35*('前提'!C43*$A6*'前提'!E43+SUMPRODUCT('前提'!C44:C49,'前提'!D44:D49,'前提'!E44:E49))</f>
        <v/>
      </c>
      <c r="C6" s="42">
        <f>'前提'!$C$6-'前提'!$B$19+'前提'!$B$32-会員・預かり資産!$B$37*B6</f>
        <v/>
      </c>
      <c r="D6" s="42">
        <f>C6+前提!$B$17*前提!$B$18</f>
        <v/>
      </c>
      <c r="E6" s="42">
        <f>前提!$D$6*('前提'!$B$35*('前提'!C43*$A6+SUMPRODUCT('前提'!C44:C49,'前提'!D44:D49)))-'前提'!$C$6</f>
        <v/>
      </c>
      <c r="F6" s="12">
        <f>E6*前提!$B$6*10000</f>
        <v/>
      </c>
      <c r="H6" s="2" t="inlineStr">
        <is>
          <t>レートを下げると当社利幅は改善するが、会員メリットが同率で削られる。</t>
        </is>
      </c>
    </row>
    <row r="7">
      <c r="A7" s="30" t="n">
        <v>0.9</v>
      </c>
      <c r="B7" s="31">
        <f>'前提'!$B$35*('前提'!C43*$A7*'前提'!E43+SUMPRODUCT('前提'!C44:C49,'前提'!D44:D49,'前提'!E44:E49))</f>
        <v/>
      </c>
      <c r="C7" s="42">
        <f>'前提'!$C$6-'前提'!$B$19+'前提'!$B$32-会員・預かり資産!$B$37*B7</f>
        <v/>
      </c>
      <c r="D7" s="42">
        <f>C7+前提!$B$17*前提!$B$18</f>
        <v/>
      </c>
      <c r="E7" s="42">
        <f>前提!$D$6*('前提'!$B$35*('前提'!C43*$A7+SUMPRODUCT('前提'!C44:C49,'前提'!D44:D49)))-'前提'!$C$6</f>
        <v/>
      </c>
      <c r="F7" s="12">
        <f>E7*前提!$B$6*10000</f>
        <v/>
      </c>
      <c r="H7" s="2" t="inlineStr">
        <is>
          <t>系列レストランは会員が「1マイル＝1円」を実感する中核チャネルであり、</t>
        </is>
      </c>
    </row>
    <row r="8">
      <c r="A8" s="30" t="n">
        <v>0.8</v>
      </c>
      <c r="B8" s="31">
        <f>'前提'!$B$35*('前提'!C43*$A8*'前提'!E43+SUMPRODUCT('前提'!C44:C49,'前提'!D44:D49,'前提'!E44:E49))</f>
        <v/>
      </c>
      <c r="C8" s="42">
        <f>'前提'!$C$6-'前提'!$B$19+'前提'!$B$32-会員・預かり資産!$B$37*B8</f>
        <v/>
      </c>
      <c r="D8" s="42">
        <f>C8+前提!$B$17*前提!$B$18</f>
        <v/>
      </c>
      <c r="E8" s="42">
        <f>前提!$D$6*('前提'!$B$35*('前提'!C43*$A8+SUMPRODUCT('前提'!C44:C49,'前提'!D44:D49)))-'前提'!$C$6</f>
        <v/>
      </c>
      <c r="F8" s="12">
        <f>E8*前提!$B$6*10000</f>
        <v/>
      </c>
      <c r="H8" s="2" t="inlineStr">
        <is>
          <t>ここを削ると訴求力が最も大きく毀損する。次表Bの方が費用対効果が高い。</t>
        </is>
      </c>
    </row>
    <row r="9">
      <c r="A9" s="30" t="n">
        <v>0.7</v>
      </c>
      <c r="B9" s="31">
        <f>'前提'!$B$35*('前提'!C43*$A9*'前提'!E43+SUMPRODUCT('前提'!C44:C49,'前提'!D44:D49,'前提'!E44:E49))</f>
        <v/>
      </c>
      <c r="C9" s="42">
        <f>'前提'!$C$6-'前提'!$B$19+'前提'!$B$32-会員・預かり資産!$B$37*B9</f>
        <v/>
      </c>
      <c r="D9" s="42">
        <f>C9+前提!$B$17*前提!$B$18</f>
        <v/>
      </c>
      <c r="E9" s="42">
        <f>前提!$D$6*('前提'!$B$35*('前提'!C43*$A9+SUMPRODUCT('前提'!C44:C49,'前提'!D44:D49)))-'前提'!$C$6</f>
        <v/>
      </c>
      <c r="F9" s="12">
        <f>E9*前提!$B$6*10000</f>
        <v/>
      </c>
    </row>
    <row r="11">
      <c r="A11" s="9" t="inlineStr">
        <is>
          <t>■ B. 系列レストランの当社原価率別（交換レートは1.0のまま）</t>
        </is>
      </c>
    </row>
    <row r="12">
      <c r="A12" s="10" t="inlineStr">
        <is>
          <t>当社原価率</t>
        </is>
      </c>
      <c r="B12" s="10" t="inlineStr">
        <is>
          <t>発行1マイル 当社原価</t>
        </is>
      </c>
      <c r="C12" s="10" t="inlineStr">
        <is>
          <t>ストック利幅（成功報酬前）</t>
        </is>
      </c>
      <c r="D12" s="10" t="inlineStr">
        <is>
          <t>ストック利幅（成功報酬込）</t>
        </is>
      </c>
      <c r="E12" s="10" t="inlineStr">
        <is>
          <t>100万会員の実質メリット率</t>
        </is>
      </c>
      <c r="F12" s="10" t="inlineStr">
        <is>
          <t>100万会員の実質メリット額（円）</t>
        </is>
      </c>
    </row>
    <row r="13">
      <c r="A13" s="23" t="n">
        <v>0.9</v>
      </c>
      <c r="B13" s="31">
        <f>'前提'!$B$35*('前提'!C43*'前提'!D43*$A13+SUMPRODUCT('前提'!C44:C49,'前提'!D44:D49,'前提'!E44:E49))</f>
        <v/>
      </c>
      <c r="C13" s="42">
        <f>'前提'!$C$6-'前提'!$B$19+'前提'!$B$32-会員・預かり資産!$B$37*B13</f>
        <v/>
      </c>
      <c r="D13" s="42">
        <f>C13+前提!$B$17*前提!$B$18</f>
        <v/>
      </c>
      <c r="E13" s="42">
        <f>前提!$D$6*('前提'!$B$35*('前提'!C43*'前提'!D43+SUMPRODUCT('前提'!C44:C49,'前提'!D44:D49)))-'前提'!$C$6</f>
        <v/>
      </c>
      <c r="F13" s="12">
        <f>E13*前提!$B$6*10000</f>
        <v/>
      </c>
      <c r="H13" s="2" t="inlineStr">
        <is>
          <t>満席・機会損失前提（現状の置き方）</t>
        </is>
      </c>
    </row>
    <row r="14">
      <c r="A14" s="23" t="n">
        <v>0.7</v>
      </c>
      <c r="B14" s="31">
        <f>'前提'!$B$35*('前提'!C43*'前提'!D43*$A14+SUMPRODUCT('前提'!C44:C49,'前提'!D44:D49,'前提'!E44:E49))</f>
        <v/>
      </c>
      <c r="C14" s="42">
        <f>'前提'!$C$6-'前提'!$B$19+'前提'!$B$32-会員・預かり資産!$B$37*B14</f>
        <v/>
      </c>
      <c r="D14" s="42">
        <f>C14+前提!$B$17*前提!$B$18</f>
        <v/>
      </c>
      <c r="E14" s="42">
        <f>前提!$D$6*('前提'!$B$35*('前提'!C43*'前提'!D43+SUMPRODUCT('前提'!C44:C49,'前提'!D44:D49)))-'前提'!$C$6</f>
        <v/>
      </c>
      <c r="F14" s="12">
        <f>E14*前提!$B$6*10000</f>
        <v/>
      </c>
      <c r="H14" s="2" t="inlineStr">
        <is>
          <t>一部を現金併用（マイル充当上限50%）</t>
        </is>
      </c>
    </row>
    <row r="15">
      <c r="A15" s="23" t="n">
        <v>0.55</v>
      </c>
      <c r="B15" s="31">
        <f>'前提'!$B$35*('前提'!C43*'前提'!D43*$A15+SUMPRODUCT('前提'!C44:C49,'前提'!D44:D49,'前提'!E44:E49))</f>
        <v/>
      </c>
      <c r="C15" s="42">
        <f>'前提'!$C$6-'前提'!$B$19+'前提'!$B$32-会員・預かり資産!$B$37*B15</f>
        <v/>
      </c>
      <c r="D15" s="42">
        <f>C15+前提!$B$17*前提!$B$18</f>
        <v/>
      </c>
      <c r="E15" s="42">
        <f>前提!$D$6*('前提'!$B$35*('前提'!C43*'前提'!D43+SUMPRODUCT('前提'!C44:C49,'前提'!D44:D49)))-'前提'!$C$6</f>
        <v/>
      </c>
      <c r="F15" s="12">
        <f>E15*前提!$B$6*10000</f>
        <v/>
      </c>
      <c r="H15" s="2" t="inlineStr">
        <is>
          <t>平日オフピーク枠に限定（変動費中心）</t>
        </is>
      </c>
    </row>
    <row r="16">
      <c r="A16" s="23" t="n">
        <v>0.4</v>
      </c>
      <c r="B16" s="31">
        <f>'前提'!$B$35*('前提'!C43*'前提'!D43*$A16+SUMPRODUCT('前提'!C44:C49,'前提'!D44:D49,'前提'!E44:E49))</f>
        <v/>
      </c>
      <c r="C16" s="42">
        <f>'前提'!$C$6-'前提'!$B$19+'前提'!$B$32-会員・預かり資産!$B$37*B16</f>
        <v/>
      </c>
      <c r="D16" s="42">
        <f>C16+前提!$B$17*前提!$B$18</f>
        <v/>
      </c>
      <c r="E16" s="42">
        <f>前提!$D$6*('前提'!$B$35*('前提'!C43*'前提'!D43+SUMPRODUCT('前提'!C44:C49,'前提'!D44:D49)))-'前提'!$C$6</f>
        <v/>
      </c>
      <c r="F16" s="12">
        <f>E16*前提!$B$6*10000</f>
        <v/>
      </c>
      <c r="H16" s="2" t="inlineStr">
        <is>
          <t>F&amp;B原価のみ（空席を埋める前提）</t>
        </is>
      </c>
    </row>
    <row r="17">
      <c r="H17" s="43" t="inlineStr">
        <is>
          <t>原価率を下げても会員メリット率は一切変わらない（E列は全行同値）のが要点。</t>
        </is>
      </c>
    </row>
    <row r="19">
      <c r="A19" s="9" t="inlineStr">
        <is>
          <t>■ C. 最終利用率別（失効益への依存度）</t>
        </is>
      </c>
    </row>
    <row r="20">
      <c r="A20" s="10" t="inlineStr">
        <is>
          <t>最終利用率</t>
        </is>
      </c>
      <c r="B20" s="10" t="inlineStr">
        <is>
          <t>発行1マイル 当社原価</t>
        </is>
      </c>
      <c r="C20" s="10" t="inlineStr">
        <is>
          <t>ストック利幅（成功報酬前）</t>
        </is>
      </c>
      <c r="D20" s="10" t="inlineStr">
        <is>
          <t>ストック利幅（成功報酬込）</t>
        </is>
      </c>
      <c r="E20" s="10" t="inlineStr">
        <is>
          <t>100万会員の実質メリット率</t>
        </is>
      </c>
      <c r="F20" s="10" t="inlineStr"/>
    </row>
    <row r="21">
      <c r="A21" s="23" t="n">
        <v>0.9</v>
      </c>
      <c r="B21" s="31">
        <f>$A21*'前提'!$F$50</f>
        <v/>
      </c>
      <c r="C21" s="42">
        <f>'前提'!$C$6-'前提'!$B$19+'前提'!$B$32-会員・預かり資産!$B$37*B21</f>
        <v/>
      </c>
      <c r="D21" s="42">
        <f>C21+前提!$B$17*前提!$B$18</f>
        <v/>
      </c>
      <c r="E21" s="42">
        <f>前提!$D$6*($A21*'前提'!$G$50)-'前提'!$C$6</f>
        <v/>
      </c>
      <c r="H21" s="2" t="inlineStr">
        <is>
          <t>中谷氏の「3〜6か月失効でコミュニティ通貨として回す」設計は利用率を上げる＝コストも上がる。</t>
        </is>
      </c>
    </row>
    <row r="22">
      <c r="A22" s="23" t="n">
        <v>0.95</v>
      </c>
      <c r="B22" s="31">
        <f>$A22*'前提'!$F$50</f>
        <v/>
      </c>
      <c r="C22" s="42">
        <f>'前提'!$C$6-'前提'!$B$19+'前提'!$B$32-会員・預かり資産!$B$37*B22</f>
        <v/>
      </c>
      <c r="D22" s="42">
        <f>C22+前提!$B$17*前提!$B$18</f>
        <v/>
      </c>
      <c r="E22" s="42">
        <f>前提!$D$6*($A22*'前提'!$G$50)-'前提'!$C$6</f>
        <v/>
      </c>
      <c r="H22" s="2" t="inlineStr">
        <is>
          <t>失効益をあてにしない98%前提でも黒字であることを確認するための表。</t>
        </is>
      </c>
    </row>
    <row r="23">
      <c r="A23" s="23" t="n">
        <v>0.98</v>
      </c>
      <c r="B23" s="31">
        <f>$A23*'前提'!$F$50</f>
        <v/>
      </c>
      <c r="C23" s="42">
        <f>'前提'!$C$6-'前提'!$B$19+'前提'!$B$32-会員・預かり資産!$B$37*B23</f>
        <v/>
      </c>
      <c r="D23" s="42">
        <f>C23+前提!$B$17*前提!$B$18</f>
        <v/>
      </c>
      <c r="E23" s="42">
        <f>前提!$D$6*($A23*'前提'!$G$50)-'前提'!$C$6</f>
        <v/>
      </c>
    </row>
    <row r="24">
      <c r="A24" s="23" t="n">
        <v>1</v>
      </c>
      <c r="B24" s="31">
        <f>$A24*'前提'!$F$50</f>
        <v/>
      </c>
      <c r="C24" s="42">
        <f>'前提'!$C$6-'前提'!$B$19+'前提'!$B$32-会員・預かり資産!$B$37*B24</f>
        <v/>
      </c>
      <c r="D24" s="42">
        <f>C24+前提!$B$17*前提!$B$18</f>
        <v/>
      </c>
      <c r="E24" s="42">
        <f>前提!$D$6*($A24*'前提'!$G$50)-'前提'!$C$6</f>
        <v/>
      </c>
    </row>
    <row r="26">
      <c r="A26" s="9" t="inlineStr">
        <is>
          <t>■ D. ワイン販売を伴う比率別の営業利益（持込型が増えた場合）</t>
        </is>
      </c>
    </row>
    <row r="27">
      <c r="A27" s="10" t="inlineStr">
        <is>
          <t>販売を伴う比率</t>
        </is>
      </c>
      <c r="B27" s="10" t="inlineStr">
        <is>
          <t>1年目</t>
        </is>
      </c>
      <c r="C27" s="10" t="inlineStr">
        <is>
          <t>2年目</t>
        </is>
      </c>
      <c r="D27" s="10" t="inlineStr">
        <is>
          <t>3年目</t>
        </is>
      </c>
      <c r="E27" s="10" t="inlineStr">
        <is>
          <t>3年累計</t>
        </is>
      </c>
      <c r="F27" s="10" t="inlineStr">
        <is>
          <t>見方</t>
        </is>
      </c>
    </row>
    <row r="28">
      <c r="A28" s="23" t="n">
        <v>0</v>
      </c>
      <c r="B28" s="12">
        <f>会員・預かり資産!B13*$A28*前提!$B$16+会員・預かり資産!B33+会員・預かり資産!B35-損益計算書!B23</f>
        <v/>
      </c>
      <c r="C28" s="12">
        <f>会員・預かり資産!C13*$A28*前提!$B$16+会員・預かり資産!C33+会員・預かり資産!C35-損益計算書!C23</f>
        <v/>
      </c>
      <c r="D28" s="12">
        <f>会員・預かり資産!D13*$A28*前提!$B$16+会員・預かり資産!D33+会員・預かり資産!D35-損益計算書!D23</f>
        <v/>
      </c>
      <c r="E28" s="12">
        <f>SUM(B28:D28)</f>
        <v/>
      </c>
      <c r="F28" s="2" t="inlineStr">
        <is>
          <t>持込・預かりのみ</t>
        </is>
      </c>
    </row>
    <row r="29">
      <c r="A29" s="23" t="n">
        <v>0.25</v>
      </c>
      <c r="B29" s="12">
        <f>会員・預かり資産!B13*$A29*前提!$B$16+会員・預かり資産!B33+会員・預かり資産!B35-損益計算書!B23</f>
        <v/>
      </c>
      <c r="C29" s="12">
        <f>会員・預かり資産!C13*$A29*前提!$B$16+会員・預かり資産!C33+会員・預かり資産!C35-損益計算書!C23</f>
        <v/>
      </c>
      <c r="D29" s="12">
        <f>会員・預かり資産!D13*$A29*前提!$B$16+会員・預かり資産!D33+会員・預かり資産!D35-損益計算書!D23</f>
        <v/>
      </c>
      <c r="E29" s="12">
        <f>SUM(B29:D29)</f>
        <v/>
      </c>
      <c r="F29" s="2" t="inlineStr">
        <is>
          <t>販売粗利が一部発生</t>
        </is>
      </c>
    </row>
    <row r="30">
      <c r="A30" s="23" t="n">
        <v>0.5</v>
      </c>
      <c r="B30" s="12">
        <f>会員・預かり資産!B13*$A30*前提!$B$16+会員・預かり資産!B33+会員・預かり資産!B35-損益計算書!B23</f>
        <v/>
      </c>
      <c r="C30" s="12">
        <f>会員・預かり資産!C13*$A30*前提!$B$16+会員・預かり資産!C33+会員・預かり資産!C35-損益計算書!C23</f>
        <v/>
      </c>
      <c r="D30" s="12">
        <f>会員・預かり資産!D13*$A30*前提!$B$16+会員・預かり資産!D33+会員・預かり資産!D35-損益計算書!D23</f>
        <v/>
      </c>
      <c r="E30" s="12">
        <f>SUM(B30:D30)</f>
        <v/>
      </c>
      <c r="F30" s="2" t="inlineStr">
        <is>
          <t>販売と持込が半々</t>
        </is>
      </c>
    </row>
    <row r="31">
      <c r="A31" s="23" t="n">
        <v>0.75</v>
      </c>
      <c r="B31" s="12">
        <f>会員・預かり資産!B13*$A31*前提!$B$16+会員・預かり資産!B33+会員・預かり資産!B35-損益計算書!B23</f>
        <v/>
      </c>
      <c r="C31" s="12">
        <f>会員・預かり資産!C13*$A31*前提!$B$16+会員・預かり資産!C33+会員・預かり資産!C35-損益計算書!C23</f>
        <v/>
      </c>
      <c r="D31" s="12">
        <f>会員・預かり資産!D13*$A31*前提!$B$16+会員・預かり資産!D33+会員・預かり資産!D35-損益計算書!D23</f>
        <v/>
      </c>
      <c r="E31" s="12">
        <f>SUM(B31:D31)</f>
        <v/>
      </c>
      <c r="F31" s="2" t="inlineStr">
        <is>
          <t>販売中心</t>
        </is>
      </c>
    </row>
    <row r="32">
      <c r="A32" s="23" t="n">
        <v>1</v>
      </c>
      <c r="B32" s="12">
        <f>会員・預かり資産!B13*$A32*前提!$B$16+会員・預かり資産!B33+会員・預かり資産!B35-損益計算書!B23</f>
        <v/>
      </c>
      <c r="C32" s="12">
        <f>会員・預かり資産!C13*$A32*前提!$B$16+会員・預かり資産!C33+会員・預かり資産!C35-損益計算書!C23</f>
        <v/>
      </c>
      <c r="D32" s="12">
        <f>会員・預かり資産!D13*$A32*前提!$B$16+会員・預かり資産!D33+会員・預かり資産!D35-損益計算書!D23</f>
        <v/>
      </c>
      <c r="E32" s="12">
        <f>SUM(B32:D32)</f>
        <v/>
      </c>
      <c r="F32" s="2" t="inlineStr">
        <is>
          <t>前提シートの100%ケース</t>
        </is>
      </c>
    </row>
    <row r="34">
      <c r="A34" s="18" t="inlineStr">
        <is>
          <t>営業利益が黒字となる最低の販売伴有率</t>
        </is>
      </c>
      <c r="B34" s="44">
        <f>IF(SUM(会員・預かり資産!B13:D13)*前提!$B$16=0,0,MAX(0,(SUM(損益計算書!B23:D23)-SUM(会員・預かり資産!B33:D33)-SUM(会員・預かり資産!B35:D35))/(SUM(会員・預かり資産!B13:D13)*前提!$B$16)))</f>
        <v/>
      </c>
    </row>
    <row r="36">
      <c r="A36" s="9" t="inlineStr">
        <is>
          <t>■ E. ランク別のストック採算（★還元率を上げた分、上位ランクほどストック単体は厳しい）</t>
        </is>
      </c>
    </row>
    <row r="37">
      <c r="A37" s="10" t="inlineStr">
        <is>
          <t>ランク</t>
        </is>
      </c>
      <c r="B37" s="10" t="inlineStr">
        <is>
          <t>マイル還元率</t>
        </is>
      </c>
      <c r="C37" s="10" t="inlineStr">
        <is>
          <t>マイル実費用（対預かり）</t>
        </is>
      </c>
      <c r="D37" s="10" t="inlineStr">
        <is>
          <t>ストック利幅（成功報酬前）</t>
        </is>
      </c>
      <c r="E37" s="10" t="inlineStr">
        <is>
          <t>ストック利幅（成功報酬込）</t>
        </is>
      </c>
      <c r="F37" s="10" t="inlineStr">
        <is>
          <t>判定（成功報酬前）</t>
        </is>
      </c>
    </row>
    <row r="38">
      <c r="A38" s="11">
        <f>前提!A6</f>
        <v/>
      </c>
      <c r="B38" s="29">
        <f>前提!D6</f>
        <v/>
      </c>
      <c r="C38" s="42">
        <f>前提!D6*'前提'!$B$51</f>
        <v/>
      </c>
      <c r="D38" s="42">
        <f>前提!C6-'前提'!$B$19+'前提'!$B$32-C38</f>
        <v/>
      </c>
      <c r="E38" s="42">
        <f>D38+前提!$B$17*前提!$B$18</f>
        <v/>
      </c>
      <c r="F38" s="11">
        <f>IF(D38&gt;=0,"ストック単体で黒字","成功報酬前は赤字")</f>
        <v/>
      </c>
      <c r="H38" s="2" t="inlineStr">
        <is>
          <t>管理料2.5%は全ランク共通なのに還元率は3.5→5.5%と上がるため、</t>
        </is>
      </c>
    </row>
    <row r="39">
      <c r="A39" s="11">
        <f>前提!A7</f>
        <v/>
      </c>
      <c r="B39" s="29">
        <f>前提!D7</f>
        <v/>
      </c>
      <c r="C39" s="42">
        <f>前提!D7*'前提'!$B$51</f>
        <v/>
      </c>
      <c r="D39" s="42">
        <f>前提!C7-'前提'!$B$19+'前提'!$B$32-C39</f>
        <v/>
      </c>
      <c r="E39" s="42">
        <f>D39+前提!$B$17*前提!$B$18</f>
        <v/>
      </c>
      <c r="F39" s="11">
        <f>IF(D39&gt;=0,"ストック単体で黒字","成功報酬前は赤字")</f>
        <v/>
      </c>
      <c r="H39" s="2" t="inlineStr">
        <is>
          <t>上位ランクほどストック単体の利幅は薄い。上位ランクは1人あたりの販売粗利と</t>
        </is>
      </c>
    </row>
    <row r="40">
      <c r="A40" s="11">
        <f>前提!A8</f>
        <v/>
      </c>
      <c r="B40" s="29">
        <f>前提!D8</f>
        <v/>
      </c>
      <c r="C40" s="42">
        <f>前提!D8*'前提'!$B$51</f>
        <v/>
      </c>
      <c r="D40" s="42">
        <f>前提!C8-'前提'!$B$19+'前提'!$B$32-C40</f>
        <v/>
      </c>
      <c r="E40" s="42">
        <f>D40+前提!$B$17*前提!$B$18</f>
        <v/>
      </c>
      <c r="F40" s="11">
        <f>IF(D40&gt;=0,"ストック単体で黒字","成功報酬前は赤字")</f>
        <v/>
      </c>
      <c r="H40" s="2" t="inlineStr">
        <is>
          <t>成功報酬額が大きいことで正当化される構造であり、ストック採算だけで評価してはいけない。</t>
        </is>
      </c>
    </row>
    <row r="41">
      <c r="H41" s="43" t="inlineStr">
        <is>
          <t>SIGNATUREをストック単体で黒字にするには発行1マイル原価をB42まで下げる必要がある（原価率55%単独では届かない）。</t>
        </is>
      </c>
    </row>
    <row r="42">
      <c r="A42" s="18" t="inlineStr">
        <is>
          <t>参考：全ランクがストック単体で黒字となる発行1マイル期待原価の上限</t>
        </is>
      </c>
      <c r="B42" s="34">
        <f>IF(前提!$D$8=0,0,(前提!$C$8-'前提'!$B$19+'前提'!$B$32)/前提!$D$8)</f>
        <v/>
      </c>
      <c r="C42" s="18">
        <f>"現在は "&amp;TEXT('前提'!$B$51,"0.000")</f>
        <v/>
      </c>
      <c r="H42" s="43" t="inlineStr">
        <is>
          <t>感度分析Bの原価率引下げと、0円原価チャネル（CLUB充当・オークション参加）の構成比引上げの併用で到達できる。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8" customWidth="1" min="1" max="1"/>
    <col width="18" customWidth="1" min="2" max="2"/>
    <col width="18" customWidth="1" min="3" max="3"/>
    <col width="20" customWidth="1" min="4" max="4"/>
    <col width="60" customWidth="1" min="5" max="5"/>
  </cols>
  <sheetData>
    <row r="1">
      <c r="A1" s="1" t="inlineStr">
        <is>
          <t>会員メリット｜ランク別 金額シミュレーション</t>
        </is>
      </c>
    </row>
    <row r="2">
      <c r="A2" s="2" t="inlineStr">
        <is>
          <t>このシートのみ金額単位：円。会員1人あたり。</t>
        </is>
      </c>
    </row>
    <row r="4">
      <c r="A4" s="9" t="inlineStr">
        <is>
          <t>■ 年間の直接メリット</t>
        </is>
      </c>
    </row>
    <row r="5">
      <c r="A5" s="10" t="inlineStr">
        <is>
          <t>項目</t>
        </is>
      </c>
      <c r="B5" s="10" t="inlineStr">
        <is>
          <t>PRESTIGE</t>
        </is>
      </c>
      <c r="C5" s="10" t="inlineStr">
        <is>
          <t>GOLD</t>
        </is>
      </c>
      <c r="D5" s="10" t="inlineStr">
        <is>
          <t>SIGNATURE</t>
        </is>
      </c>
      <c r="E5" s="10" t="inlineStr">
        <is>
          <t>考え方・備考</t>
        </is>
      </c>
    </row>
    <row r="6">
      <c r="A6" t="inlineStr">
        <is>
          <t>預かり額</t>
        </is>
      </c>
      <c r="B6" s="19">
        <f>前提!$B$6*10000</f>
        <v/>
      </c>
      <c r="C6" s="19">
        <f>前提!$B$7*10000</f>
        <v/>
      </c>
      <c r="D6" s="19">
        <f>前提!$B$8*10000</f>
        <v/>
      </c>
      <c r="E6" s="2" t="inlineStr"/>
    </row>
    <row r="7">
      <c r="A7" t="inlineStr">
        <is>
          <t>管理・保管手数料率</t>
        </is>
      </c>
      <c r="B7" s="25">
        <f>前提!$C$6</f>
        <v/>
      </c>
      <c r="C7" s="25">
        <f>前提!$C$7</f>
        <v/>
      </c>
      <c r="D7" s="25">
        <f>前提!$C$8</f>
        <v/>
      </c>
      <c r="E7" s="2" t="inlineStr"/>
    </row>
    <row r="8">
      <c r="A8" t="inlineStr">
        <is>
          <t>年間管理・保管手数料</t>
        </is>
      </c>
      <c r="B8" s="22">
        <f>B6*B7</f>
        <v/>
      </c>
      <c r="C8" s="22">
        <f>C6*C7</f>
        <v/>
      </c>
      <c r="D8" s="22">
        <f>D6*D7</f>
        <v/>
      </c>
      <c r="E8" s="2" t="inlineStr"/>
    </row>
    <row r="9">
      <c r="A9" t="inlineStr">
        <is>
          <t>マイル還元率</t>
        </is>
      </c>
      <c r="B9" s="25">
        <f>前提!$D$6</f>
        <v/>
      </c>
      <c r="C9" s="25">
        <f>前提!$D$7</f>
        <v/>
      </c>
      <c r="D9" s="25">
        <f>前提!$D$8</f>
        <v/>
      </c>
      <c r="E9" s="2" t="inlineStr">
        <is>
          <t>3.5 / 4.5 / 5.5%</t>
        </is>
      </c>
    </row>
    <row r="10">
      <c r="A10" t="inlineStr">
        <is>
          <t>年間付与マイル（額面）</t>
        </is>
      </c>
      <c r="B10" s="22">
        <f>B6*B9</f>
        <v/>
      </c>
      <c r="C10" s="22">
        <f>C6*C9</f>
        <v/>
      </c>
      <c r="D10" s="22">
        <f>D6*D9</f>
        <v/>
      </c>
      <c r="E10" s="2" t="inlineStr"/>
    </row>
    <row r="11">
      <c r="A11" t="inlineStr">
        <is>
          <t>最終利用率（1年以内）</t>
        </is>
      </c>
      <c r="B11" s="25">
        <f>'前提'!$B$35</f>
        <v/>
      </c>
      <c r="C11" s="25">
        <f>'前提'!$B$35</f>
        <v/>
      </c>
      <c r="D11" s="25">
        <f>'前提'!$B$35</f>
        <v/>
      </c>
      <c r="E11" s="2" t="inlineStr"/>
    </row>
    <row r="12">
      <c r="A12" t="inlineStr">
        <is>
          <t>利用1マイルの平均交換価値</t>
        </is>
      </c>
      <c r="B12" s="45">
        <f>'前提'!$G$50</f>
        <v/>
      </c>
      <c r="C12" s="45">
        <f>'前提'!$G$50</f>
        <v/>
      </c>
      <c r="D12" s="45">
        <f>'前提'!$G$50</f>
        <v/>
      </c>
      <c r="E12" s="2" t="inlineStr">
        <is>
          <t>交換先ミックスの加重平均</t>
        </is>
      </c>
    </row>
    <row r="13">
      <c r="A13" t="inlineStr">
        <is>
          <t>発行1マイルの期待利用価値</t>
        </is>
      </c>
      <c r="B13" s="45">
        <f>'前提'!$B$52</f>
        <v/>
      </c>
      <c r="C13" s="45">
        <f>'前提'!$B$52</f>
        <v/>
      </c>
      <c r="D13" s="45">
        <f>'前提'!$B$52</f>
        <v/>
      </c>
      <c r="E13" s="2" t="inlineStr">
        <is>
          <t>平均交換価値 × 最終利用率</t>
        </is>
      </c>
    </row>
    <row r="14">
      <c r="A14" t="inlineStr">
        <is>
          <t>実利用ベースの年間マイル価値</t>
        </is>
      </c>
      <c r="B14" s="19">
        <f>B10*B13</f>
        <v/>
      </c>
      <c r="C14" s="19">
        <f>C10*C13</f>
        <v/>
      </c>
      <c r="D14" s="19">
        <f>D10*D13</f>
        <v/>
      </c>
      <c r="E14" s="2" t="inlineStr"/>
    </row>
    <row r="15">
      <c r="A15" t="inlineStr">
        <is>
          <t>額面ベースの年間差引メリット</t>
        </is>
      </c>
      <c r="B15" s="22">
        <f>B10-B8</f>
        <v/>
      </c>
      <c r="C15" s="22">
        <f>C10-C8</f>
        <v/>
      </c>
      <c r="D15" s="22">
        <f>D10-D8</f>
        <v/>
      </c>
      <c r="E15" s="2" t="inlineStr">
        <is>
          <t>全マイルを1円相当として見た表示上の差引（＝還元率－手数料率）</t>
        </is>
      </c>
    </row>
    <row r="16">
      <c r="A16" s="18" t="inlineStr">
        <is>
          <t>★実利用ベースの年間差引メリット</t>
        </is>
      </c>
      <c r="B16" s="36">
        <f>B14-B8</f>
        <v/>
      </c>
      <c r="C16" s="36">
        <f>C14-C8</f>
        <v/>
      </c>
      <c r="D16" s="36">
        <f>D14-D8</f>
        <v/>
      </c>
      <c r="E16" s="2" t="inlineStr">
        <is>
          <t>交換先ミックスと利用率を反映した実質差引</t>
        </is>
      </c>
    </row>
    <row r="17">
      <c r="A17" s="18" t="inlineStr">
        <is>
          <t>★実質メリット率（預かり額比）</t>
        </is>
      </c>
      <c r="B17" s="46">
        <f>IF(B6=0,0,B16/B6)</f>
        <v/>
      </c>
      <c r="C17" s="46">
        <f>IF(C6=0,0,C16/C6)</f>
        <v/>
      </c>
      <c r="D17" s="46">
        <f>IF(D6=0,0,D16/D6)</f>
        <v/>
      </c>
      <c r="E17" s="2" t="inlineStr"/>
    </row>
    <row r="18">
      <c r="A18" t="inlineStr">
        <is>
          <t>1.0円交換先だけで使った場合の差引</t>
        </is>
      </c>
      <c r="B18" s="22">
        <f>B10*B11-B8</f>
        <v/>
      </c>
      <c r="C18" s="22">
        <f>C10*C11-C8</f>
        <v/>
      </c>
      <c r="D18" s="22">
        <f>D10*D11-D8</f>
        <v/>
      </c>
      <c r="E18" s="2" t="inlineStr">
        <is>
          <t>グランメゾンを使わない会員の上限値</t>
        </is>
      </c>
    </row>
    <row r="19">
      <c r="A19" t="inlineStr">
        <is>
          <t>損益分岐となる平均交換価値</t>
        </is>
      </c>
      <c r="B19" s="45">
        <f>IF(B10*B11=0,0,B8/(B10*B11))</f>
        <v/>
      </c>
      <c r="C19" s="45">
        <f>IF(C10*C11=0,0,C8/(C10*C11))</f>
        <v/>
      </c>
      <c r="D19" s="45">
        <f>IF(D10*D11=0,0,D8/(D10*D11))</f>
        <v/>
      </c>
      <c r="E19" s="2" t="inlineStr">
        <is>
          <t>これを上回れば手数料を回収</t>
        </is>
      </c>
    </row>
    <row r="21">
      <c r="A21" s="9" t="inlineStr">
        <is>
          <t>■ 3年間保有した場合の会員メリット（経済価値ベース）</t>
        </is>
      </c>
    </row>
    <row r="22">
      <c r="A22" s="10" t="inlineStr">
        <is>
          <t>項目</t>
        </is>
      </c>
      <c r="B22" s="10" t="inlineStr">
        <is>
          <t>PRESTIGE</t>
        </is>
      </c>
      <c r="C22" s="10" t="inlineStr">
        <is>
          <t>GOLD</t>
        </is>
      </c>
      <c r="D22" s="10" t="inlineStr">
        <is>
          <t>SIGNATURE</t>
        </is>
      </c>
      <c r="E22" s="10" t="inlineStr">
        <is>
          <t>考え方・備考</t>
        </is>
      </c>
    </row>
    <row r="23">
      <c r="A23" t="inlineStr">
        <is>
          <t>3年後ワイン評価額</t>
        </is>
      </c>
      <c r="B23" s="22">
        <f>B6*(1+前提!$B$17)^3</f>
        <v/>
      </c>
      <c r="C23" s="22">
        <f>C6*(1+前提!$B$17)^3</f>
        <v/>
      </c>
      <c r="D23" s="22">
        <f>D6*(1+前提!$B$17)^3</f>
        <v/>
      </c>
      <c r="E23" s="2" t="inlineStr">
        <is>
          <t>預かり額×(1+6%)^3</t>
        </is>
      </c>
    </row>
    <row r="24">
      <c r="A24" t="inlineStr">
        <is>
          <t>3年間の値上がり益</t>
        </is>
      </c>
      <c r="B24" s="22">
        <f>B23-B6</f>
        <v/>
      </c>
      <c r="C24" s="22">
        <f>C23-C6</f>
        <v/>
      </c>
      <c r="D24" s="22">
        <f>D23-D6</f>
        <v/>
      </c>
      <c r="E24" s="2" t="inlineStr"/>
    </row>
    <row r="25">
      <c r="A25" t="inlineStr">
        <is>
          <t>成功報酬率</t>
        </is>
      </c>
      <c r="B25" s="25">
        <f>前提!$B$18</f>
        <v/>
      </c>
      <c r="C25" s="25">
        <f>前提!$B$18</f>
        <v/>
      </c>
      <c r="D25" s="25">
        <f>前提!$B$18</f>
        <v/>
      </c>
      <c r="E25" s="2" t="inlineStr">
        <is>
          <t>25%</t>
        </is>
      </c>
    </row>
    <row r="26">
      <c r="A26" t="inlineStr">
        <is>
          <t>成功報酬（当社取分）</t>
        </is>
      </c>
      <c r="B26" s="22">
        <f>B24*B25</f>
        <v/>
      </c>
      <c r="C26" s="22">
        <f>C24*C25</f>
        <v/>
      </c>
      <c r="D26" s="22">
        <f>D24*D25</f>
        <v/>
      </c>
      <c r="E26" s="2" t="inlineStr"/>
    </row>
    <row r="27">
      <c r="A27" t="inlineStr">
        <is>
          <t>会員に残る値上がり益</t>
        </is>
      </c>
      <c r="B27" s="19">
        <f>B24-B26</f>
        <v/>
      </c>
      <c r="C27" s="19">
        <f>C24-C26</f>
        <v/>
      </c>
      <c r="D27" s="19">
        <f>D24-D26</f>
        <v/>
      </c>
      <c r="E27" s="2" t="inlineStr"/>
    </row>
    <row r="28">
      <c r="A28" t="inlineStr">
        <is>
          <t>3年累計マイル利用価値</t>
        </is>
      </c>
      <c r="B28" s="22">
        <f>B14*3</f>
        <v/>
      </c>
      <c r="C28" s="22">
        <f>C14*3</f>
        <v/>
      </c>
      <c r="D28" s="22">
        <f>D14*3</f>
        <v/>
      </c>
      <c r="E28" s="2" t="inlineStr"/>
    </row>
    <row r="29">
      <c r="A29" t="inlineStr">
        <is>
          <t>3年累計管理・保管手数料</t>
        </is>
      </c>
      <c r="B29" s="22">
        <f>B8*3</f>
        <v/>
      </c>
      <c r="C29" s="22">
        <f>C8*3</f>
        <v/>
      </c>
      <c r="D29" s="22">
        <f>D8*3</f>
        <v/>
      </c>
      <c r="E29" s="2" t="inlineStr"/>
    </row>
    <row r="30">
      <c r="A30" t="inlineStr">
        <is>
          <t>3年累計マイル差引メリット</t>
        </is>
      </c>
      <c r="B30" s="22">
        <f>B28-B29</f>
        <v/>
      </c>
      <c r="C30" s="22">
        <f>C28-C29</f>
        <v/>
      </c>
      <c r="D30" s="22">
        <f>D28-D29</f>
        <v/>
      </c>
      <c r="E30" s="2" t="inlineStr"/>
    </row>
    <row r="31">
      <c r="A31" s="18" t="inlineStr">
        <is>
          <t>★3年間の総合メリット</t>
        </is>
      </c>
      <c r="B31" s="36">
        <f>B27+B30</f>
        <v/>
      </c>
      <c r="C31" s="36">
        <f>C27+C30</f>
        <v/>
      </c>
      <c r="D31" s="36">
        <f>D27+D30</f>
        <v/>
      </c>
      <c r="E31" s="2" t="inlineStr">
        <is>
          <t>値上がり益（会員取分）＋マイル差引</t>
        </is>
      </c>
    </row>
    <row r="32">
      <c r="A32" s="18" t="inlineStr">
        <is>
          <t>★元本に対する総合メリット率</t>
        </is>
      </c>
      <c r="B32" s="44">
        <f>IF(B6=0,0,B31/B6)</f>
        <v/>
      </c>
      <c r="C32" s="44">
        <f>IF(C6=0,0,C31/C6)</f>
        <v/>
      </c>
      <c r="D32" s="44">
        <f>IF(D6=0,0,D31/D6)</f>
        <v/>
      </c>
      <c r="E32" s="2" t="inlineStr"/>
    </row>
    <row r="33">
      <c r="A33" t="inlineStr">
        <is>
          <t>3年後の会員価値（元本＋総合メリット）</t>
        </is>
      </c>
      <c r="B33" s="22">
        <f>B6+B31</f>
        <v/>
      </c>
      <c r="C33" s="22">
        <f>C6+C31</f>
        <v/>
      </c>
      <c r="D33" s="22">
        <f>D6+D31</f>
        <v/>
      </c>
      <c r="E33" s="2" t="inlineStr"/>
    </row>
    <row r="34">
      <c r="A34" t="inlineStr">
        <is>
          <t>年率換算（CAGR）</t>
        </is>
      </c>
      <c r="B34" s="27">
        <f>IF(B6=0,0,(B33/B6)^(1/3)-1)</f>
        <v/>
      </c>
      <c r="C34" s="27">
        <f>IF(C6=0,0,(C33/C6)^(1/3)-1)</f>
        <v/>
      </c>
      <c r="D34" s="27">
        <f>IF(D6=0,0,(D33/D6)^(1/3)-1)</f>
        <v/>
      </c>
      <c r="E34" s="2" t="inlineStr"/>
    </row>
    <row r="36">
      <c r="A36" s="9" t="inlineStr">
        <is>
          <t>■ 交換先別の会員価値（利用1万マイルあたり）</t>
        </is>
      </c>
    </row>
    <row r="37">
      <c r="A37" s="10" t="inlineStr">
        <is>
          <t>交換先</t>
        </is>
      </c>
      <c r="B37" s="10" t="inlineStr">
        <is>
          <t>利用マイル内構成比</t>
        </is>
      </c>
      <c r="C37" s="10" t="inlineStr">
        <is>
          <t>交換レート</t>
        </is>
      </c>
      <c r="D37" s="10" t="inlineStr">
        <is>
          <t>1万マイルの価値（円）</t>
        </is>
      </c>
      <c r="E37" s="10" t="inlineStr">
        <is>
          <t>構成比加重価値（円）</t>
        </is>
      </c>
    </row>
    <row r="38">
      <c r="A38" s="11">
        <f>前提!A43</f>
        <v/>
      </c>
      <c r="B38" s="29">
        <f>前提!C43</f>
        <v/>
      </c>
      <c r="C38" s="47">
        <f>前提!D43</f>
        <v/>
      </c>
      <c r="D38" s="12">
        <f>10000*C38</f>
        <v/>
      </c>
      <c r="E38" s="12">
        <f>10000*B38*C38</f>
        <v/>
      </c>
    </row>
    <row r="39">
      <c r="A39" s="11">
        <f>前提!A44</f>
        <v/>
      </c>
      <c r="B39" s="29">
        <f>前提!C44</f>
        <v/>
      </c>
      <c r="C39" s="47">
        <f>前提!D44</f>
        <v/>
      </c>
      <c r="D39" s="12">
        <f>10000*C39</f>
        <v/>
      </c>
      <c r="E39" s="12">
        <f>10000*B39*C39</f>
        <v/>
      </c>
    </row>
    <row r="40">
      <c r="A40" s="11">
        <f>前提!A45</f>
        <v/>
      </c>
      <c r="B40" s="29">
        <f>前提!C45</f>
        <v/>
      </c>
      <c r="C40" s="47">
        <f>前提!D45</f>
        <v/>
      </c>
      <c r="D40" s="12">
        <f>10000*C40</f>
        <v/>
      </c>
      <c r="E40" s="12">
        <f>10000*B40*C40</f>
        <v/>
      </c>
    </row>
    <row r="41">
      <c r="A41" s="11">
        <f>前提!A46</f>
        <v/>
      </c>
      <c r="B41" s="29">
        <f>前提!C46</f>
        <v/>
      </c>
      <c r="C41" s="47">
        <f>前提!D46</f>
        <v/>
      </c>
      <c r="D41" s="12">
        <f>10000*C41</f>
        <v/>
      </c>
      <c r="E41" s="12">
        <f>10000*B41*C41</f>
        <v/>
      </c>
    </row>
    <row r="42">
      <c r="A42" s="11">
        <f>前提!A47</f>
        <v/>
      </c>
      <c r="B42" s="29">
        <f>前提!C47</f>
        <v/>
      </c>
      <c r="C42" s="47">
        <f>前提!D47</f>
        <v/>
      </c>
      <c r="D42" s="12">
        <f>10000*C42</f>
        <v/>
      </c>
      <c r="E42" s="12">
        <f>10000*B42*C42</f>
        <v/>
      </c>
    </row>
    <row r="43">
      <c r="A43" s="11">
        <f>前提!A48</f>
        <v/>
      </c>
      <c r="B43" s="29">
        <f>前提!C48</f>
        <v/>
      </c>
      <c r="C43" s="47">
        <f>前提!D48</f>
        <v/>
      </c>
      <c r="D43" s="12">
        <f>10000*C43</f>
        <v/>
      </c>
      <c r="E43" s="12">
        <f>10000*B43*C43</f>
        <v/>
      </c>
    </row>
    <row r="44">
      <c r="A44" s="11">
        <f>前提!A49</f>
        <v/>
      </c>
      <c r="B44" s="29">
        <f>前提!C49</f>
        <v/>
      </c>
      <c r="C44" s="47">
        <f>前提!D49</f>
        <v/>
      </c>
      <c r="D44" s="12">
        <f>10000*C44</f>
        <v/>
      </c>
      <c r="E44" s="12">
        <f>10000*B44*C44</f>
        <v/>
      </c>
    </row>
    <row r="45">
      <c r="A45" s="18" t="inlineStr">
        <is>
          <t>利用時の加重平均</t>
        </is>
      </c>
      <c r="B45" s="28">
        <f>SUM(B38:B44)</f>
        <v/>
      </c>
      <c r="C45" s="33">
        <f>SUM(E38:E44)/10000</f>
        <v/>
      </c>
      <c r="D45" s="19">
        <f>10000*C45</f>
        <v/>
      </c>
      <c r="E45" s="19">
        <f>SUM(E38:E44)</f>
        <v/>
      </c>
    </row>
    <row r="46">
      <c r="A46" s="18" t="inlineStr">
        <is>
          <t>発行1万マイルの期待価値（最終利用率反映）</t>
        </is>
      </c>
      <c r="D46" s="36">
        <f>10000*'前提'!$B$52</f>
        <v/>
      </c>
    </row>
    <row r="48">
      <c r="A48" s="9" t="inlineStr">
        <is>
          <t>■ 算定条件・注意点</t>
        </is>
      </c>
    </row>
    <row r="49">
      <c r="A49" s="2">
        <f>"・実利用ベースは、最終利用率 "&amp;TEXT(前提!$B$35,"0.0%")&amp;" と交換先別レートの加重平均を反映しています。"</f>
        <v/>
      </c>
    </row>
    <row r="50">
      <c r="A50" s="2">
        <f>"・3年試算は預かり額を一定とし、ワイン時価のみ年 "&amp;TEXT(前提!$B$17,"0.0%")&amp;" で複利成長。値上がり益の "&amp;TEXT(前提!$B$18,"0.0%")&amp;" を成功報酬として控除しています。"</f>
        <v/>
      </c>
    </row>
    <row r="51">
      <c r="A51" s="2" t="inlineStr">
        <is>
          <t>・マイル価値はサービス利用時の経済価値であり、現金で受け取る利益ではありません。</t>
        </is>
      </c>
    </row>
    <row r="52">
      <c r="A52" s="2" t="inlineStr">
        <is>
          <t>・行動マイル、未公開ワイン情報、イベント優先案内などは保守的に未算入です。</t>
        </is>
      </c>
    </row>
    <row r="53">
      <c r="A53" s="2" t="inlineStr">
        <is>
          <t>・市場価格の下落、売却時の手数料、税金等は未考慮です。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2026-09-02T16:53:58Z</dcterms:created>
  <dcterms:modified xmlns:dcterms="http://purl.org/dc/terms/" xmlns:xsi="http://www.w3.org/2001/XMLSchema-instance" xsi:type="dcterms:W3CDTF">2026-09-02T16:53:58Z</dcterms:modified>
</cp:coreProperties>
</file>