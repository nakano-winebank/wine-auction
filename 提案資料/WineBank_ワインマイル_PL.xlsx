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マイル計算" sheetId="2" state="visible" r:id="rId4"/>
    <sheet name="損益計算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<sst xmlns="http://schemas.openxmlformats.org/spreadsheetml/2006/main" count="126" uniqueCount="119">
  <si>
    <r>
      <rPr>
        <b val="true"/>
        <sz val="14"/>
        <rFont val="Arial"/>
        <family val="0"/>
        <charset val="1"/>
      </rPr>
      <t xml:space="preserve">WineBank </t>
    </r>
    <r>
      <rPr>
        <b val="true"/>
        <sz val="14"/>
        <rFont val="WenQuanYi Zen Hei"/>
        <family val="2"/>
      </rPr>
      <t xml:space="preserve">ワインマイル｜前提条件</t>
    </r>
  </si>
  <si>
    <t xml:space="preserve">青字＝入力値（変更可）／黒字＝数式。単位：万円</t>
  </si>
  <si>
    <t xml:space="preserve">■ 販売ミックス</t>
  </si>
  <si>
    <t xml:space="preserve">ランク</t>
  </si>
  <si>
    <t xml:space="preserve">単価</t>
  </si>
  <si>
    <t xml:space="preserve">人数</t>
  </si>
  <si>
    <t xml:space="preserve">販売額</t>
  </si>
  <si>
    <t xml:space="preserve">マイル還元率</t>
  </si>
  <si>
    <t xml:space="preserve">マイル発行額</t>
  </si>
  <si>
    <t xml:space="preserve">PRESTIGE</t>
  </si>
  <si>
    <t xml:space="preserve">GOLD</t>
  </si>
  <si>
    <t xml:space="preserve">SIGNATURE</t>
  </si>
  <si>
    <t xml:space="preserve">合計</t>
  </si>
  <si>
    <r>
      <rPr>
        <sz val="9"/>
        <color rgb="FF808080"/>
        <rFont val="WenQuanYi Zen Hei"/>
        <family val="2"/>
      </rPr>
      <t xml:space="preserve">← 還元率</t>
    </r>
    <r>
      <rPr>
        <sz val="9"/>
        <color rgb="FF808080"/>
        <rFont val="Arial"/>
        <family val="0"/>
        <charset val="1"/>
      </rPr>
      <t xml:space="preserve">3.5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Arial"/>
        <family val="0"/>
        <charset val="1"/>
      </rPr>
      <t xml:space="preserve">5.5%</t>
    </r>
    <r>
      <rPr>
        <sz val="9"/>
        <color rgb="FF808080"/>
        <rFont val="WenQuanYi Zen Hei"/>
        <family val="2"/>
      </rPr>
      <t xml:space="preserve">の加重平均＝マイル発行の額面率</t>
    </r>
  </si>
  <si>
    <t xml:space="preserve">■ 事業前提</t>
  </si>
  <si>
    <t xml:space="preserve">ワイン値上がり率（年）</t>
  </si>
  <si>
    <r>
      <rPr>
        <sz val="9"/>
        <color rgb="FF808080"/>
        <rFont val="Arial"/>
        <family val="0"/>
        <charset val="1"/>
      </rPr>
      <t xml:space="preserve">P1</t>
    </r>
    <r>
      <rPr>
        <sz val="9"/>
        <color rgb="FF808080"/>
        <rFont val="WenQuanYi Zen Hei"/>
        <family val="2"/>
      </rPr>
      <t xml:space="preserve">ファンド実績・経費控除後</t>
    </r>
  </si>
  <si>
    <t xml:space="preserve">借入金利（年）</t>
  </si>
  <si>
    <t xml:space="preserve">自社在庫の調達コスト</t>
  </si>
  <si>
    <r>
      <rPr>
        <sz val="10"/>
        <rFont val="WenQuanYi Zen Hei"/>
        <family val="2"/>
      </rPr>
      <t xml:space="preserve">保管料・保険料（円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年）</t>
    </r>
  </si>
  <si>
    <r>
      <rPr>
        <sz val="9"/>
        <color rgb="FF808080"/>
        <rFont val="WenQuanYi Zen Hei"/>
        <family val="2"/>
      </rPr>
      <t xml:space="preserve">鈴与実額。倉持案は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億</t>
    </r>
    <r>
      <rPr>
        <sz val="9"/>
        <color rgb="FF808080"/>
        <rFont val="Arial"/>
        <family val="0"/>
        <charset val="1"/>
      </rPr>
      <t xml:space="preserve">=7,619</t>
    </r>
    <r>
      <rPr>
        <sz val="9"/>
        <color rgb="FF808080"/>
        <rFont val="WenQuanYi Zen Hei"/>
        <family val="2"/>
      </rPr>
      <t xml:space="preserve">本で年</t>
    </r>
    <r>
      <rPr>
        <sz val="9"/>
        <color rgb="FF808080"/>
        <rFont val="Arial"/>
        <family val="0"/>
        <charset val="1"/>
      </rPr>
      <t xml:space="preserve">160</t>
    </r>
    <r>
      <rPr>
        <sz val="9"/>
        <color rgb="FF808080"/>
        <rFont val="WenQuanYi Zen Hei"/>
        <family val="2"/>
      </rPr>
      <t xml:space="preserve">万 → </t>
    </r>
    <r>
      <rPr>
        <sz val="9"/>
        <color rgb="FF808080"/>
        <rFont val="Arial"/>
        <family val="0"/>
        <charset val="1"/>
      </rPr>
      <t xml:space="preserve">210</t>
    </r>
    <r>
      <rPr>
        <sz val="9"/>
        <color rgb="FF808080"/>
        <rFont val="WenQuanYi Zen Hei"/>
        <family val="2"/>
      </rPr>
      <t xml:space="preserve">円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本</t>
    </r>
  </si>
  <si>
    <r>
      <rPr>
        <sz val="10"/>
        <rFont val="WenQuanYi Zen Hei"/>
        <family val="2"/>
      </rPr>
      <t xml:space="preserve">平均単価（円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本）</t>
    </r>
  </si>
  <si>
    <t xml:space="preserve">ネット最安値ベース。単価が高いほど本数が減り保管料率は下がる</t>
  </si>
  <si>
    <t xml:space="preserve">販売粗利率</t>
  </si>
  <si>
    <r>
      <rPr>
        <sz val="9"/>
        <color rgb="FF808080"/>
        <rFont val="WenQuanYi Zen Hei"/>
        <family val="2"/>
      </rPr>
      <t xml:space="preserve">売価ベース。原価率は</t>
    </r>
    <r>
      <rPr>
        <sz val="9"/>
        <color rgb="FF808080"/>
        <rFont val="Arial"/>
        <family val="0"/>
        <charset val="1"/>
      </rPr>
      <t xml:space="preserve">70%</t>
    </r>
  </si>
  <si>
    <t xml:space="preserve">管理手数料率（年）</t>
  </si>
  <si>
    <t xml:space="preserve">預かり資産に対して。簿価ベース</t>
  </si>
  <si>
    <t xml:space="preserve">成功報酬率</t>
  </si>
  <si>
    <t xml:space="preserve">値上がり益に対して。契約終了時に精算</t>
  </si>
  <si>
    <t xml:space="preserve">期首ワイン在庫（簿価）</t>
  </si>
  <si>
    <t xml:space="preserve">自社保有分</t>
  </si>
  <si>
    <t xml:space="preserve">新規買付額</t>
  </si>
  <si>
    <t xml:space="preserve">販売代金を原資に買い増す額</t>
  </si>
  <si>
    <t xml:space="preserve">オークション年間回転率</t>
  </si>
  <si>
    <t xml:space="preserve">預かり資産のうち年間で売却される割合</t>
  </si>
  <si>
    <t xml:space="preserve">うち当社ルート比率</t>
  </si>
  <si>
    <t xml:space="preserve">他ルートでの売却もあるため保守的に半分</t>
  </si>
  <si>
    <t xml:space="preserve">買い手手数料率</t>
  </si>
  <si>
    <r>
      <rPr>
        <sz val="9"/>
        <color rgb="FF808080"/>
        <rFont val="WenQuanYi Zen Hei"/>
        <family val="2"/>
      </rPr>
      <t xml:space="preserve">売り手からは取らない。買い手のみ</t>
    </r>
    <r>
      <rPr>
        <sz val="9"/>
        <color rgb="FF808080"/>
        <rFont val="Arial"/>
        <family val="0"/>
        <charset val="1"/>
      </rPr>
      <t xml:space="preserve">10%</t>
    </r>
  </si>
  <si>
    <t xml:space="preserve">保管料率（対 預かり資産）</t>
  </si>
  <si>
    <r>
      <rPr>
        <sz val="9"/>
        <color rgb="FF808080"/>
        <rFont val="Arial"/>
        <family val="0"/>
        <charset val="1"/>
      </rPr>
      <t xml:space="preserve">← 210</t>
    </r>
    <r>
      <rPr>
        <sz val="9"/>
        <color rgb="FF808080"/>
        <rFont val="WenQuanYi Zen Hei"/>
        <family val="2"/>
      </rPr>
      <t xml:space="preserve">円 </t>
    </r>
    <r>
      <rPr>
        <sz val="9"/>
        <color rgb="FF808080"/>
        <rFont val="Arial"/>
        <family val="0"/>
        <charset val="1"/>
      </rPr>
      <t xml:space="preserve">÷ 20,000</t>
    </r>
    <r>
      <rPr>
        <sz val="9"/>
        <color rgb="FF808080"/>
        <rFont val="WenQuanYi Zen Hei"/>
        <family val="2"/>
      </rPr>
      <t xml:space="preserve">円 ＝ </t>
    </r>
    <r>
      <rPr>
        <sz val="9"/>
        <color rgb="FF808080"/>
        <rFont val="Arial"/>
        <family val="0"/>
        <charset val="1"/>
      </rPr>
      <t xml:space="preserve">1.05%</t>
    </r>
    <r>
      <rPr>
        <sz val="9"/>
        <color rgb="FF808080"/>
        <rFont val="WenQuanYi Zen Hei"/>
        <family val="2"/>
      </rPr>
      <t xml:space="preserve">。従来置いていた</t>
    </r>
    <r>
      <rPr>
        <sz val="9"/>
        <color rgb="FF808080"/>
        <rFont val="Arial"/>
        <family val="0"/>
        <charset val="1"/>
      </rPr>
      <t xml:space="preserve">1.5%</t>
    </r>
    <r>
      <rPr>
        <sz val="9"/>
        <color rgb="FF808080"/>
        <rFont val="WenQuanYi Zen Hei"/>
        <family val="2"/>
      </rPr>
      <t xml:space="preserve">より軽い</t>
    </r>
  </si>
  <si>
    <t xml:space="preserve">■ マイル交換ミックス（どこで使われるかの想定）</t>
  </si>
  <si>
    <t xml:space="preserve">交換先</t>
  </si>
  <si>
    <t xml:space="preserve">構成比</t>
  </si>
  <si>
    <t xml:space="preserve">交換レート</t>
  </si>
  <si>
    <t xml:space="preserve">当社原価率</t>
  </si>
  <si>
    <t xml:space="preserve">系列レストラン</t>
  </si>
  <si>
    <r>
      <rPr>
        <sz val="9"/>
        <color rgb="FF808080"/>
        <rFont val="WenQuanYi Zen Hei"/>
        <family val="2"/>
      </rPr>
      <t xml:space="preserve">額面</t>
    </r>
    <r>
      <rPr>
        <sz val="9"/>
        <color rgb="FF808080"/>
        <rFont val="Arial"/>
        <family val="0"/>
        <charset val="1"/>
      </rPr>
      <t xml:space="preserve">×1.0×90%</t>
    </r>
    <r>
      <rPr>
        <sz val="9"/>
        <color rgb="FF808080"/>
        <rFont val="WenQuanYi Zen Hei"/>
        <family val="2"/>
      </rPr>
      <t xml:space="preserve">保証</t>
    </r>
  </si>
  <si>
    <t xml:space="preserve">グランメゾン</t>
  </si>
  <si>
    <r>
      <rPr>
        <sz val="9"/>
        <color rgb="FF808080"/>
        <rFont val="WenQuanYi Zen Hei"/>
        <family val="2"/>
      </rPr>
      <t xml:space="preserve">額面</t>
    </r>
    <r>
      <rPr>
        <sz val="9"/>
        <color rgb="FF808080"/>
        <rFont val="Arial"/>
        <family val="0"/>
        <charset val="1"/>
      </rPr>
      <t xml:space="preserve">×0.5×90%</t>
    </r>
    <r>
      <rPr>
        <sz val="9"/>
        <color rgb="FF808080"/>
        <rFont val="WenQuanYi Zen Hei"/>
        <family val="2"/>
      </rPr>
      <t xml:space="preserve">保証</t>
    </r>
  </si>
  <si>
    <r>
      <rPr>
        <sz val="10"/>
        <rFont val="Arial"/>
        <family val="0"/>
        <charset val="1"/>
      </rPr>
      <t xml:space="preserve">WineBank CLUB </t>
    </r>
    <r>
      <rPr>
        <sz val="10"/>
        <rFont val="WenQuanYi Zen Hei"/>
        <family val="2"/>
      </rPr>
      <t xml:space="preserve">会費充当</t>
    </r>
  </si>
  <si>
    <t xml:space="preserve">内部振替。現金流出なし</t>
  </si>
  <si>
    <t xml:space="preserve">オークション成約手数料</t>
  </si>
  <si>
    <t xml:space="preserve">手数料の免除。現金流出なし</t>
  </si>
  <si>
    <t xml:space="preserve">ワインスクール受講料</t>
  </si>
  <si>
    <t xml:space="preserve">講師・会場費</t>
  </si>
  <si>
    <t xml:space="preserve">会員交流イベント参加費</t>
  </si>
  <si>
    <t xml:space="preserve">会場・飲食費</t>
  </si>
  <si>
    <t xml:space="preserve">ワイン追加購入</t>
  </si>
  <si>
    <t xml:space="preserve">ワインの仕入原価</t>
  </si>
  <si>
    <t xml:space="preserve">失効</t>
  </si>
  <si>
    <t xml:space="preserve">未使用のまま期限到来</t>
  </si>
  <si>
    <r>
      <rPr>
        <b val="true"/>
        <sz val="10"/>
        <rFont val="WenQuanYi Zen Hei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加重平均</t>
    </r>
  </si>
  <si>
    <r>
      <rPr>
        <sz val="9"/>
        <color rgb="FF808080"/>
        <rFont val="WenQuanYi Zen Hei"/>
        <family val="2"/>
      </rPr>
      <t xml:space="preserve">← これが「マイル原価率」。構成比の合計は</t>
    </r>
    <r>
      <rPr>
        <sz val="9"/>
        <color rgb="FF808080"/>
        <rFont val="Arial"/>
        <family val="0"/>
        <charset val="1"/>
      </rPr>
      <t xml:space="preserve">100%</t>
    </r>
    <r>
      <rPr>
        <sz val="9"/>
        <color rgb="FF808080"/>
        <rFont val="WenQuanYi Zen Hei"/>
        <family val="2"/>
      </rPr>
      <t xml:space="preserve">にすること</t>
    </r>
  </si>
  <si>
    <r>
      <rPr>
        <b val="true"/>
        <sz val="14"/>
        <rFont val="WenQuanYi Zen Hei"/>
        <family val="2"/>
      </rPr>
      <t xml:space="preserve">マイル計算｜額面（</t>
    </r>
    <r>
      <rPr>
        <b val="true"/>
        <sz val="14"/>
        <rFont val="Arial"/>
        <family val="0"/>
        <charset val="1"/>
      </rPr>
      <t xml:space="preserve">3.5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5.5%</t>
    </r>
    <r>
      <rPr>
        <b val="true"/>
        <sz val="14"/>
        <rFont val="WenQuanYi Zen Hei"/>
        <family val="2"/>
      </rPr>
      <t xml:space="preserve">）→ </t>
    </r>
    <r>
      <rPr>
        <b val="true"/>
        <sz val="14"/>
        <rFont val="Arial"/>
        <family val="0"/>
        <charset val="1"/>
      </rPr>
      <t xml:space="preserve">PL</t>
    </r>
    <r>
      <rPr>
        <b val="true"/>
        <sz val="14"/>
        <rFont val="WenQuanYi Zen Hei"/>
        <family val="2"/>
      </rPr>
      <t xml:space="preserve">上の実費用の橋渡し</t>
    </r>
  </si>
  <si>
    <r>
      <rPr>
        <sz val="9"/>
        <color rgb="FF808080"/>
        <rFont val="WenQuanYi Zen Hei"/>
        <family val="2"/>
      </rPr>
      <t xml:space="preserve">会員から見た還元率と、当社の</t>
    </r>
    <r>
      <rPr>
        <sz val="9"/>
        <color rgb="FF808080"/>
        <rFont val="Arial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に乗る費用は別物です。差は「どこで使われるか」で決まります。</t>
    </r>
  </si>
  <si>
    <r>
      <rPr>
        <b val="true"/>
        <sz val="11"/>
        <color rgb="FF7B1E3A"/>
        <rFont val="Arial"/>
        <family val="0"/>
        <charset val="1"/>
      </rPr>
      <t xml:space="preserve">STEP 1</t>
    </r>
    <r>
      <rPr>
        <b val="true"/>
        <sz val="11"/>
        <color rgb="FF7B1E3A"/>
        <rFont val="WenQuanYi Zen Hei"/>
        <family val="2"/>
      </rPr>
      <t xml:space="preserve">｜ランク別のマイル発行額（額面）</t>
    </r>
  </si>
  <si>
    <t xml:space="preserve">還元率</t>
  </si>
  <si>
    <t xml:space="preserve">← 額面の発行率。会員が「還元率」として認識する数字</t>
  </si>
  <si>
    <r>
      <rPr>
        <b val="true"/>
        <sz val="11"/>
        <color rgb="FF7B1E3A"/>
        <rFont val="Arial"/>
        <family val="0"/>
        <charset val="1"/>
      </rPr>
      <t xml:space="preserve">STEP 2</t>
    </r>
    <r>
      <rPr>
        <b val="true"/>
        <sz val="11"/>
        <color rgb="FF7B1E3A"/>
        <rFont val="WenQuanYi Zen Hei"/>
        <family val="2"/>
      </rPr>
      <t xml:space="preserve">｜交換先ごとに、実際に出ていく金額</t>
    </r>
  </si>
  <si>
    <t xml:space="preserve">額面</t>
  </si>
  <si>
    <t xml:space="preserve">原価率</t>
  </si>
  <si>
    <t xml:space="preserve">実費用</t>
  </si>
  <si>
    <r>
      <rPr>
        <sz val="9"/>
        <color rgb="FF808080"/>
        <rFont val="WenQuanYi Zen Hei"/>
        <family val="2"/>
      </rPr>
      <t xml:space="preserve">← マイル原価率（加重平均）と、</t>
    </r>
    <r>
      <rPr>
        <sz val="9"/>
        <color rgb="FF808080"/>
        <rFont val="Arial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に乗る実費用</t>
    </r>
  </si>
  <si>
    <r>
      <rPr>
        <b val="true"/>
        <sz val="11"/>
        <color rgb="FF7B1E3A"/>
        <rFont val="Arial"/>
        <family val="0"/>
        <charset val="1"/>
      </rPr>
      <t xml:space="preserve">STEP 3</t>
    </r>
    <r>
      <rPr>
        <b val="true"/>
        <sz val="11"/>
        <color rgb="FF7B1E3A"/>
        <rFont val="WenQuanYi Zen Hei"/>
        <family val="2"/>
      </rPr>
      <t xml:space="preserve">｜まとめ</t>
    </r>
  </si>
  <si>
    <t xml:space="preserve">会員が受け取る額面（対 販売額）</t>
  </si>
  <si>
    <t xml:space="preserve">会員から見た還元率</t>
  </si>
  <si>
    <t xml:space="preserve">マイル原価率（加重平均）</t>
  </si>
  <si>
    <r>
      <rPr>
        <sz val="9"/>
        <color rgb="FF808080"/>
        <rFont val="WenQuanYi Zen Hei"/>
        <family val="2"/>
      </rPr>
      <t xml:space="preserve">額面</t>
    </r>
    <r>
      <rPr>
        <sz val="9"/>
        <color rgb="FF808080"/>
        <rFont val="Arial"/>
        <family val="0"/>
        <charset val="1"/>
      </rPr>
      <t xml:space="preserve">100</t>
    </r>
    <r>
      <rPr>
        <sz val="9"/>
        <color rgb="FF808080"/>
        <rFont val="WenQuanYi Zen Hei"/>
        <family val="2"/>
      </rPr>
      <t xml:space="preserve">に対して実際に出ていく割合</t>
    </r>
  </si>
  <si>
    <r>
      <rPr>
        <b val="true"/>
        <sz val="10"/>
        <rFont val="Arial"/>
        <family val="0"/>
        <charset val="1"/>
      </rPr>
      <t xml:space="preserve">PL</t>
    </r>
    <r>
      <rPr>
        <b val="true"/>
        <sz val="10"/>
        <rFont val="WenQuanYi Zen Hei"/>
        <family val="2"/>
      </rPr>
      <t xml:space="preserve">上の実費用（対 販売額）</t>
    </r>
  </si>
  <si>
    <r>
      <rPr>
        <sz val="9"/>
        <color rgb="FF808080"/>
        <rFont val="WenQuanYi Zen Hei"/>
        <family val="2"/>
      </rPr>
      <t xml:space="preserve">＝ 額面率 </t>
    </r>
    <r>
      <rPr>
        <sz val="9"/>
        <color rgb="FF808080"/>
        <rFont val="Arial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原価率。これが</t>
    </r>
    <r>
      <rPr>
        <sz val="9"/>
        <color rgb="FF808080"/>
        <rFont val="Arial"/>
        <family val="0"/>
        <charset val="1"/>
      </rPr>
      <t xml:space="preserve">PL</t>
    </r>
    <r>
      <rPr>
        <sz val="9"/>
        <color rgb="FF808080"/>
        <rFont val="WenQuanYi Zen Hei"/>
        <family val="2"/>
      </rPr>
      <t xml:space="preserve">に乗る</t>
    </r>
  </si>
  <si>
    <r>
      <rPr>
        <b val="true"/>
        <sz val="10"/>
        <rFont val="Arial"/>
        <family val="0"/>
        <charset val="1"/>
      </rPr>
      <t xml:space="preserve">PL</t>
    </r>
    <r>
      <rPr>
        <b val="true"/>
        <sz val="10"/>
        <rFont val="WenQuanYi Zen Hei"/>
        <family val="2"/>
      </rPr>
      <t xml:space="preserve">上の実費用（金額）</t>
    </r>
  </si>
  <si>
    <r>
      <rPr>
        <b val="true"/>
        <sz val="14"/>
        <rFont val="WenQuanYi Zen Hei"/>
        <family val="2"/>
      </rPr>
      <t xml:space="preserve">損益計算書｜</t>
    </r>
    <r>
      <rPr>
        <b val="true"/>
        <sz val="14"/>
        <rFont val="Arial"/>
        <family val="0"/>
        <charset val="1"/>
      </rPr>
      <t xml:space="preserve">WineBank</t>
    </r>
    <r>
      <rPr>
        <b val="true"/>
        <sz val="14"/>
        <rFont val="WenQuanYi Zen Hei"/>
        <family val="2"/>
      </rPr>
      <t xml:space="preserve">単体</t>
    </r>
  </si>
  <si>
    <r>
      <rPr>
        <sz val="9"/>
        <color rgb="FF808080"/>
        <rFont val="WenQuanYi Zen Hei"/>
        <family val="2"/>
      </rPr>
      <t xml:space="preserve">初年度＝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億販売＋</t>
    </r>
    <r>
      <rPr>
        <sz val="9"/>
        <color rgb="FF808080"/>
        <rFont val="Arial"/>
        <family val="0"/>
        <charset val="1"/>
      </rPr>
      <t xml:space="preserve">1.2</t>
    </r>
    <r>
      <rPr>
        <sz val="9"/>
        <color rgb="FF808080"/>
        <rFont val="WenQuanYi Zen Hei"/>
        <family val="2"/>
      </rPr>
      <t xml:space="preserve">億買付／</t>
    </r>
    <r>
      <rPr>
        <sz val="9"/>
        <color rgb="FF808080"/>
        <rFont val="Arial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年目以降＝追加販売なし。手数料・マイルとも簿価ベース。単位：万円</t>
    </r>
  </si>
  <si>
    <t xml:space="preserve">初年度</t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</si>
  <si>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年目以降</t>
    </r>
  </si>
  <si>
    <t xml:space="preserve">【売上高】</t>
  </si>
  <si>
    <t xml:space="preserve">　ワイン販売売上</t>
  </si>
  <si>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億円分を販売</t>
    </r>
  </si>
  <si>
    <t xml:space="preserve">　管理手数料収入</t>
  </si>
  <si>
    <r>
      <rPr>
        <sz val="9"/>
        <color rgb="FF808080"/>
        <rFont val="WenQuanYi Zen Hei"/>
        <family val="2"/>
      </rPr>
      <t xml:space="preserve">預かり資産（簿価）</t>
    </r>
    <r>
      <rPr>
        <sz val="9"/>
        <color rgb="FF808080"/>
        <rFont val="Arial"/>
        <family val="0"/>
        <charset val="1"/>
      </rPr>
      <t xml:space="preserve">× 2.5%</t>
    </r>
  </si>
  <si>
    <t xml:space="preserve">　売上高 計</t>
  </si>
  <si>
    <t xml:space="preserve">【売上原価】</t>
  </si>
  <si>
    <t xml:space="preserve">　ワイン売上原価</t>
  </si>
  <si>
    <r>
      <rPr>
        <sz val="9"/>
        <color rgb="FF808080"/>
        <rFont val="WenQuanYi Zen Hei"/>
        <family val="2"/>
      </rPr>
      <t xml:space="preserve">粗利率</t>
    </r>
    <r>
      <rPr>
        <sz val="9"/>
        <color rgb="FF808080"/>
        <rFont val="Arial"/>
        <family val="0"/>
        <charset val="1"/>
      </rPr>
      <t xml:space="preserve">30% → </t>
    </r>
    <r>
      <rPr>
        <sz val="9"/>
        <color rgb="FF808080"/>
        <rFont val="WenQuanYi Zen Hei"/>
        <family val="2"/>
      </rPr>
      <t xml:space="preserve">原価率</t>
    </r>
    <r>
      <rPr>
        <sz val="9"/>
        <color rgb="FF808080"/>
        <rFont val="Arial"/>
        <family val="0"/>
        <charset val="1"/>
      </rPr>
      <t xml:space="preserve">70%</t>
    </r>
  </si>
  <si>
    <t xml:space="preserve">　売上総利益</t>
  </si>
  <si>
    <t xml:space="preserve">【販売費及び一般管理費】</t>
  </si>
  <si>
    <t xml:space="preserve">　マイル費用</t>
  </si>
  <si>
    <r>
      <rPr>
        <sz val="9"/>
        <color rgb="FF808080"/>
        <rFont val="WenQuanYi Zen Hei"/>
        <family val="2"/>
      </rPr>
      <t xml:space="preserve">額面</t>
    </r>
    <r>
      <rPr>
        <sz val="9"/>
        <color rgb="FF808080"/>
        <rFont val="Arial"/>
        <family val="0"/>
        <charset val="1"/>
      </rPr>
      <t xml:space="preserve">418 × </t>
    </r>
    <r>
      <rPr>
        <sz val="9"/>
        <color rgb="FF808080"/>
        <rFont val="WenQuanYi Zen Hei"/>
        <family val="2"/>
      </rPr>
      <t xml:space="preserve">原価率</t>
    </r>
    <r>
      <rPr>
        <sz val="9"/>
        <color rgb="FF808080"/>
        <rFont val="Arial"/>
        <family val="0"/>
        <charset val="1"/>
      </rPr>
      <t xml:space="preserve">43.6%</t>
    </r>
  </si>
  <si>
    <t xml:space="preserve">　保管料・保険料（預かり資産）</t>
  </si>
  <si>
    <r>
      <rPr>
        <sz val="9"/>
        <color rgb="FF808080"/>
        <rFont val="WenQuanYi Zen Hei"/>
        <family val="2"/>
      </rPr>
      <t xml:space="preserve">本数</t>
    </r>
    <r>
      <rPr>
        <sz val="9"/>
        <color rgb="FF808080"/>
        <rFont val="Arial"/>
        <family val="0"/>
        <charset val="1"/>
      </rPr>
      <t xml:space="preserve">×210</t>
    </r>
    <r>
      <rPr>
        <sz val="9"/>
        <color rgb="FF808080"/>
        <rFont val="WenQuanYi Zen Hei"/>
        <family val="2"/>
      </rPr>
      <t xml:space="preserve">円（鈴与実額）</t>
    </r>
  </si>
  <si>
    <t xml:space="preserve">　保管料・保険料（自社在庫）</t>
  </si>
  <si>
    <t xml:space="preserve">期末自社在庫にも同率を適用</t>
  </si>
  <si>
    <t xml:space="preserve">　販管費 計</t>
  </si>
  <si>
    <t xml:space="preserve">営業利益</t>
  </si>
  <si>
    <t xml:space="preserve">【営業外】</t>
  </si>
  <si>
    <t xml:space="preserve">　支払利息</t>
  </si>
  <si>
    <r>
      <rPr>
        <sz val="9"/>
        <color rgb="FF808080"/>
        <rFont val="WenQuanYi Zen Hei"/>
        <family val="2"/>
      </rPr>
      <t xml:space="preserve">期末借入 </t>
    </r>
    <r>
      <rPr>
        <sz val="9"/>
        <color rgb="FF808080"/>
        <rFont val="Arial"/>
        <family val="0"/>
        <charset val="1"/>
      </rPr>
      <t xml:space="preserve">× 3%</t>
    </r>
  </si>
  <si>
    <t xml:space="preserve">　オークション収益</t>
  </si>
  <si>
    <r>
      <rPr>
        <sz val="9"/>
        <color rgb="FF808080"/>
        <rFont val="WenQuanYi Zen Hei"/>
        <family val="2"/>
      </rPr>
      <t xml:space="preserve">回転率</t>
    </r>
    <r>
      <rPr>
        <sz val="9"/>
        <color rgb="FF808080"/>
        <rFont val="Arial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当社ルート</t>
    </r>
    <r>
      <rPr>
        <sz val="9"/>
        <color rgb="FF808080"/>
        <rFont val="Arial"/>
        <family val="0"/>
        <charset val="1"/>
      </rPr>
      <t xml:space="preserve">50%×</t>
    </r>
    <r>
      <rPr>
        <sz val="9"/>
        <color rgb="FF808080"/>
        <rFont val="WenQuanYi Zen Hei"/>
        <family val="2"/>
      </rPr>
      <t xml:space="preserve">買い手</t>
    </r>
    <r>
      <rPr>
        <sz val="9"/>
        <color rgb="FF808080"/>
        <rFont val="Arial"/>
        <family val="0"/>
        <charset val="1"/>
      </rPr>
      <t xml:space="preserve">10%</t>
    </r>
  </si>
  <si>
    <t xml:space="preserve">経常利益</t>
  </si>
  <si>
    <t xml:space="preserve">（参考）成功報酬の年平均発生額</t>
  </si>
  <si>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年保有・値上がり益</t>
    </r>
    <r>
      <rPr>
        <sz val="9"/>
        <color rgb="FF808080"/>
        <rFont val="Arial"/>
        <family val="0"/>
        <charset val="1"/>
      </rPr>
      <t xml:space="preserve">25%</t>
    </r>
    <r>
      <rPr>
        <sz val="9"/>
        <color rgb="FF808080"/>
        <rFont val="WenQuanYi Zen Hei"/>
        <family val="2"/>
      </rPr>
      <t xml:space="preserve">を年割り</t>
    </r>
  </si>
  <si>
    <t xml:space="preserve">経常利益 ＋ 成功報酬発生</t>
  </si>
  <si>
    <r>
      <rPr>
        <b val="true"/>
        <sz val="11"/>
        <color rgb="FF7B1E3A"/>
        <rFont val="WenQuanYi Zen Hei"/>
        <family val="2"/>
      </rPr>
      <t xml:space="preserve">■ 損益分岐：マイル原価率が何</t>
    </r>
    <r>
      <rPr>
        <b val="true"/>
        <sz val="11"/>
        <color rgb="FF7B1E3A"/>
        <rFont val="Arial"/>
        <family val="0"/>
        <charset val="1"/>
      </rPr>
      <t xml:space="preserve">%</t>
    </r>
    <r>
      <rPr>
        <b val="true"/>
        <sz val="11"/>
        <color rgb="FF7B1E3A"/>
        <rFont val="WenQuanYi Zen Hei"/>
        <family val="2"/>
      </rPr>
      <t xml:space="preserve">を超えるとストックだけで赤字になるか</t>
    </r>
  </si>
  <si>
    <r>
      <rPr>
        <sz val="10"/>
        <rFont val="WenQuanYi Zen Hei"/>
        <family val="2"/>
      </rPr>
      <t xml:space="preserve">（管理手数料 − 保管料 ＋ オークション収益）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マイル発行額</t>
    </r>
  </si>
  <si>
    <r>
      <rPr>
        <sz val="9"/>
        <color rgb="FF808080"/>
        <rFont val="WenQuanYi Zen Hei"/>
        <family val="2"/>
      </rPr>
      <t xml:space="preserve">← 前提シート </t>
    </r>
    <r>
      <rPr>
        <sz val="9"/>
        <color rgb="FF808080"/>
        <rFont val="Arial"/>
        <family val="0"/>
        <charset val="1"/>
      </rPr>
      <t xml:space="preserve">B36 </t>
    </r>
    <r>
      <rPr>
        <sz val="9"/>
        <color rgb="FF808080"/>
        <rFont val="WenQuanYi Zen Hei"/>
        <family val="2"/>
      </rPr>
      <t xml:space="preserve">の想定原価率と比較</t>
    </r>
  </si>
  <si>
    <t xml:space="preserve">現在の想定マイル原価率</t>
  </si>
  <si>
    <t xml:space="preserve">判定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</si>
</sst>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\円"/>
    <numFmt numFmtId="168" formatCode="0.00\円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808080"/>
      <name val="WenQuanYi Zen Hei"/>
      <family val="2"/>
    </font>
    <font>
      <b val="true"/>
      <sz val="11"/>
      <color rgb="FF7B1E3A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WenQuanYi Zen Hei"/>
      <family val="2"/>
    </font>
    <font>
      <b val="true"/>
      <sz val="11"/>
      <color rgb="FF7B1E3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B1E3A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B1E3A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4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100</v>
      </c>
      <c r="C6" s="6" t="n">
        <v>52</v>
      </c>
      <c r="D6" s="7" t="n">
        <f aca="false">B6*C6</f>
        <v>5200</v>
      </c>
      <c r="E6" s="8" t="n">
        <v>0.035</v>
      </c>
      <c r="F6" s="7" t="n">
        <f aca="false">D6*E6</f>
        <v>182</v>
      </c>
    </row>
    <row r="7" customFormat="false" ht="15" hidden="false" customHeight="false" outlineLevel="0" collapsed="false">
      <c r="A7" s="5" t="s">
        <v>10</v>
      </c>
      <c r="B7" s="6" t="n">
        <v>400</v>
      </c>
      <c r="C7" s="6" t="n">
        <v>7</v>
      </c>
      <c r="D7" s="7" t="n">
        <f aca="false">B7*C7</f>
        <v>2800</v>
      </c>
      <c r="E7" s="8" t="n">
        <v>0.045</v>
      </c>
      <c r="F7" s="7" t="n">
        <f aca="false">D7*E7</f>
        <v>126</v>
      </c>
    </row>
    <row r="8" customFormat="false" ht="15" hidden="false" customHeight="false" outlineLevel="0" collapsed="false">
      <c r="A8" s="5" t="s">
        <v>11</v>
      </c>
      <c r="B8" s="6" t="n">
        <v>1000</v>
      </c>
      <c r="C8" s="6" t="n">
        <v>2</v>
      </c>
      <c r="D8" s="7" t="n">
        <f aca="false">B8*C8</f>
        <v>2000</v>
      </c>
      <c r="E8" s="8" t="n">
        <v>0.055</v>
      </c>
      <c r="F8" s="7" t="n">
        <f aca="false">D8*E8</f>
        <v>110</v>
      </c>
    </row>
    <row r="9" customFormat="false" ht="15" hidden="false" customHeight="false" outlineLevel="0" collapsed="false">
      <c r="A9" s="9" t="s">
        <v>12</v>
      </c>
      <c r="B9" s="10"/>
      <c r="C9" s="11" t="n">
        <f aca="false">SUM(C6:C8)</f>
        <v>61</v>
      </c>
      <c r="D9" s="11" t="n">
        <f aca="false">SUM(D6:D8)</f>
        <v>10000</v>
      </c>
      <c r="E9" s="12" t="n">
        <f aca="false">IF(D9=0,0,F9/D9)</f>
        <v>0.0418</v>
      </c>
      <c r="F9" s="11" t="n">
        <f aca="false">SUM(F6:F8)</f>
        <v>418</v>
      </c>
      <c r="G9" s="2" t="s">
        <v>13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A12" s="13" t="s">
        <v>15</v>
      </c>
      <c r="B12" s="14" t="n">
        <v>0.06</v>
      </c>
      <c r="G12" s="15" t="s">
        <v>16</v>
      </c>
    </row>
    <row r="13" customFormat="false" ht="15" hidden="false" customHeight="false" outlineLevel="0" collapsed="false">
      <c r="A13" s="13" t="s">
        <v>17</v>
      </c>
      <c r="B13" s="14" t="n">
        <v>0.03</v>
      </c>
      <c r="G13" s="2" t="s">
        <v>18</v>
      </c>
    </row>
    <row r="14" customFormat="false" ht="15" hidden="false" customHeight="false" outlineLevel="0" collapsed="false">
      <c r="A14" s="13" t="s">
        <v>19</v>
      </c>
      <c r="B14" s="16" t="n">
        <v>210</v>
      </c>
      <c r="G14" s="2" t="s">
        <v>20</v>
      </c>
    </row>
    <row r="15" customFormat="false" ht="15" hidden="false" customHeight="false" outlineLevel="0" collapsed="false">
      <c r="A15" s="13" t="s">
        <v>21</v>
      </c>
      <c r="B15" s="16" t="n">
        <v>20000</v>
      </c>
      <c r="G15" s="2" t="s">
        <v>22</v>
      </c>
    </row>
    <row r="16" customFormat="false" ht="15" hidden="false" customHeight="false" outlineLevel="0" collapsed="false">
      <c r="A16" s="13" t="s">
        <v>23</v>
      </c>
      <c r="B16" s="14" t="n">
        <v>0.3</v>
      </c>
      <c r="G16" s="2" t="s">
        <v>24</v>
      </c>
    </row>
    <row r="17" customFormat="false" ht="15" hidden="false" customHeight="false" outlineLevel="0" collapsed="false">
      <c r="A17" s="13" t="s">
        <v>25</v>
      </c>
      <c r="B17" s="14" t="n">
        <v>0.025</v>
      </c>
      <c r="G17" s="2" t="s">
        <v>26</v>
      </c>
    </row>
    <row r="18" customFormat="false" ht="15" hidden="false" customHeight="false" outlineLevel="0" collapsed="false">
      <c r="A18" s="13" t="s">
        <v>27</v>
      </c>
      <c r="B18" s="14" t="n">
        <v>0.25</v>
      </c>
      <c r="G18" s="2" t="s">
        <v>28</v>
      </c>
    </row>
    <row r="19" customFormat="false" ht="15" hidden="false" customHeight="false" outlineLevel="0" collapsed="false">
      <c r="A19" s="13" t="s">
        <v>29</v>
      </c>
      <c r="B19" s="17" t="n">
        <v>10000</v>
      </c>
      <c r="G19" s="2" t="s">
        <v>30</v>
      </c>
    </row>
    <row r="20" customFormat="false" ht="15" hidden="false" customHeight="false" outlineLevel="0" collapsed="false">
      <c r="A20" s="13" t="s">
        <v>31</v>
      </c>
      <c r="B20" s="17" t="n">
        <v>12000</v>
      </c>
      <c r="G20" s="2" t="s">
        <v>32</v>
      </c>
    </row>
    <row r="21" customFormat="false" ht="15" hidden="false" customHeight="false" outlineLevel="0" collapsed="false">
      <c r="A21" s="13" t="s">
        <v>33</v>
      </c>
      <c r="B21" s="14" t="n">
        <v>0.1</v>
      </c>
      <c r="G21" s="2" t="s">
        <v>34</v>
      </c>
    </row>
    <row r="22" customFormat="false" ht="15" hidden="false" customHeight="false" outlineLevel="0" collapsed="false">
      <c r="A22" s="13" t="s">
        <v>35</v>
      </c>
      <c r="B22" s="14" t="n">
        <v>0.5</v>
      </c>
      <c r="G22" s="2" t="s">
        <v>36</v>
      </c>
    </row>
    <row r="23" customFormat="false" ht="15" hidden="false" customHeight="false" outlineLevel="0" collapsed="false">
      <c r="A23" s="13" t="s">
        <v>37</v>
      </c>
      <c r="B23" s="14" t="n">
        <v>0.1</v>
      </c>
      <c r="G23" s="2" t="s">
        <v>38</v>
      </c>
    </row>
    <row r="24" customFormat="false" ht="15" hidden="false" customHeight="false" outlineLevel="0" collapsed="false">
      <c r="A24" s="18" t="s">
        <v>39</v>
      </c>
      <c r="B24" s="19" t="n">
        <f aca="false">B14/B15</f>
        <v>0.0105</v>
      </c>
      <c r="G24" s="15" t="s">
        <v>40</v>
      </c>
    </row>
    <row r="26" customFormat="false" ht="15" hidden="false" customHeight="false" outlineLevel="0" collapsed="false">
      <c r="A26" s="3" t="s">
        <v>41</v>
      </c>
    </row>
    <row r="27" customFormat="false" ht="15" hidden="false" customHeight="false" outlineLevel="0" collapsed="false">
      <c r="A27" s="4" t="s">
        <v>42</v>
      </c>
      <c r="B27" s="4" t="s">
        <v>43</v>
      </c>
      <c r="C27" s="4" t="s">
        <v>44</v>
      </c>
      <c r="D27" s="4" t="s">
        <v>45</v>
      </c>
    </row>
    <row r="28" customFormat="false" ht="15" hidden="false" customHeight="false" outlineLevel="0" collapsed="false">
      <c r="A28" s="13" t="s">
        <v>46</v>
      </c>
      <c r="B28" s="8" t="n">
        <v>0.25</v>
      </c>
      <c r="C28" s="20" t="n">
        <v>1</v>
      </c>
      <c r="D28" s="8" t="n">
        <v>0.9</v>
      </c>
      <c r="G28" s="2" t="s">
        <v>47</v>
      </c>
    </row>
    <row r="29" customFormat="false" ht="15" hidden="false" customHeight="false" outlineLevel="0" collapsed="false">
      <c r="A29" s="13" t="s">
        <v>48</v>
      </c>
      <c r="B29" s="8" t="n">
        <v>0.18</v>
      </c>
      <c r="C29" s="20" t="n">
        <v>0.5</v>
      </c>
      <c r="D29" s="8" t="n">
        <v>0.45</v>
      </c>
      <c r="G29" s="2" t="s">
        <v>49</v>
      </c>
    </row>
    <row r="30" customFormat="false" ht="15" hidden="false" customHeight="false" outlineLevel="0" collapsed="false">
      <c r="A30" s="5" t="s">
        <v>50</v>
      </c>
      <c r="B30" s="8" t="n">
        <v>0.12</v>
      </c>
      <c r="C30" s="20" t="n">
        <v>1</v>
      </c>
      <c r="D30" s="8" t="n">
        <v>0</v>
      </c>
      <c r="G30" s="2" t="s">
        <v>51</v>
      </c>
    </row>
    <row r="31" customFormat="false" ht="15" hidden="false" customHeight="false" outlineLevel="0" collapsed="false">
      <c r="A31" s="13" t="s">
        <v>52</v>
      </c>
      <c r="B31" s="8" t="n">
        <v>0.12</v>
      </c>
      <c r="C31" s="20" t="n">
        <v>1</v>
      </c>
      <c r="D31" s="8" t="n">
        <v>0</v>
      </c>
      <c r="G31" s="2" t="s">
        <v>53</v>
      </c>
    </row>
    <row r="32" customFormat="false" ht="15" hidden="false" customHeight="false" outlineLevel="0" collapsed="false">
      <c r="A32" s="13" t="s">
        <v>54</v>
      </c>
      <c r="B32" s="8" t="n">
        <v>0.1</v>
      </c>
      <c r="C32" s="20" t="n">
        <v>1</v>
      </c>
      <c r="D32" s="8" t="n">
        <v>0.5</v>
      </c>
      <c r="G32" s="2" t="s">
        <v>55</v>
      </c>
    </row>
    <row r="33" customFormat="false" ht="15" hidden="false" customHeight="false" outlineLevel="0" collapsed="false">
      <c r="A33" s="13" t="s">
        <v>56</v>
      </c>
      <c r="B33" s="8" t="n">
        <v>0.08</v>
      </c>
      <c r="C33" s="20" t="n">
        <v>1</v>
      </c>
      <c r="D33" s="8" t="n">
        <v>0.5</v>
      </c>
      <c r="G33" s="2" t="s">
        <v>57</v>
      </c>
    </row>
    <row r="34" customFormat="false" ht="15" hidden="false" customHeight="false" outlineLevel="0" collapsed="false">
      <c r="A34" s="13" t="s">
        <v>58</v>
      </c>
      <c r="B34" s="8" t="n">
        <v>0.05</v>
      </c>
      <c r="C34" s="20" t="n">
        <v>1</v>
      </c>
      <c r="D34" s="8" t="n">
        <v>0.8</v>
      </c>
      <c r="G34" s="2" t="s">
        <v>59</v>
      </c>
    </row>
    <row r="35" customFormat="false" ht="15" hidden="false" customHeight="false" outlineLevel="0" collapsed="false">
      <c r="A35" s="13" t="s">
        <v>60</v>
      </c>
      <c r="B35" s="8" t="n">
        <v>0.1</v>
      </c>
      <c r="C35" s="20" t="n">
        <v>0</v>
      </c>
      <c r="D35" s="8" t="n">
        <v>0</v>
      </c>
      <c r="G35" s="2" t="s">
        <v>61</v>
      </c>
    </row>
    <row r="36" customFormat="false" ht="15" hidden="false" customHeight="false" outlineLevel="0" collapsed="false">
      <c r="A36" s="9" t="s">
        <v>62</v>
      </c>
      <c r="B36" s="12" t="n">
        <f aca="false">SUM(B28:B35)</f>
        <v>1</v>
      </c>
      <c r="C36" s="10"/>
      <c r="D36" s="21" t="n">
        <f aca="false">SUMPRODUCT(B28:B35,D28:D35)</f>
        <v>0.436</v>
      </c>
      <c r="G36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5"/>
    <col collapsed="false" customWidth="true" hidden="false" outlineLevel="0" max="6" min="6" style="0" width="46"/>
  </cols>
  <sheetData>
    <row r="1" customFormat="false" ht="19.4" hidden="false" customHeight="false" outlineLevel="0" collapsed="false">
      <c r="A1" s="22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23" t="s">
        <v>66</v>
      </c>
    </row>
    <row r="5" customFormat="false" ht="15" hidden="false" customHeight="false" outlineLevel="0" collapsed="false">
      <c r="A5" s="4" t="s">
        <v>3</v>
      </c>
      <c r="B5" s="4" t="s">
        <v>6</v>
      </c>
      <c r="C5" s="4" t="s">
        <v>67</v>
      </c>
      <c r="D5" s="4" t="s">
        <v>8</v>
      </c>
    </row>
    <row r="6" customFormat="false" ht="15" hidden="false" customHeight="false" outlineLevel="0" collapsed="false">
      <c r="A6" s="24" t="str">
        <f aca="false">前提!A6</f>
        <v>PRESTIGE</v>
      </c>
      <c r="B6" s="25" t="n">
        <f aca="false">前提!D6</f>
        <v>5200</v>
      </c>
      <c r="C6" s="26" t="n">
        <f aca="false">前提!E6</f>
        <v>0.035</v>
      </c>
      <c r="D6" s="7" t="n">
        <f aca="false">B6*C6</f>
        <v>182</v>
      </c>
    </row>
    <row r="7" customFormat="false" ht="15" hidden="false" customHeight="false" outlineLevel="0" collapsed="false">
      <c r="A7" s="24" t="str">
        <f aca="false">前提!A7</f>
        <v>GOLD</v>
      </c>
      <c r="B7" s="25" t="n">
        <f aca="false">前提!D7</f>
        <v>2800</v>
      </c>
      <c r="C7" s="26" t="n">
        <f aca="false">前提!E7</f>
        <v>0.045</v>
      </c>
      <c r="D7" s="7" t="n">
        <f aca="false">B7*C7</f>
        <v>126</v>
      </c>
    </row>
    <row r="8" customFormat="false" ht="15" hidden="false" customHeight="false" outlineLevel="0" collapsed="false">
      <c r="A8" s="24" t="str">
        <f aca="false">前提!A8</f>
        <v>SIGNATURE</v>
      </c>
      <c r="B8" s="25" t="n">
        <f aca="false">前提!D8</f>
        <v>2000</v>
      </c>
      <c r="C8" s="26" t="n">
        <f aca="false">前提!E8</f>
        <v>0.055</v>
      </c>
      <c r="D8" s="7" t="n">
        <f aca="false">B8*C8</f>
        <v>110</v>
      </c>
    </row>
    <row r="9" customFormat="false" ht="15" hidden="false" customHeight="false" outlineLevel="0" collapsed="false">
      <c r="A9" s="9" t="s">
        <v>12</v>
      </c>
      <c r="B9" s="11" t="n">
        <f aca="false">SUM(B6:B8)</f>
        <v>10000</v>
      </c>
      <c r="C9" s="12" t="n">
        <f aca="false">IF(B9=0,0,D9/B9)</f>
        <v>0.0418</v>
      </c>
      <c r="D9" s="11" t="n">
        <f aca="false">SUM(D6:D8)</f>
        <v>418</v>
      </c>
      <c r="F9" s="2" t="s">
        <v>68</v>
      </c>
    </row>
    <row r="11" customFormat="false" ht="15" hidden="false" customHeight="false" outlineLevel="0" collapsed="false">
      <c r="A11" s="23" t="s">
        <v>69</v>
      </c>
    </row>
    <row r="12" customFormat="false" ht="15" hidden="false" customHeight="false" outlineLevel="0" collapsed="false">
      <c r="A12" s="4" t="s">
        <v>42</v>
      </c>
      <c r="B12" s="4" t="s">
        <v>43</v>
      </c>
      <c r="C12" s="4" t="s">
        <v>70</v>
      </c>
      <c r="D12" s="4" t="s">
        <v>71</v>
      </c>
      <c r="E12" s="4" t="s">
        <v>72</v>
      </c>
    </row>
    <row r="13" customFormat="false" ht="15" hidden="false" customHeight="false" outlineLevel="0" collapsed="false">
      <c r="A13" s="24" t="str">
        <f aca="false">前提!A28</f>
        <v>系列レストラン</v>
      </c>
      <c r="B13" s="26" t="n">
        <f aca="false">前提!B28</f>
        <v>0.25</v>
      </c>
      <c r="C13" s="7" t="n">
        <f aca="false">$D$9*B13</f>
        <v>104.5</v>
      </c>
      <c r="D13" s="26" t="n">
        <f aca="false">前提!D28</f>
        <v>0.9</v>
      </c>
      <c r="E13" s="7" t="n">
        <f aca="false">C13*D13</f>
        <v>94.05</v>
      </c>
    </row>
    <row r="14" customFormat="false" ht="15" hidden="false" customHeight="false" outlineLevel="0" collapsed="false">
      <c r="A14" s="24" t="str">
        <f aca="false">前提!A29</f>
        <v>グランメゾン</v>
      </c>
      <c r="B14" s="26" t="n">
        <f aca="false">前提!B29</f>
        <v>0.18</v>
      </c>
      <c r="C14" s="7" t="n">
        <f aca="false">$D$9*B14</f>
        <v>75.24</v>
      </c>
      <c r="D14" s="26" t="n">
        <f aca="false">前提!D29</f>
        <v>0.45</v>
      </c>
      <c r="E14" s="7" t="n">
        <f aca="false">C14*D14</f>
        <v>33.858</v>
      </c>
    </row>
    <row r="15" customFormat="false" ht="15" hidden="false" customHeight="false" outlineLevel="0" collapsed="false">
      <c r="A15" s="24" t="str">
        <f aca="false">前提!A30</f>
        <v>WineBank CLUB 会費充当</v>
      </c>
      <c r="B15" s="26" t="n">
        <f aca="false">前提!B30</f>
        <v>0.12</v>
      </c>
      <c r="C15" s="7" t="n">
        <f aca="false">$D$9*B15</f>
        <v>50.16</v>
      </c>
      <c r="D15" s="26" t="n">
        <f aca="false">前提!D30</f>
        <v>0</v>
      </c>
      <c r="E15" s="7" t="n">
        <f aca="false">C15*D15</f>
        <v>0</v>
      </c>
    </row>
    <row r="16" customFormat="false" ht="15" hidden="false" customHeight="false" outlineLevel="0" collapsed="false">
      <c r="A16" s="24" t="str">
        <f aca="false">前提!A31</f>
        <v>オークション成約手数料</v>
      </c>
      <c r="B16" s="26" t="n">
        <f aca="false">前提!B31</f>
        <v>0.12</v>
      </c>
      <c r="C16" s="7" t="n">
        <f aca="false">$D$9*B16</f>
        <v>50.16</v>
      </c>
      <c r="D16" s="26" t="n">
        <f aca="false">前提!D31</f>
        <v>0</v>
      </c>
      <c r="E16" s="7" t="n">
        <f aca="false">C16*D16</f>
        <v>0</v>
      </c>
    </row>
    <row r="17" customFormat="false" ht="15" hidden="false" customHeight="false" outlineLevel="0" collapsed="false">
      <c r="A17" s="24" t="str">
        <f aca="false">前提!A32</f>
        <v>ワインスクール受講料</v>
      </c>
      <c r="B17" s="26" t="n">
        <f aca="false">前提!B32</f>
        <v>0.1</v>
      </c>
      <c r="C17" s="7" t="n">
        <f aca="false">$D$9*B17</f>
        <v>41.8</v>
      </c>
      <c r="D17" s="26" t="n">
        <f aca="false">前提!D32</f>
        <v>0.5</v>
      </c>
      <c r="E17" s="7" t="n">
        <f aca="false">C17*D17</f>
        <v>20.9</v>
      </c>
    </row>
    <row r="18" customFormat="false" ht="15" hidden="false" customHeight="false" outlineLevel="0" collapsed="false">
      <c r="A18" s="24" t="str">
        <f aca="false">前提!A33</f>
        <v>会員交流イベント参加費</v>
      </c>
      <c r="B18" s="26" t="n">
        <f aca="false">前提!B33</f>
        <v>0.08</v>
      </c>
      <c r="C18" s="7" t="n">
        <f aca="false">$D$9*B18</f>
        <v>33.44</v>
      </c>
      <c r="D18" s="26" t="n">
        <f aca="false">前提!D33</f>
        <v>0.5</v>
      </c>
      <c r="E18" s="7" t="n">
        <f aca="false">C18*D18</f>
        <v>16.72</v>
      </c>
    </row>
    <row r="19" customFormat="false" ht="15" hidden="false" customHeight="false" outlineLevel="0" collapsed="false">
      <c r="A19" s="24" t="str">
        <f aca="false">前提!A34</f>
        <v>ワイン追加購入</v>
      </c>
      <c r="B19" s="26" t="n">
        <f aca="false">前提!B34</f>
        <v>0.05</v>
      </c>
      <c r="C19" s="7" t="n">
        <f aca="false">$D$9*B19</f>
        <v>20.9</v>
      </c>
      <c r="D19" s="26" t="n">
        <f aca="false">前提!D34</f>
        <v>0.8</v>
      </c>
      <c r="E19" s="7" t="n">
        <f aca="false">C19*D19</f>
        <v>16.72</v>
      </c>
    </row>
    <row r="20" customFormat="false" ht="15" hidden="false" customHeight="false" outlineLevel="0" collapsed="false">
      <c r="A20" s="24" t="str">
        <f aca="false">前提!A35</f>
        <v>失効</v>
      </c>
      <c r="B20" s="26" t="n">
        <f aca="false">前提!B35</f>
        <v>0.1</v>
      </c>
      <c r="C20" s="7" t="n">
        <f aca="false">$D$9*B20</f>
        <v>41.8</v>
      </c>
      <c r="D20" s="26" t="n">
        <f aca="false">前提!D35</f>
        <v>0</v>
      </c>
      <c r="E20" s="7" t="n">
        <f aca="false">C20*D20</f>
        <v>0</v>
      </c>
    </row>
    <row r="21" customFormat="false" ht="15" hidden="false" customHeight="false" outlineLevel="0" collapsed="false">
      <c r="A21" s="9" t="s">
        <v>62</v>
      </c>
      <c r="B21" s="12" t="n">
        <f aca="false">SUM(B13:B20)</f>
        <v>1</v>
      </c>
      <c r="C21" s="11" t="n">
        <f aca="false">SUM(C13:C20)</f>
        <v>418</v>
      </c>
      <c r="D21" s="12" t="n">
        <f aca="false">IF(C21=0,0,E21/C21)</f>
        <v>0.436</v>
      </c>
      <c r="E21" s="11" t="n">
        <f aca="false">SUM(E13:E20)</f>
        <v>182.248</v>
      </c>
      <c r="F21" s="2" t="s">
        <v>73</v>
      </c>
    </row>
    <row r="23" customFormat="false" ht="15" hidden="false" customHeight="false" outlineLevel="0" collapsed="false">
      <c r="A23" s="23" t="s">
        <v>74</v>
      </c>
    </row>
    <row r="24" customFormat="false" ht="15" hidden="false" customHeight="false" outlineLevel="0" collapsed="false">
      <c r="A24" s="13" t="s">
        <v>75</v>
      </c>
      <c r="B24" s="27" t="n">
        <f aca="false">IF(B9=0,0,D9/B9)</f>
        <v>0.0418</v>
      </c>
      <c r="F24" s="2" t="s">
        <v>76</v>
      </c>
    </row>
    <row r="25" customFormat="false" ht="15" hidden="false" customHeight="false" outlineLevel="0" collapsed="false">
      <c r="A25" s="13" t="s">
        <v>77</v>
      </c>
      <c r="B25" s="27" t="n">
        <f aca="false">D21</f>
        <v>0.436</v>
      </c>
      <c r="F25" s="2" t="s">
        <v>78</v>
      </c>
    </row>
    <row r="26" customFormat="false" ht="14.15" hidden="false" customHeight="false" outlineLevel="0" collapsed="false">
      <c r="A26" s="28" t="s">
        <v>79</v>
      </c>
      <c r="B26" s="29" t="n">
        <f aca="false">IF(B9=0,0,E21/B9)</f>
        <v>0.0182248</v>
      </c>
      <c r="F26" s="2" t="s">
        <v>80</v>
      </c>
    </row>
    <row r="27" customFormat="false" ht="15" hidden="false" customHeight="false" outlineLevel="0" collapsed="false">
      <c r="A27" s="28" t="s">
        <v>81</v>
      </c>
      <c r="B27" s="30" t="n">
        <f aca="false">E21</f>
        <v>182.248</v>
      </c>
      <c r="F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5"/>
    <col collapsed="false" customWidth="true" hidden="false" outlineLevel="0" max="5" min="5" style="0" width="48"/>
  </cols>
  <sheetData>
    <row r="1" customFormat="false" ht="19.4" hidden="false" customHeight="false" outlineLevel="0" collapsed="false">
      <c r="A1" s="22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4"/>
      <c r="B4" s="4" t="s">
        <v>84</v>
      </c>
      <c r="C4" s="31" t="s">
        <v>85</v>
      </c>
    </row>
    <row r="5" customFormat="false" ht="15" hidden="false" customHeight="false" outlineLevel="0" collapsed="false">
      <c r="A5" s="32" t="s">
        <v>86</v>
      </c>
      <c r="E5" s="2"/>
    </row>
    <row r="6" customFormat="false" ht="15" hidden="false" customHeight="false" outlineLevel="0" collapsed="false">
      <c r="A6" s="13" t="s">
        <v>87</v>
      </c>
      <c r="B6" s="33" t="n">
        <f aca="false">前提!D9</f>
        <v>10000</v>
      </c>
      <c r="C6" s="33" t="n">
        <v>0</v>
      </c>
      <c r="E6" s="15" t="s">
        <v>88</v>
      </c>
    </row>
    <row r="7" customFormat="false" ht="15" hidden="false" customHeight="false" outlineLevel="0" collapsed="false">
      <c r="A7" s="13" t="s">
        <v>89</v>
      </c>
      <c r="B7" s="33" t="n">
        <f aca="false">前提!D9*前提!B17</f>
        <v>250</v>
      </c>
      <c r="C7" s="33" t="n">
        <f aca="false">前提!D9*前提!B17</f>
        <v>250</v>
      </c>
      <c r="E7" s="2" t="s">
        <v>90</v>
      </c>
    </row>
    <row r="8" customFormat="false" ht="15" hidden="false" customHeight="false" outlineLevel="0" collapsed="false">
      <c r="A8" s="9" t="s">
        <v>91</v>
      </c>
      <c r="B8" s="34" t="n">
        <f aca="false">SUM(B6:B7)</f>
        <v>10250</v>
      </c>
      <c r="C8" s="34" t="n">
        <f aca="false">SUM(C6:C7)</f>
        <v>250</v>
      </c>
      <c r="E8" s="2"/>
    </row>
    <row r="9" customFormat="false" ht="15" hidden="false" customHeight="false" outlineLevel="0" collapsed="false">
      <c r="A9" s="32" t="s">
        <v>92</v>
      </c>
      <c r="E9" s="2"/>
    </row>
    <row r="10" customFormat="false" ht="15" hidden="false" customHeight="false" outlineLevel="0" collapsed="false">
      <c r="A10" s="13" t="s">
        <v>93</v>
      </c>
      <c r="B10" s="33" t="n">
        <f aca="false">-B6*(1-前提!B16)</f>
        <v>-7000</v>
      </c>
      <c r="C10" s="33" t="n">
        <v>0</v>
      </c>
      <c r="E10" s="2" t="s">
        <v>94</v>
      </c>
    </row>
    <row r="11" customFormat="false" ht="15" hidden="false" customHeight="false" outlineLevel="0" collapsed="false">
      <c r="A11" s="9" t="s">
        <v>95</v>
      </c>
      <c r="B11" s="34" t="n">
        <f aca="false">B8+B10</f>
        <v>3250</v>
      </c>
      <c r="C11" s="34" t="n">
        <f aca="false">C8+C10</f>
        <v>250</v>
      </c>
      <c r="E11" s="2"/>
    </row>
    <row r="12" customFormat="false" ht="15" hidden="false" customHeight="false" outlineLevel="0" collapsed="false">
      <c r="A12" s="32" t="s">
        <v>96</v>
      </c>
      <c r="E12" s="2"/>
    </row>
    <row r="13" customFormat="false" ht="15" hidden="false" customHeight="false" outlineLevel="0" collapsed="false">
      <c r="A13" s="13" t="s">
        <v>97</v>
      </c>
      <c r="B13" s="33" t="n">
        <f aca="false">-マイル計算!E21</f>
        <v>-182.248</v>
      </c>
      <c r="C13" s="33" t="n">
        <f aca="false">-マイル計算!E21</f>
        <v>-182.248</v>
      </c>
      <c r="E13" s="2" t="s">
        <v>98</v>
      </c>
    </row>
    <row r="14" customFormat="false" ht="15" hidden="false" customHeight="false" outlineLevel="0" collapsed="false">
      <c r="A14" s="13" t="s">
        <v>99</v>
      </c>
      <c r="B14" s="33" t="n">
        <f aca="false">-前提!D9*前提!B14/前提!B15</f>
        <v>-105</v>
      </c>
      <c r="C14" s="33" t="n">
        <f aca="false">-前提!D9*前提!B14/前提!B15</f>
        <v>-105</v>
      </c>
      <c r="E14" s="2" t="s">
        <v>100</v>
      </c>
    </row>
    <row r="15" customFormat="false" ht="15" hidden="false" customHeight="false" outlineLevel="0" collapsed="false">
      <c r="A15" s="13" t="s">
        <v>101</v>
      </c>
      <c r="B15" s="33" t="n">
        <f aca="false">-(前提!B19+前提!B20+B10)*前提!B14/前提!B15</f>
        <v>-157.5</v>
      </c>
      <c r="C15" s="33" t="n">
        <v>0</v>
      </c>
      <c r="E15" s="2" t="s">
        <v>102</v>
      </c>
    </row>
    <row r="16" customFormat="false" ht="15" hidden="false" customHeight="false" outlineLevel="0" collapsed="false">
      <c r="A16" s="9" t="s">
        <v>103</v>
      </c>
      <c r="B16" s="34" t="n">
        <f aca="false">SUM(B13:B15)</f>
        <v>-444.748</v>
      </c>
      <c r="C16" s="34" t="n">
        <f aca="false">SUM(C13:C15)</f>
        <v>-287.248</v>
      </c>
      <c r="E16" s="2"/>
    </row>
    <row r="17" customFormat="false" ht="15" hidden="false" customHeight="false" outlineLevel="0" collapsed="false">
      <c r="A17" s="9" t="s">
        <v>104</v>
      </c>
      <c r="B17" s="35" t="n">
        <f aca="false">B11+B16</f>
        <v>2805.252</v>
      </c>
      <c r="C17" s="35" t="n">
        <f aca="false">C11+C16</f>
        <v>-37.248</v>
      </c>
      <c r="E17" s="2"/>
    </row>
    <row r="18" customFormat="false" ht="15" hidden="false" customHeight="false" outlineLevel="0" collapsed="false">
      <c r="A18" s="32" t="s">
        <v>105</v>
      </c>
      <c r="E18" s="2"/>
    </row>
    <row r="19" customFormat="false" ht="15" hidden="false" customHeight="false" outlineLevel="0" collapsed="false">
      <c r="A19" s="13" t="s">
        <v>106</v>
      </c>
      <c r="B19" s="33" t="n">
        <f aca="false">-(前提!B19+MAX(0,前提!B20-B6))*前提!B13</f>
        <v>-360</v>
      </c>
      <c r="C19" s="33" t="n">
        <v>0</v>
      </c>
      <c r="E19" s="2" t="s">
        <v>107</v>
      </c>
    </row>
    <row r="20" customFormat="false" ht="15" hidden="false" customHeight="false" outlineLevel="0" collapsed="false">
      <c r="A20" s="13" t="s">
        <v>108</v>
      </c>
      <c r="B20" s="33" t="n">
        <f aca="false">前提!D9*前提!B21*前提!B22*前提!B23</f>
        <v>50</v>
      </c>
      <c r="C20" s="33" t="n">
        <f aca="false">前提!D9*前提!B21*前提!B22*前提!B23</f>
        <v>50</v>
      </c>
      <c r="E20" s="2" t="s">
        <v>109</v>
      </c>
    </row>
    <row r="21" customFormat="false" ht="15" hidden="false" customHeight="false" outlineLevel="0" collapsed="false">
      <c r="A21" s="36" t="s">
        <v>110</v>
      </c>
      <c r="B21" s="37" t="n">
        <f aca="false">B17+B19+B20</f>
        <v>2495.252</v>
      </c>
      <c r="C21" s="37" t="n">
        <f aca="false">C17+C19+C20</f>
        <v>12.752</v>
      </c>
      <c r="E21" s="2"/>
    </row>
    <row r="23" customFormat="false" ht="15" hidden="false" customHeight="false" outlineLevel="0" collapsed="false">
      <c r="A23" s="18" t="s">
        <v>111</v>
      </c>
      <c r="B23" s="38" t="n">
        <f aca="false">前提!D9*((1+前提!B12)^5-1)*前提!B18/5</f>
        <v>169.1127888</v>
      </c>
      <c r="C23" s="38" t="n">
        <f aca="false">前提!D9*((1+前提!B12)^5-1)*前提!B18/5</f>
        <v>169.1127888</v>
      </c>
      <c r="E23" s="15" t="s">
        <v>112</v>
      </c>
    </row>
    <row r="24" customFormat="false" ht="15" hidden="false" customHeight="false" outlineLevel="0" collapsed="false">
      <c r="A24" s="36" t="s">
        <v>113</v>
      </c>
      <c r="B24" s="37" t="n">
        <f aca="false">B21+B23</f>
        <v>2664.3647888</v>
      </c>
      <c r="C24" s="37" t="n">
        <f aca="false">C21+C23</f>
        <v>181.8647888</v>
      </c>
      <c r="E24" s="2"/>
    </row>
    <row r="26" customFormat="false" ht="15" hidden="false" customHeight="false" outlineLevel="0" collapsed="false">
      <c r="A26" s="3" t="s">
        <v>114</v>
      </c>
    </row>
    <row r="27" customFormat="false" ht="15" hidden="false" customHeight="false" outlineLevel="0" collapsed="false">
      <c r="A27" s="18" t="s">
        <v>115</v>
      </c>
      <c r="B27" s="39" t="n">
        <f aca="false">(C7+C14+C20)/マイル計算!D9</f>
        <v>0.466507177033493</v>
      </c>
      <c r="E27" s="2" t="s">
        <v>116</v>
      </c>
    </row>
    <row r="28" customFormat="false" ht="15" hidden="false" customHeight="false" outlineLevel="0" collapsed="false">
      <c r="A28" s="18" t="s">
        <v>117</v>
      </c>
      <c r="B28" s="19" t="n">
        <f aca="false">マイル計算!D21</f>
        <v>0.436</v>
      </c>
    </row>
    <row r="29" customFormat="false" ht="15" hidden="false" customHeight="false" outlineLevel="0" collapsed="false">
      <c r="A29" s="18" t="s">
        <v>118</v>
      </c>
      <c r="B29" s="40" t="str">
        <f aca="false">IF(B28&lt;=B27,"OK：ストックのみで黒字","要改善：ストックのみでは赤字")</f>
        <v>OK：ストックのみで黒字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2026-09-01T16:23:16Z</dcterms:created>
  <dc:creator>openpyxl</dc:creator>
  <dc:description/>
  <dc:language>en-US</dc:language>
  <cp:lastModifiedBy/>
  <dcterms:modified xsi:type="dcterms:W3CDTF">2026-09-01T16:23:16Z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