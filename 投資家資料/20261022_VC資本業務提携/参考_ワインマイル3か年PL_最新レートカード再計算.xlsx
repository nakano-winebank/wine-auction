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ダッシュボード" sheetId="1" state="visible" r:id="rId3"/>
    <sheet name="前提" sheetId="2" state="visible" r:id="rId4"/>
    <sheet name="会員・預かり資産" sheetId="3" state="visible" r:id="rId5"/>
    <sheet name="マイル計算" sheetId="4" state="visible" r:id="rId6"/>
    <sheet name="損益計算書" sheetId="5" state="visible" r:id="rId7"/>
    <sheet name="キャッシュフロー" sheetId="6" state="visible" r:id="rId8"/>
    <sheet name="感度分析" sheetId="7" state="visible" r:id="rId9"/>
    <sheet name="会員メリット"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<sst xmlns="http://schemas.openxmlformats.org/spreadsheetml/2006/main" count="462" uniqueCount="354">
  <si>
    <r>
      <rPr>
        <b val="true"/>
        <sz val="14"/>
        <color rgb="FF7B1E3A"/>
        <rFont val="Cambria"/>
        <family val="0"/>
        <charset val="1"/>
      </rPr>
      <t xml:space="preserve">WineBank </t>
    </r>
    <r>
      <rPr>
        <b val="true"/>
        <sz val="14"/>
        <color rgb="FF7B1E3A"/>
        <rFont val="WenQuanYi Zen Hei"/>
        <family val="2"/>
      </rPr>
      <t xml:space="preserve">ワインマイル｜</t>
    </r>
    <r>
      <rPr>
        <b val="true"/>
        <sz val="14"/>
        <color rgb="FF7B1E3A"/>
        <rFont val="Cambria"/>
        <family val="0"/>
        <charset val="1"/>
      </rPr>
      <t xml:space="preserve">3</t>
    </r>
    <r>
      <rPr>
        <b val="true"/>
        <sz val="14"/>
        <color rgb="FF7B1E3A"/>
        <rFont val="WenQuanYi Zen Hei"/>
        <family val="2"/>
      </rPr>
      <t xml:space="preserve">か年</t>
    </r>
    <r>
      <rPr>
        <b val="true"/>
        <sz val="14"/>
        <color rgb="FF7B1E3A"/>
        <rFont val="Cambria"/>
        <family val="0"/>
        <charset val="1"/>
      </rPr>
      <t xml:space="preserve">PL </t>
    </r>
    <r>
      <rPr>
        <b val="true"/>
        <sz val="14"/>
        <color rgb="FF7B1E3A"/>
        <rFont val="WenQuanYi Zen Hei"/>
        <family val="2"/>
      </rPr>
      <t xml:space="preserve">ダッシュボード</t>
    </r>
  </si>
  <si>
    <t xml:space="preserve">成功報酬は未実現のため経常利益と分けて表示。単位：万円</t>
  </si>
  <si>
    <r>
      <rPr>
        <b val="true"/>
        <sz val="9"/>
        <color rgb="FF666666"/>
        <rFont val="Cambria"/>
        <family val="0"/>
        <charset val="1"/>
      </rPr>
      <t xml:space="preserve">3</t>
    </r>
    <r>
      <rPr>
        <b val="true"/>
        <sz val="9"/>
        <color rgb="FF666666"/>
        <rFont val="WenQuanYi Zen Hei"/>
        <family val="2"/>
      </rPr>
      <t xml:space="preserve">年末 預かり資産</t>
    </r>
  </si>
  <si>
    <r>
      <rPr>
        <b val="true"/>
        <sz val="9"/>
        <color rgb="FF666666"/>
        <rFont val="Cambria"/>
        <family val="0"/>
        <charset val="1"/>
      </rPr>
      <t xml:space="preserve">3</t>
    </r>
    <r>
      <rPr>
        <b val="true"/>
        <sz val="9"/>
        <color rgb="FF666666"/>
        <rFont val="WenQuanYi Zen Hei"/>
        <family val="2"/>
      </rPr>
      <t xml:space="preserve">年末 会員数</t>
    </r>
  </si>
  <si>
    <r>
      <rPr>
        <b val="true"/>
        <sz val="9"/>
        <color rgb="FF666666"/>
        <rFont val="Cambria"/>
        <family val="0"/>
        <charset val="1"/>
      </rPr>
      <t xml:space="preserve">3</t>
    </r>
    <r>
      <rPr>
        <b val="true"/>
        <sz val="9"/>
        <color rgb="FF666666"/>
        <rFont val="WenQuanYi Zen Hei"/>
        <family val="2"/>
      </rPr>
      <t xml:space="preserve">年累計 売上高</t>
    </r>
  </si>
  <si>
    <r>
      <rPr>
        <b val="true"/>
        <sz val="9"/>
        <color rgb="FF666666"/>
        <rFont val="Cambria"/>
        <family val="0"/>
        <charset val="1"/>
      </rPr>
      <t xml:space="preserve">3</t>
    </r>
    <r>
      <rPr>
        <b val="true"/>
        <sz val="9"/>
        <color rgb="FF666666"/>
        <rFont val="WenQuanYi Zen Hei"/>
        <family val="2"/>
      </rPr>
      <t xml:space="preserve">年累計 経常利益</t>
    </r>
  </si>
  <si>
    <r>
      <rPr>
        <b val="true"/>
        <sz val="9"/>
        <color rgb="FF666666"/>
        <rFont val="Cambria"/>
        <family val="0"/>
        <charset val="1"/>
      </rPr>
      <t xml:space="preserve">3</t>
    </r>
    <r>
      <rPr>
        <b val="true"/>
        <sz val="9"/>
        <color rgb="FF666666"/>
        <rFont val="WenQuanYi Zen Hei"/>
        <family val="2"/>
      </rPr>
      <t xml:space="preserve">年累計 経済利益（成功報酬込）</t>
    </r>
  </si>
  <si>
    <r>
      <rPr>
        <b val="true"/>
        <sz val="9"/>
        <color rgb="FF666666"/>
        <rFont val="WenQuanYi Zen Hei"/>
        <family val="2"/>
      </rPr>
      <t xml:space="preserve">発行</t>
    </r>
    <r>
      <rPr>
        <b val="true"/>
        <sz val="9"/>
        <color rgb="FF666666"/>
        <rFont val="Cambria"/>
        <family val="0"/>
        <charset val="1"/>
      </rPr>
      <t xml:space="preserve">1</t>
    </r>
    <r>
      <rPr>
        <b val="true"/>
        <sz val="9"/>
        <color rgb="FF666666"/>
        <rFont val="WenQuanYi Zen Hei"/>
        <family val="2"/>
      </rPr>
      <t xml:space="preserve">マイル 当社期待原価</t>
    </r>
  </si>
  <si>
    <t xml:space="preserve">ストック利幅（成功報酬前）</t>
  </si>
  <si>
    <t xml:space="preserve">ストック利幅（成功報酬込）</t>
  </si>
  <si>
    <r>
      <rPr>
        <b val="true"/>
        <sz val="9"/>
        <color rgb="FF666666"/>
        <rFont val="Cambria"/>
        <family val="0"/>
        <charset val="1"/>
      </rPr>
      <t xml:space="preserve">100</t>
    </r>
    <r>
      <rPr>
        <b val="true"/>
        <sz val="9"/>
        <color rgb="FF666666"/>
        <rFont val="WenQuanYi Zen Hei"/>
        <family val="2"/>
      </rPr>
      <t xml:space="preserve">万会員 実質メリット率</t>
    </r>
  </si>
  <si>
    <t xml:space="preserve">フロー（販売粗利）依存度</t>
  </si>
  <si>
    <r>
      <rPr>
        <b val="true"/>
        <sz val="9"/>
        <color rgb="FF666666"/>
        <rFont val="Cambria"/>
        <family val="0"/>
        <charset val="1"/>
      </rPr>
      <t xml:space="preserve">3</t>
    </r>
    <r>
      <rPr>
        <b val="true"/>
        <sz val="9"/>
        <color rgb="FF666666"/>
        <rFont val="WenQuanYi Zen Hei"/>
        <family val="2"/>
      </rPr>
      <t xml:space="preserve">年累計 純キャッシュフロー</t>
    </r>
  </si>
  <si>
    <r>
      <rPr>
        <b val="true"/>
        <sz val="9"/>
        <color rgb="FF666666"/>
        <rFont val="WenQuanYi Zen Hei"/>
        <family val="2"/>
      </rPr>
      <t xml:space="preserve">損益分岐マイル原価 </t>
    </r>
    <r>
      <rPr>
        <b val="true"/>
        <sz val="9"/>
        <color rgb="FF666666"/>
        <rFont val="Cambria"/>
        <family val="0"/>
        <charset val="1"/>
      </rPr>
      <t xml:space="preserve">vs </t>
    </r>
    <r>
      <rPr>
        <b val="true"/>
        <sz val="9"/>
        <color rgb="FF666666"/>
        <rFont val="WenQuanYi Zen Hei"/>
        <family val="2"/>
      </rPr>
      <t xml:space="preserve">実績</t>
    </r>
  </si>
  <si>
    <t xml:space="preserve">■ 年度別サマリ</t>
  </si>
  <si>
    <t xml:space="preserve">指標</t>
  </si>
  <si>
    <r>
      <rPr>
        <b val="true"/>
        <sz val="10"/>
        <color rgb="FFFFFFFF"/>
        <rFont val="Cambria"/>
        <family val="0"/>
        <charset val="1"/>
      </rPr>
      <t xml:space="preserve">1</t>
    </r>
    <r>
      <rPr>
        <b val="true"/>
        <sz val="10"/>
        <color rgb="FFFFFFFF"/>
        <rFont val="WenQuanYi Zen Hei"/>
        <family val="2"/>
      </rPr>
      <t xml:space="preserve">年目</t>
    </r>
  </si>
  <si>
    <r>
      <rPr>
        <b val="true"/>
        <sz val="10"/>
        <color rgb="FFFFFFFF"/>
        <rFont val="Cambria"/>
        <family val="0"/>
        <charset val="1"/>
      </rPr>
      <t xml:space="preserve">2</t>
    </r>
    <r>
      <rPr>
        <b val="true"/>
        <sz val="10"/>
        <color rgb="FFFFFFFF"/>
        <rFont val="WenQuanYi Zen Hei"/>
        <family val="2"/>
      </rPr>
      <t xml:space="preserve">年目</t>
    </r>
  </si>
  <si>
    <r>
      <rPr>
        <b val="true"/>
        <sz val="10"/>
        <color rgb="FFFFFFFF"/>
        <rFont val="Cambria"/>
        <family val="0"/>
        <charset val="1"/>
      </rPr>
      <t xml:space="preserve">3</t>
    </r>
    <r>
      <rPr>
        <b val="true"/>
        <sz val="10"/>
        <color rgb="FFFFFFFF"/>
        <rFont val="WenQuanYi Zen Hei"/>
        <family val="2"/>
      </rPr>
      <t xml:space="preserve">年目</t>
    </r>
  </si>
  <si>
    <r>
      <rPr>
        <b val="true"/>
        <sz val="10"/>
        <color rgb="FFFFFFFF"/>
        <rFont val="Cambria"/>
        <family val="0"/>
        <charset val="1"/>
      </rPr>
      <t xml:space="preserve">3</t>
    </r>
    <r>
      <rPr>
        <b val="true"/>
        <sz val="10"/>
        <color rgb="FFFFFFFF"/>
        <rFont val="WenQuanYi Zen Hei"/>
        <family val="2"/>
      </rPr>
      <t xml:space="preserve">年累計</t>
    </r>
  </si>
  <si>
    <t xml:space="preserve">売上高</t>
  </si>
  <si>
    <t xml:space="preserve">営業利益</t>
  </si>
  <si>
    <t xml:space="preserve">経常利益</t>
  </si>
  <si>
    <t xml:space="preserve">経済利益（成功報酬発生込）</t>
  </si>
  <si>
    <t xml:space="preserve">ストック損益（成功報酬前）</t>
  </si>
  <si>
    <t xml:space="preserve">ストック経済損益（成功報酬込）</t>
  </si>
  <si>
    <r>
      <rPr>
        <sz val="11"/>
        <color theme="1"/>
        <rFont val="WenQuanYi Zen Hei"/>
        <family val="2"/>
      </rPr>
      <t xml:space="preserve">マイル費用（</t>
    </r>
    <r>
      <rPr>
        <sz val="11"/>
        <color theme="1"/>
        <rFont val="Calibri"/>
        <family val="2"/>
        <charset val="1"/>
      </rPr>
      <t xml:space="preserve">P/L</t>
    </r>
    <r>
      <rPr>
        <sz val="11"/>
        <color theme="1"/>
        <rFont val="WenQuanYi Zen Hei"/>
        <family val="2"/>
      </rPr>
      <t xml:space="preserve">）</t>
    </r>
  </si>
  <si>
    <t xml:space="preserve">実利用マイル原価（現金）</t>
  </si>
  <si>
    <t xml:space="preserve">純キャッシュフロー</t>
  </si>
  <si>
    <t xml:space="preserve">期末預かり資産</t>
  </si>
  <si>
    <t xml:space="preserve">■ 中谷氏コメントへの回答</t>
  </si>
  <si>
    <r>
      <rPr>
        <sz val="9"/>
        <rFont val="Cambria"/>
        <family val="0"/>
        <charset val="1"/>
      </rPr>
      <t xml:space="preserve">Q2</t>
    </r>
    <r>
      <rPr>
        <sz val="9"/>
        <rFont val="WenQuanYi Zen Hei"/>
        <family val="2"/>
      </rPr>
      <t xml:space="preserve">「マイル消化</t>
    </r>
    <r>
      <rPr>
        <sz val="9"/>
        <rFont val="Cambria"/>
        <family val="0"/>
        <charset val="1"/>
      </rPr>
      <t xml:space="preserve">98%</t>
    </r>
    <r>
      <rPr>
        <sz val="9"/>
        <rFont val="WenQuanYi Zen Hei"/>
        <family val="2"/>
      </rPr>
      <t xml:space="preserve">＋新規流入を織り込んでも回るか」→ 全費目が預かり資産に対して線形のため、ストック利幅は規模によらず一定。上表の通り</t>
    </r>
    <r>
      <rPr>
        <sz val="9"/>
        <rFont val="Cambria"/>
        <family val="0"/>
        <charset val="1"/>
      </rPr>
      <t xml:space="preserve">3</t>
    </r>
    <r>
      <rPr>
        <sz val="9"/>
        <rFont val="WenQuanYi Zen Hei"/>
        <family val="2"/>
      </rPr>
      <t xml:space="preserve">年とも同水準。</t>
    </r>
  </si>
  <si>
    <r>
      <rPr>
        <sz val="9"/>
        <rFont val="WenQuanYi Zen Hei"/>
        <family val="2"/>
      </rPr>
      <t xml:space="preserve">前提の更新点：保管料</t>
    </r>
    <r>
      <rPr>
        <sz val="9"/>
        <rFont val="Cambria"/>
        <family val="0"/>
        <charset val="1"/>
      </rPr>
      <t xml:space="preserve">1.5%→1.05%</t>
    </r>
    <r>
      <rPr>
        <sz val="9"/>
        <rFont val="WenQuanYi Zen Hei"/>
        <family val="2"/>
      </rPr>
      <t xml:space="preserve">（鈴与実額）／還元率</t>
    </r>
    <r>
      <rPr>
        <sz val="9"/>
        <rFont val="Cambria"/>
        <family val="0"/>
        <charset val="1"/>
      </rPr>
      <t xml:space="preserve">3</t>
    </r>
    <r>
      <rPr>
        <sz val="9"/>
        <rFont val="WenQuanYi Zen Hei"/>
        <family val="2"/>
      </rPr>
      <t xml:space="preserve">・</t>
    </r>
    <r>
      <rPr>
        <sz val="9"/>
        <rFont val="Cambria"/>
        <family val="0"/>
        <charset val="1"/>
      </rPr>
      <t xml:space="preserve">4</t>
    </r>
    <r>
      <rPr>
        <sz val="9"/>
        <rFont val="WenQuanYi Zen Hei"/>
        <family val="2"/>
      </rPr>
      <t xml:space="preserve">・</t>
    </r>
    <r>
      <rPr>
        <sz val="9"/>
        <rFont val="Cambria"/>
        <family val="0"/>
        <charset val="1"/>
      </rPr>
      <t xml:space="preserve">5%→3.5</t>
    </r>
    <r>
      <rPr>
        <sz val="9"/>
        <rFont val="WenQuanYi Zen Hei"/>
        <family val="2"/>
      </rPr>
      <t xml:space="preserve">・</t>
    </r>
    <r>
      <rPr>
        <sz val="9"/>
        <rFont val="Cambria"/>
        <family val="0"/>
        <charset val="1"/>
      </rPr>
      <t xml:space="preserve">4.5</t>
    </r>
    <r>
      <rPr>
        <sz val="9"/>
        <rFont val="WenQuanYi Zen Hei"/>
        <family val="2"/>
      </rPr>
      <t xml:space="preserve">・</t>
    </r>
    <r>
      <rPr>
        <sz val="9"/>
        <rFont val="Cambria"/>
        <family val="0"/>
        <charset val="1"/>
      </rPr>
      <t xml:space="preserve">5.5%</t>
    </r>
    <r>
      <rPr>
        <sz val="9"/>
        <rFont val="WenQuanYi Zen Hei"/>
        <family val="2"/>
      </rPr>
      <t xml:space="preserve">／成功報酬</t>
    </r>
    <r>
      <rPr>
        <sz val="9"/>
        <rFont val="Cambria"/>
        <family val="0"/>
        <charset val="1"/>
      </rPr>
      <t xml:space="preserve">30%→25%</t>
    </r>
    <r>
      <rPr>
        <sz val="9"/>
        <rFont val="WenQuanYi Zen Hei"/>
        <family val="2"/>
      </rPr>
      <t xml:space="preserve">／オークション買い手手数料を収益計上／ワインスクール・交流イベント（原価率</t>
    </r>
    <r>
      <rPr>
        <sz val="9"/>
        <rFont val="Cambria"/>
        <family val="0"/>
        <charset val="1"/>
      </rPr>
      <t xml:space="preserve">50%</t>
    </r>
    <r>
      <rPr>
        <sz val="9"/>
        <rFont val="WenQuanYi Zen Hei"/>
        <family val="2"/>
      </rPr>
      <t xml:space="preserve">）を交換先に追加。</t>
    </r>
  </si>
  <si>
    <r>
      <rPr>
        <sz val="9"/>
        <rFont val="WenQuanYi Zen Hei"/>
        <family val="2"/>
      </rPr>
      <t xml:space="preserve">本ファイルは事業採算確認用の管理</t>
    </r>
    <r>
      <rPr>
        <sz val="9"/>
        <rFont val="Cambria"/>
        <family val="0"/>
        <charset val="1"/>
      </rPr>
      <t xml:space="preserve">PL</t>
    </r>
    <r>
      <rPr>
        <sz val="9"/>
        <rFont val="WenQuanYi Zen Hei"/>
        <family val="2"/>
      </rPr>
      <t xml:space="preserve">です。法定会計ではマイルを履行義務として収益繰延する可能性があるため、税理士・会計士の確認が必要です。</t>
    </r>
  </si>
  <si>
    <r>
      <rPr>
        <b val="true"/>
        <sz val="14"/>
        <color rgb="FF7B1E3A"/>
        <rFont val="Cambria"/>
        <family val="0"/>
        <charset val="1"/>
      </rPr>
      <t xml:space="preserve">WineBank </t>
    </r>
    <r>
      <rPr>
        <b val="true"/>
        <sz val="14"/>
        <color rgb="FF7B1E3A"/>
        <rFont val="WenQuanYi Zen Hei"/>
        <family val="2"/>
      </rPr>
      <t xml:space="preserve">ワインマイル｜</t>
    </r>
    <r>
      <rPr>
        <b val="true"/>
        <sz val="14"/>
        <color rgb="FF7B1E3A"/>
        <rFont val="Cambria"/>
        <family val="0"/>
        <charset val="1"/>
      </rPr>
      <t xml:space="preserve">3</t>
    </r>
    <r>
      <rPr>
        <b val="true"/>
        <sz val="14"/>
        <color rgb="FF7B1E3A"/>
        <rFont val="WenQuanYi Zen Hei"/>
        <family val="2"/>
      </rPr>
      <t xml:space="preserve">か年</t>
    </r>
    <r>
      <rPr>
        <b val="true"/>
        <sz val="14"/>
        <color rgb="FF7B1E3A"/>
        <rFont val="Cambria"/>
        <family val="0"/>
        <charset val="1"/>
      </rPr>
      <t xml:space="preserve">PL </t>
    </r>
    <r>
      <rPr>
        <b val="true"/>
        <sz val="14"/>
        <color rgb="FF7B1E3A"/>
        <rFont val="WenQuanYi Zen Hei"/>
        <family val="2"/>
      </rPr>
      <t xml:space="preserve">前提条件</t>
    </r>
  </si>
  <si>
    <r>
      <rPr>
        <sz val="9"/>
        <color rgb="FF666666"/>
        <rFont val="WenQuanYi Zen Hei"/>
        <family val="2"/>
      </rPr>
      <t xml:space="preserve">黄色セル＝入力値（変更可）。金額単位：万円。中谷氏作成版の構造を踏襲し、</t>
    </r>
    <r>
      <rPr>
        <sz val="9"/>
        <color rgb="FF666666"/>
        <rFont val="Cambria"/>
        <family val="0"/>
        <charset val="1"/>
      </rPr>
      <t xml:space="preserve">8/31</t>
    </r>
    <r>
      <rPr>
        <sz val="9"/>
        <color rgb="FF666666"/>
        <rFont val="WenQuanYi Zen Hei"/>
        <family val="2"/>
      </rPr>
      <t xml:space="preserve">以降に合意した前提へ更新。</t>
    </r>
  </si>
  <si>
    <r>
      <rPr>
        <b val="true"/>
        <sz val="11"/>
        <color rgb="FF7B1E3A"/>
        <rFont val="WenQuanYi Zen Hei"/>
        <family val="2"/>
      </rPr>
      <t xml:space="preserve">■ ランク別プラン・</t>
    </r>
    <r>
      <rPr>
        <b val="true"/>
        <sz val="11"/>
        <color rgb="FF7B1E3A"/>
        <rFont val="Cambria"/>
        <family val="0"/>
        <charset val="1"/>
      </rPr>
      <t xml:space="preserve">3</t>
    </r>
    <r>
      <rPr>
        <b val="true"/>
        <sz val="11"/>
        <color rgb="FF7B1E3A"/>
        <rFont val="WenQuanYi Zen Hei"/>
        <family val="2"/>
      </rPr>
      <t xml:space="preserve">か年販売計画</t>
    </r>
  </si>
  <si>
    <t xml:space="preserve">ランク</t>
  </si>
  <si>
    <r>
      <rPr>
        <b val="true"/>
        <sz val="10"/>
        <color rgb="FFFFFFFF"/>
        <rFont val="Cambria"/>
        <family val="0"/>
        <charset val="1"/>
      </rPr>
      <t xml:space="preserve">1</t>
    </r>
    <r>
      <rPr>
        <b val="true"/>
        <sz val="10"/>
        <color rgb="FFFFFFFF"/>
        <rFont val="WenQuanYi Zen Hei"/>
        <family val="2"/>
      </rPr>
      <t xml:space="preserve">人あたり預かり額</t>
    </r>
  </si>
  <si>
    <t xml:space="preserve">管理・保管手数料率</t>
  </si>
  <si>
    <t xml:space="preserve">マイル還元率</t>
  </si>
  <si>
    <r>
      <rPr>
        <b val="true"/>
        <sz val="10"/>
        <color rgb="FFFFFFFF"/>
        <rFont val="Cambria"/>
        <family val="0"/>
        <charset val="1"/>
      </rPr>
      <t xml:space="preserve">1</t>
    </r>
    <r>
      <rPr>
        <b val="true"/>
        <sz val="10"/>
        <color rgb="FFFFFFFF"/>
        <rFont val="WenQuanYi Zen Hei"/>
        <family val="2"/>
      </rPr>
      <t xml:space="preserve">年目 新規人数</t>
    </r>
  </si>
  <si>
    <r>
      <rPr>
        <b val="true"/>
        <sz val="10"/>
        <color rgb="FFFFFFFF"/>
        <rFont val="Cambria"/>
        <family val="0"/>
        <charset val="1"/>
      </rPr>
      <t xml:space="preserve">2</t>
    </r>
    <r>
      <rPr>
        <b val="true"/>
        <sz val="10"/>
        <color rgb="FFFFFFFF"/>
        <rFont val="WenQuanYi Zen Hei"/>
        <family val="2"/>
      </rPr>
      <t xml:space="preserve">年目 新規人数</t>
    </r>
  </si>
  <si>
    <r>
      <rPr>
        <b val="true"/>
        <sz val="10"/>
        <color rgb="FFFFFFFF"/>
        <rFont val="Cambria"/>
        <family val="0"/>
        <charset val="1"/>
      </rPr>
      <t xml:space="preserve">3</t>
    </r>
    <r>
      <rPr>
        <b val="true"/>
        <sz val="10"/>
        <color rgb="FFFFFFFF"/>
        <rFont val="WenQuanYi Zen Hei"/>
        <family val="2"/>
      </rPr>
      <t xml:space="preserve">年目 新規人数</t>
    </r>
  </si>
  <si>
    <t xml:space="preserve">出典・備考</t>
  </si>
  <si>
    <t xml:space="preserve">PRESTIGE</t>
  </si>
  <si>
    <r>
      <rPr>
        <sz val="9"/>
        <color rgb="FF666666"/>
        <rFont val="WenQuanYi Zen Hei"/>
        <family val="2"/>
      </rPr>
      <t xml:space="preserve">還元率は </t>
    </r>
    <r>
      <rPr>
        <sz val="9"/>
        <color rgb="FF666666"/>
        <rFont val="Cambria"/>
        <family val="0"/>
        <charset val="1"/>
      </rPr>
      <t xml:space="preserve">3.5/4.5/5.5%</t>
    </r>
    <r>
      <rPr>
        <sz val="9"/>
        <color rgb="FF666666"/>
        <rFont val="WenQuanYi Zen Hei"/>
        <family val="2"/>
      </rPr>
      <t xml:space="preserve">（</t>
    </r>
    <r>
      <rPr>
        <sz val="9"/>
        <color rgb="FF666666"/>
        <rFont val="Cambria"/>
        <family val="0"/>
        <charset val="1"/>
      </rPr>
      <t xml:space="preserve">100</t>
    </r>
    <r>
      <rPr>
        <sz val="9"/>
        <color rgb="FF666666"/>
        <rFont val="WenQuanYi Zen Hei"/>
        <family val="2"/>
      </rPr>
      <t xml:space="preserve">万会員の額面メリットを</t>
    </r>
    <r>
      <rPr>
        <sz val="9"/>
        <color rgb="FF666666"/>
        <rFont val="Cambria"/>
        <family val="0"/>
        <charset val="1"/>
      </rPr>
      <t xml:space="preserve">1.0%</t>
    </r>
    <r>
      <rPr>
        <sz val="9"/>
        <color rgb="FF666666"/>
        <rFont val="WenQuanYi Zen Hei"/>
        <family val="2"/>
      </rPr>
      <t xml:space="preserve">確保するため引上げ済）</t>
    </r>
  </si>
  <si>
    <t xml:space="preserve">GOLD</t>
  </si>
  <si>
    <t xml:space="preserve">SIGNATURE</t>
  </si>
  <si>
    <t xml:space="preserve">合計新規会員数</t>
  </si>
  <si>
    <t xml:space="preserve">新規預かり資産／販売対象額</t>
  </si>
  <si>
    <t xml:space="preserve">加重平均マイル還元率</t>
  </si>
  <si>
    <t xml:space="preserve">ワイン販売を伴う比率</t>
  </si>
  <si>
    <r>
      <rPr>
        <sz val="9"/>
        <color rgb="FF666666"/>
        <rFont val="Cambria"/>
        <family val="0"/>
        <charset val="1"/>
      </rPr>
      <t xml:space="preserve">100%</t>
    </r>
    <r>
      <rPr>
        <sz val="9"/>
        <color rgb="FF666666"/>
        <rFont val="WenQuanYi Zen Hei"/>
        <family val="2"/>
      </rPr>
      <t xml:space="preserve">＝全件</t>
    </r>
    <r>
      <rPr>
        <sz val="9"/>
        <color rgb="FF666666"/>
        <rFont val="Cambria"/>
        <family val="0"/>
        <charset val="1"/>
      </rPr>
      <t xml:space="preserve">WineBank</t>
    </r>
    <r>
      <rPr>
        <sz val="9"/>
        <color rgb="FF666666"/>
        <rFont val="WenQuanYi Zen Hei"/>
        <family val="2"/>
      </rPr>
      <t xml:space="preserve">販売。既存ワイン持込型は比率を下げる</t>
    </r>
  </si>
  <si>
    <t xml:space="preserve">ワイン販売売上</t>
  </si>
  <si>
    <t xml:space="preserve">■ 事業・獲得前提</t>
  </si>
  <si>
    <t xml:space="preserve">販売粗利率</t>
  </si>
  <si>
    <r>
      <rPr>
        <sz val="9"/>
        <color rgb="FF666666"/>
        <rFont val="WenQuanYi Zen Hei"/>
        <family val="2"/>
      </rPr>
      <t xml:space="preserve">売価ベース</t>
    </r>
    <r>
      <rPr>
        <sz val="9"/>
        <color rgb="FF666666"/>
        <rFont val="Cambria"/>
        <family val="0"/>
        <charset val="1"/>
      </rPr>
      <t xml:space="preserve">30%</t>
    </r>
  </si>
  <si>
    <t xml:space="preserve">ワイン値上がり率（年）</t>
  </si>
  <si>
    <r>
      <rPr>
        <sz val="9"/>
        <color rgb="FF666666"/>
        <rFont val="WenQuanYi Zen Hei"/>
        <family val="2"/>
      </rPr>
      <t xml:space="preserve">実績</t>
    </r>
    <r>
      <rPr>
        <sz val="9"/>
        <color rgb="FF666666"/>
        <rFont val="Cambria"/>
        <family val="0"/>
        <charset val="1"/>
      </rPr>
      <t xml:space="preserve">6%</t>
    </r>
  </si>
  <si>
    <t xml:space="preserve">成功報酬率</t>
  </si>
  <si>
    <r>
      <rPr>
        <sz val="9"/>
        <color rgb="FF666666"/>
        <rFont val="WenQuanYi Zen Hei"/>
        <family val="2"/>
      </rPr>
      <t xml:space="preserve">値上がり益に対する成功報酬。合意値は</t>
    </r>
    <r>
      <rPr>
        <sz val="9"/>
        <color rgb="FF666666"/>
        <rFont val="Cambria"/>
        <family val="0"/>
        <charset val="1"/>
      </rPr>
      <t xml:space="preserve">25%</t>
    </r>
  </si>
  <si>
    <t xml:space="preserve">預かり資産の保管・保険原価率（年）</t>
  </si>
  <si>
    <r>
      <rPr>
        <sz val="9"/>
        <color rgb="FF666666"/>
        <rFont val="WenQuanYi Zen Hei"/>
        <family val="2"/>
      </rPr>
      <t xml:space="preserve">鈴与実額 </t>
    </r>
    <r>
      <rPr>
        <sz val="9"/>
        <color rgb="FF666666"/>
        <rFont val="Cambria"/>
        <family val="0"/>
        <charset val="1"/>
      </rPr>
      <t xml:space="preserve">210</t>
    </r>
    <r>
      <rPr>
        <sz val="9"/>
        <color rgb="FF666666"/>
        <rFont val="WenQuanYi Zen Hei"/>
        <family val="2"/>
      </rPr>
      <t xml:space="preserve">円</t>
    </r>
    <r>
      <rPr>
        <sz val="9"/>
        <color rgb="FF666666"/>
        <rFont val="Cambria"/>
        <family val="0"/>
        <charset val="1"/>
      </rPr>
      <t xml:space="preserve">/</t>
    </r>
    <r>
      <rPr>
        <sz val="9"/>
        <color rgb="FF666666"/>
        <rFont val="WenQuanYi Zen Hei"/>
        <family val="2"/>
      </rPr>
      <t xml:space="preserve">本</t>
    </r>
    <r>
      <rPr>
        <sz val="9"/>
        <color rgb="FF666666"/>
        <rFont val="Cambria"/>
        <family val="0"/>
        <charset val="1"/>
      </rPr>
      <t xml:space="preserve">/</t>
    </r>
    <r>
      <rPr>
        <sz val="9"/>
        <color rgb="FF666666"/>
        <rFont val="WenQuanYi Zen Hei"/>
        <family val="2"/>
      </rPr>
      <t xml:space="preserve">年 </t>
    </r>
    <r>
      <rPr>
        <sz val="9"/>
        <color rgb="FF666666"/>
        <rFont val="Cambria"/>
        <family val="0"/>
        <charset val="1"/>
      </rPr>
      <t xml:space="preserve">÷ </t>
    </r>
    <r>
      <rPr>
        <sz val="9"/>
        <color rgb="FF666666"/>
        <rFont val="WenQuanYi Zen Hei"/>
        <family val="2"/>
      </rPr>
      <t xml:space="preserve">平均単価</t>
    </r>
    <r>
      <rPr>
        <sz val="9"/>
        <color rgb="FF666666"/>
        <rFont val="Cambria"/>
        <family val="0"/>
        <charset val="1"/>
      </rPr>
      <t xml:space="preserve">20,000</t>
    </r>
    <r>
      <rPr>
        <sz val="9"/>
        <color rgb="FF666666"/>
        <rFont val="WenQuanYi Zen Hei"/>
        <family val="2"/>
      </rPr>
      <t xml:space="preserve">円＝</t>
    </r>
    <r>
      <rPr>
        <sz val="9"/>
        <color rgb="FF666666"/>
        <rFont val="Cambria"/>
        <family val="0"/>
        <charset val="1"/>
      </rPr>
      <t xml:space="preserve">1.05%</t>
    </r>
    <r>
      <rPr>
        <sz val="9"/>
        <color rgb="FF666666"/>
        <rFont val="WenQuanYi Zen Hei"/>
        <family val="2"/>
      </rPr>
      <t xml:space="preserve">（倉持案の</t>
    </r>
    <r>
      <rPr>
        <sz val="9"/>
        <color rgb="FF666666"/>
        <rFont val="Cambria"/>
        <family val="0"/>
        <charset val="1"/>
      </rPr>
      <t xml:space="preserve">1</t>
    </r>
    <r>
      <rPr>
        <sz val="9"/>
        <color rgb="FF666666"/>
        <rFont val="WenQuanYi Zen Hei"/>
        <family val="2"/>
      </rPr>
      <t xml:space="preserve">億＝約</t>
    </r>
    <r>
      <rPr>
        <sz val="9"/>
        <color rgb="FF666666"/>
        <rFont val="Cambria"/>
        <family val="0"/>
        <charset val="1"/>
      </rPr>
      <t xml:space="preserve">7,619</t>
    </r>
    <r>
      <rPr>
        <sz val="9"/>
        <color rgb="FF666666"/>
        <rFont val="WenQuanYi Zen Hei"/>
        <family val="2"/>
      </rPr>
      <t xml:space="preserve">本より）</t>
    </r>
  </si>
  <si>
    <t xml:space="preserve">年間預かり継続率</t>
  </si>
  <si>
    <r>
      <rPr>
        <sz val="9"/>
        <color rgb="FF666666"/>
        <rFont val="WenQuanYi Zen Hei"/>
        <family val="2"/>
      </rPr>
      <t xml:space="preserve">基本</t>
    </r>
    <r>
      <rPr>
        <sz val="9"/>
        <color rgb="FF666666"/>
        <rFont val="Cambria"/>
        <family val="0"/>
        <charset val="1"/>
      </rPr>
      <t xml:space="preserve">100%</t>
    </r>
    <r>
      <rPr>
        <sz val="9"/>
        <color rgb="FF666666"/>
        <rFont val="WenQuanYi Zen Hei"/>
        <family val="2"/>
      </rPr>
      <t xml:space="preserve">。解約を織り込む場合はここを下げる</t>
    </r>
  </si>
  <si>
    <t xml:space="preserve">行動マイル追加発行率（対 預かり資産）</t>
  </si>
  <si>
    <r>
      <rPr>
        <sz val="9"/>
        <color rgb="FF666666"/>
        <rFont val="WenQuanYi Zen Hei"/>
        <family val="2"/>
      </rPr>
      <t xml:space="preserve">落札・会食等の限定マイルは数量前提がないため</t>
    </r>
    <r>
      <rPr>
        <sz val="9"/>
        <color rgb="FF666666"/>
        <rFont val="Cambria"/>
        <family val="0"/>
        <charset val="1"/>
      </rPr>
      <t xml:space="preserve">0%</t>
    </r>
  </si>
  <si>
    <r>
      <rPr>
        <sz val="11"/>
        <color theme="1"/>
        <rFont val="Calibri"/>
        <family val="2"/>
        <charset val="1"/>
      </rPr>
      <t xml:space="preserve">CPL</t>
    </r>
    <r>
      <rPr>
        <sz val="11"/>
        <color theme="1"/>
        <rFont val="WenQuanYi Zen Hei"/>
        <family val="2"/>
      </rPr>
      <t xml:space="preserve">（</t>
    </r>
    <r>
      <rPr>
        <sz val="11"/>
        <color theme="1"/>
        <rFont val="Calibri"/>
        <family val="2"/>
        <charset val="1"/>
      </rPr>
      <t xml:space="preserve">1</t>
    </r>
    <r>
      <rPr>
        <sz val="11"/>
        <color theme="1"/>
        <rFont val="WenQuanYi Zen Hei"/>
        <family val="2"/>
      </rPr>
      <t xml:space="preserve">リード獲得費・万円）</t>
    </r>
  </si>
  <si>
    <r>
      <rPr>
        <sz val="9"/>
        <color rgb="FF666666"/>
        <rFont val="Cambria"/>
        <family val="0"/>
        <charset val="1"/>
      </rPr>
      <t xml:space="preserve">8,000</t>
    </r>
    <r>
      <rPr>
        <sz val="9"/>
        <color rgb="FF666666"/>
        <rFont val="WenQuanYi Zen Hei"/>
        <family val="2"/>
      </rPr>
      <t xml:space="preserve">円</t>
    </r>
  </si>
  <si>
    <r>
      <rPr>
        <sz val="11"/>
        <color theme="1"/>
        <rFont val="Calibri"/>
        <family val="2"/>
        <charset val="1"/>
      </rPr>
      <t xml:space="preserve">CPA</t>
    </r>
    <r>
      <rPr>
        <sz val="11"/>
        <color theme="1"/>
        <rFont val="WenQuanYi Zen Hei"/>
        <family val="2"/>
      </rPr>
      <t xml:space="preserve">（</t>
    </r>
    <r>
      <rPr>
        <sz val="11"/>
        <color theme="1"/>
        <rFont val="Calibri"/>
        <family val="2"/>
        <charset val="1"/>
      </rPr>
      <t xml:space="preserve">1</t>
    </r>
    <r>
      <rPr>
        <sz val="11"/>
        <color theme="1"/>
        <rFont val="WenQuanYi Zen Hei"/>
        <family val="2"/>
      </rPr>
      <t xml:space="preserve">会員獲得費・営業込み・万円）</t>
    </r>
  </si>
  <si>
    <r>
      <rPr>
        <sz val="9"/>
        <color rgb="FF666666"/>
        <rFont val="Cambria"/>
        <family val="0"/>
        <charset val="1"/>
      </rPr>
      <t xml:space="preserve">50,000</t>
    </r>
    <r>
      <rPr>
        <sz val="9"/>
        <color rgb="FF666666"/>
        <rFont val="WenQuanYi Zen Hei"/>
        <family val="2"/>
      </rPr>
      <t xml:space="preserve">円。</t>
    </r>
    <r>
      <rPr>
        <sz val="9"/>
        <color rgb="FF666666"/>
        <rFont val="Cambria"/>
        <family val="0"/>
        <charset val="1"/>
      </rPr>
      <t xml:space="preserve">CPL</t>
    </r>
    <r>
      <rPr>
        <sz val="9"/>
        <color rgb="FF666666"/>
        <rFont val="WenQuanYi Zen Hei"/>
        <family val="2"/>
      </rPr>
      <t xml:space="preserve">を内包し二重計上しない</t>
    </r>
  </si>
  <si>
    <r>
      <rPr>
        <sz val="11"/>
        <color theme="1"/>
        <rFont val="WenQuanYi Zen Hei"/>
        <family val="2"/>
      </rPr>
      <t xml:space="preserve">想定リード→会員</t>
    </r>
    <r>
      <rPr>
        <sz val="11"/>
        <color theme="1"/>
        <rFont val="Calibri"/>
        <family val="2"/>
        <charset val="1"/>
      </rPr>
      <t xml:space="preserve">CVR</t>
    </r>
  </si>
  <si>
    <r>
      <rPr>
        <sz val="11"/>
        <color theme="1"/>
        <rFont val="Calibri"/>
        <family val="2"/>
        <charset val="1"/>
      </rPr>
      <t xml:space="preserve">1</t>
    </r>
    <r>
      <rPr>
        <sz val="11"/>
        <color theme="1"/>
        <rFont val="WenQuanYi Zen Hei"/>
        <family val="2"/>
      </rPr>
      <t xml:space="preserve">会員獲得に必要なリード数</t>
    </r>
  </si>
  <si>
    <r>
      <rPr>
        <b val="true"/>
        <sz val="11"/>
        <color rgb="FF7B1E3A"/>
        <rFont val="WenQuanYi Zen Hei"/>
        <family val="2"/>
      </rPr>
      <t xml:space="preserve">■ オークション（売り手手数料</t>
    </r>
    <r>
      <rPr>
        <b val="true"/>
        <sz val="11"/>
        <color rgb="FF7B1E3A"/>
        <rFont val="Cambria"/>
        <family val="0"/>
        <charset val="1"/>
      </rPr>
      <t xml:space="preserve">0</t>
    </r>
    <r>
      <rPr>
        <b val="true"/>
        <sz val="11"/>
        <color rgb="FF7B1E3A"/>
        <rFont val="WenQuanYi Zen Hei"/>
        <family val="2"/>
      </rPr>
      <t xml:space="preserve">・買い手課金モデル）</t>
    </r>
  </si>
  <si>
    <t xml:space="preserve">年間在庫回転率（対 預かり資産）</t>
  </si>
  <si>
    <t xml:space="preserve">預かり資産のうち年間で売却に回る比率</t>
  </si>
  <si>
    <t xml:space="preserve">当社ルート通過率</t>
  </si>
  <si>
    <r>
      <rPr>
        <sz val="9"/>
        <color rgb="FF666666"/>
        <rFont val="WenQuanYi Zen Hei"/>
        <family val="2"/>
      </rPr>
      <t xml:space="preserve">他ルート売却の可能性を織り込み保守的に</t>
    </r>
    <r>
      <rPr>
        <sz val="9"/>
        <color rgb="FF666666"/>
        <rFont val="Cambria"/>
        <family val="0"/>
        <charset val="1"/>
      </rPr>
      <t xml:space="preserve">50%</t>
    </r>
  </si>
  <si>
    <t xml:space="preserve">買い手手数料率</t>
  </si>
  <si>
    <r>
      <rPr>
        <sz val="9"/>
        <color rgb="FF666666"/>
        <rFont val="WenQuanYi Zen Hei"/>
        <family val="2"/>
      </rPr>
      <t xml:space="preserve">落札者から</t>
    </r>
    <r>
      <rPr>
        <sz val="9"/>
        <color rgb="FF666666"/>
        <rFont val="Cambria"/>
        <family val="0"/>
        <charset val="1"/>
      </rPr>
      <t xml:space="preserve">10%</t>
    </r>
  </si>
  <si>
    <t xml:space="preserve">売り手手数料率</t>
  </si>
  <si>
    <t xml:space="preserve">会員（売り手）からは取らない</t>
  </si>
  <si>
    <t xml:space="preserve">オークション収益率（対 預かり資産）</t>
  </si>
  <si>
    <r>
      <rPr>
        <sz val="9"/>
        <color rgb="FF666666"/>
        <rFont val="WenQuanYi Zen Hei"/>
        <family val="2"/>
      </rPr>
      <t xml:space="preserve">回転率 </t>
    </r>
    <r>
      <rPr>
        <sz val="9"/>
        <color rgb="FF666666"/>
        <rFont val="Cambria"/>
        <family val="0"/>
        <charset val="1"/>
      </rPr>
      <t xml:space="preserve">× </t>
    </r>
    <r>
      <rPr>
        <sz val="9"/>
        <color rgb="FF666666"/>
        <rFont val="WenQuanYi Zen Hei"/>
        <family val="2"/>
      </rPr>
      <t xml:space="preserve">当社ルート率 </t>
    </r>
    <r>
      <rPr>
        <sz val="9"/>
        <color rgb="FF666666"/>
        <rFont val="Cambria"/>
        <family val="0"/>
        <charset val="1"/>
      </rPr>
      <t xml:space="preserve">×</t>
    </r>
    <r>
      <rPr>
        <sz val="9"/>
        <color rgb="FF666666"/>
        <rFont val="WenQuanYi Zen Hei"/>
        <family val="2"/>
      </rPr>
      <t xml:space="preserve">（買い手＋売り手手数料率）</t>
    </r>
  </si>
  <si>
    <r>
      <rPr>
        <b val="true"/>
        <sz val="11"/>
        <color rgb="FF7B1E3A"/>
        <rFont val="WenQuanYi Zen Hei"/>
        <family val="2"/>
      </rPr>
      <t xml:space="preserve">■ マイル消化前提（</t>
    </r>
    <r>
      <rPr>
        <b val="true"/>
        <sz val="11"/>
        <color rgb="FF7B1E3A"/>
        <rFont val="Cambria"/>
        <family val="0"/>
        <charset val="1"/>
      </rPr>
      <t xml:space="preserve">1</t>
    </r>
    <r>
      <rPr>
        <b val="true"/>
        <sz val="11"/>
        <color rgb="FF7B1E3A"/>
        <rFont val="WenQuanYi Zen Hei"/>
        <family val="2"/>
      </rPr>
      <t xml:space="preserve">年以内にほぼ利用）</t>
    </r>
  </si>
  <si>
    <r>
      <rPr>
        <sz val="11"/>
        <color theme="1"/>
        <rFont val="WenQuanYi Zen Hei"/>
        <family val="2"/>
      </rPr>
      <t xml:space="preserve">最終利用率（</t>
    </r>
    <r>
      <rPr>
        <sz val="11"/>
        <color theme="1"/>
        <rFont val="Calibri"/>
        <family val="2"/>
        <charset val="1"/>
      </rPr>
      <t xml:space="preserve">1</t>
    </r>
    <r>
      <rPr>
        <sz val="11"/>
        <color theme="1"/>
        <rFont val="WenQuanYi Zen Hei"/>
        <family val="2"/>
      </rPr>
      <t xml:space="preserve">年以内）</t>
    </r>
  </si>
  <si>
    <t xml:space="preserve">中谷案を踏襲。失効益をあてにしない保守設計</t>
  </si>
  <si>
    <t xml:space="preserve">付与年度内の利用率</t>
  </si>
  <si>
    <t xml:space="preserve">年間で均等獲得する前提</t>
  </si>
  <si>
    <t xml:space="preserve">翌年度の利用率</t>
  </si>
  <si>
    <t xml:space="preserve">残りを翌年度中に利用</t>
  </si>
  <si>
    <t xml:space="preserve">失効率</t>
  </si>
  <si>
    <r>
      <rPr>
        <sz val="9"/>
        <color rgb="FF666666"/>
        <rFont val="Cambria"/>
        <family val="0"/>
        <charset val="1"/>
      </rPr>
      <t xml:space="preserve">1</t>
    </r>
    <r>
      <rPr>
        <sz val="9"/>
        <color rgb="FF666666"/>
        <rFont val="WenQuanYi Zen Hei"/>
        <family val="2"/>
      </rPr>
      <t xml:space="preserve">年経過時点で未利用分が失効</t>
    </r>
  </si>
  <si>
    <r>
      <rPr>
        <b val="true"/>
        <sz val="11"/>
        <rFont val="WenQuanYi Zen Hei"/>
        <family val="2"/>
      </rPr>
      <t xml:space="preserve">合計チェック（</t>
    </r>
    <r>
      <rPr>
        <b val="true"/>
        <sz val="11"/>
        <rFont val="Cambria"/>
        <family val="0"/>
        <charset val="1"/>
      </rPr>
      <t xml:space="preserve">100%</t>
    </r>
    <r>
      <rPr>
        <b val="true"/>
        <sz val="11"/>
        <rFont val="WenQuanYi Zen Hei"/>
        <family val="2"/>
      </rPr>
      <t xml:space="preserve">）</t>
    </r>
  </si>
  <si>
    <r>
      <rPr>
        <b val="true"/>
        <sz val="11"/>
        <color rgb="FF7B1E3A"/>
        <rFont val="WenQuanYi Zen Hei"/>
        <family val="2"/>
      </rPr>
      <t xml:space="preserve">■ 利用先ミックス（利用マイル</t>
    </r>
    <r>
      <rPr>
        <b val="true"/>
        <sz val="11"/>
        <color rgb="FF7B1E3A"/>
        <rFont val="Cambria"/>
        <family val="0"/>
        <charset val="1"/>
      </rPr>
      <t xml:space="preserve">100%</t>
    </r>
    <r>
      <rPr>
        <b val="true"/>
        <sz val="11"/>
        <color rgb="FF7B1E3A"/>
        <rFont val="WenQuanYi Zen Hei"/>
        <family val="2"/>
      </rPr>
      <t xml:space="preserve">に対する構成）</t>
    </r>
  </si>
  <si>
    <t xml:space="preserve">交換先</t>
  </si>
  <si>
    <t xml:space="preserve">構成比（入力）</t>
  </si>
  <si>
    <t xml:space="preserve">利用マイル内構成比</t>
  </si>
  <si>
    <t xml:space="preserve">交換レート</t>
  </si>
  <si>
    <t xml:space="preserve">当社原価率</t>
  </si>
  <si>
    <r>
      <rPr>
        <b val="true"/>
        <sz val="10"/>
        <color rgb="FFFFFFFF"/>
        <rFont val="WenQuanYi Zen Hei"/>
        <family val="2"/>
      </rPr>
      <t xml:space="preserve">利用</t>
    </r>
    <r>
      <rPr>
        <b val="true"/>
        <sz val="10"/>
        <color rgb="FFFFFFFF"/>
        <rFont val="Cambria"/>
        <family val="0"/>
        <charset val="1"/>
      </rPr>
      <t xml:space="preserve">1</t>
    </r>
    <r>
      <rPr>
        <b val="true"/>
        <sz val="10"/>
        <color rgb="FFFFFFFF"/>
        <rFont val="WenQuanYi Zen Hei"/>
        <family val="2"/>
      </rPr>
      <t xml:space="preserve">マイル当たり原価</t>
    </r>
  </si>
  <si>
    <r>
      <rPr>
        <b val="true"/>
        <sz val="10"/>
        <color rgb="FFFFFFFF"/>
        <rFont val="WenQuanYi Zen Hei"/>
        <family val="2"/>
      </rPr>
      <t xml:space="preserve">利用</t>
    </r>
    <r>
      <rPr>
        <b val="true"/>
        <sz val="10"/>
        <color rgb="FFFFFFFF"/>
        <rFont val="Cambria"/>
        <family val="0"/>
        <charset val="1"/>
      </rPr>
      <t xml:space="preserve">1</t>
    </r>
    <r>
      <rPr>
        <b val="true"/>
        <sz val="10"/>
        <color rgb="FFFFFFFF"/>
        <rFont val="WenQuanYi Zen Hei"/>
        <family val="2"/>
      </rPr>
      <t xml:space="preserve">マイル当たり会員価値</t>
    </r>
  </si>
  <si>
    <t xml:space="preserve">備考</t>
  </si>
  <si>
    <t xml:space="preserve">系列レストラン</t>
  </si>
  <si>
    <r>
      <rPr>
        <sz val="9"/>
        <color rgb="FF666666"/>
        <rFont val="WenQuanYi Zen Hei"/>
        <family val="2"/>
      </rPr>
      <t xml:space="preserve">額面</t>
    </r>
    <r>
      <rPr>
        <sz val="9"/>
        <color rgb="FF666666"/>
        <rFont val="Cambria"/>
        <family val="0"/>
        <charset val="1"/>
      </rPr>
      <t xml:space="preserve">×1.0</t>
    </r>
    <r>
      <rPr>
        <sz val="9"/>
        <color rgb="FF666666"/>
        <rFont val="WenQuanYi Zen Hei"/>
        <family val="2"/>
      </rPr>
      <t xml:space="preserve">。原価率はオフピーク枠運用で引下げ余地あり（感度分析</t>
    </r>
    <r>
      <rPr>
        <sz val="9"/>
        <color rgb="FF666666"/>
        <rFont val="Cambria"/>
        <family val="0"/>
        <charset val="1"/>
      </rPr>
      <t xml:space="preserve">B</t>
    </r>
    <r>
      <rPr>
        <sz val="9"/>
        <color rgb="FF666666"/>
        <rFont val="WenQuanYi Zen Hei"/>
        <family val="2"/>
      </rPr>
      <t xml:space="preserve">参照）</t>
    </r>
  </si>
  <si>
    <r>
      <rPr>
        <sz val="11"/>
        <color theme="1"/>
        <rFont val="WenQuanYi Zen Hei"/>
        <family val="2"/>
      </rPr>
      <t xml:space="preserve">グランメゾン（</t>
    </r>
    <r>
      <rPr>
        <sz val="11"/>
        <color theme="1"/>
        <rFont val="Calibri"/>
        <family val="2"/>
        <charset val="1"/>
      </rPr>
      <t xml:space="preserve">1P=0.5</t>
    </r>
    <r>
      <rPr>
        <sz val="11"/>
        <color theme="1"/>
        <rFont val="WenQuanYi Zen Hei"/>
        <family val="2"/>
      </rPr>
      <t xml:space="preserve">円）</t>
    </r>
  </si>
  <si>
    <r>
      <rPr>
        <sz val="9"/>
        <color rgb="FF666666"/>
        <rFont val="WenQuanYi Zen Hei"/>
        <family val="2"/>
      </rPr>
      <t xml:space="preserve">権威性チャネル。レート</t>
    </r>
    <r>
      <rPr>
        <sz val="9"/>
        <color rgb="FF666666"/>
        <rFont val="Cambria"/>
        <family val="0"/>
        <charset val="1"/>
      </rPr>
      <t xml:space="preserve">0.5</t>
    </r>
    <r>
      <rPr>
        <sz val="9"/>
        <color rgb="FF666666"/>
        <rFont val="WenQuanYi Zen Hei"/>
        <family val="2"/>
      </rPr>
      <t xml:space="preserve">で当社負担を抑制</t>
    </r>
  </si>
  <si>
    <r>
      <rPr>
        <sz val="11"/>
        <color theme="1"/>
        <rFont val="Calibri"/>
        <family val="2"/>
        <charset val="1"/>
      </rPr>
      <t xml:space="preserve">WineBank CLUB </t>
    </r>
    <r>
      <rPr>
        <sz val="11"/>
        <color theme="1"/>
        <rFont val="WenQuanYi Zen Hei"/>
        <family val="2"/>
      </rPr>
      <t xml:space="preserve">会費充当</t>
    </r>
  </si>
  <si>
    <r>
      <rPr>
        <sz val="9"/>
        <color rgb="FF666666"/>
        <rFont val="WenQuanYi Zen Hei"/>
        <family val="2"/>
      </rPr>
      <t xml:space="preserve">内部振替。原価ほぼ</t>
    </r>
    <r>
      <rPr>
        <sz val="9"/>
        <color rgb="FF666666"/>
        <rFont val="Cambria"/>
        <family val="0"/>
        <charset val="1"/>
      </rPr>
      <t xml:space="preserve">0</t>
    </r>
    <r>
      <rPr>
        <sz val="9"/>
        <color rgb="FF666666"/>
        <rFont val="WenQuanYi Zen Hei"/>
        <family val="2"/>
      </rPr>
      <t xml:space="preserve">でレート</t>
    </r>
    <r>
      <rPr>
        <sz val="9"/>
        <color rgb="FF666666"/>
        <rFont val="Cambria"/>
        <family val="0"/>
        <charset val="1"/>
      </rPr>
      <t xml:space="preserve">1.0</t>
    </r>
  </si>
  <si>
    <t xml:space="preserve">オークション参加</t>
  </si>
  <si>
    <r>
      <rPr>
        <sz val="9"/>
        <color rgb="FF666666"/>
        <rFont val="WenQuanYi Zen Hei"/>
        <family val="2"/>
      </rPr>
      <t xml:space="preserve">手数料充当。原価</t>
    </r>
    <r>
      <rPr>
        <sz val="9"/>
        <color rgb="FF666666"/>
        <rFont val="Cambria"/>
        <family val="0"/>
        <charset val="1"/>
      </rPr>
      <t xml:space="preserve">0</t>
    </r>
    <r>
      <rPr>
        <sz val="9"/>
        <color rgb="FF666666"/>
        <rFont val="WenQuanYi Zen Hei"/>
        <family val="2"/>
      </rPr>
      <t xml:space="preserve">かつ買い手手数料を誘発</t>
    </r>
  </si>
  <si>
    <t xml:space="preserve">ワインスクール</t>
  </si>
  <si>
    <r>
      <rPr>
        <sz val="9"/>
        <color rgb="FF666666"/>
        <rFont val="WenQuanYi Zen Hei"/>
        <family val="2"/>
      </rPr>
      <t xml:space="preserve">自社開催。原価率</t>
    </r>
    <r>
      <rPr>
        <sz val="9"/>
        <color rgb="FF666666"/>
        <rFont val="Cambria"/>
        <family val="0"/>
        <charset val="1"/>
      </rPr>
      <t xml:space="preserve">50%</t>
    </r>
  </si>
  <si>
    <t xml:space="preserve">会員交流イベント</t>
  </si>
  <si>
    <t xml:space="preserve">ワイン追加購入</t>
  </si>
  <si>
    <r>
      <rPr>
        <sz val="9"/>
        <color rgb="FF666666"/>
        <rFont val="WenQuanYi Zen Hei"/>
        <family val="2"/>
      </rPr>
      <t xml:space="preserve">仕入原価</t>
    </r>
    <r>
      <rPr>
        <sz val="9"/>
        <color rgb="FF666666"/>
        <rFont val="Cambria"/>
        <family val="0"/>
        <charset val="1"/>
      </rPr>
      <t xml:space="preserve">80%</t>
    </r>
    <r>
      <rPr>
        <sz val="9"/>
        <color rgb="FF666666"/>
        <rFont val="WenQuanYi Zen Hei"/>
        <family val="2"/>
      </rPr>
      <t xml:space="preserve">。上限管理あり</t>
    </r>
  </si>
  <si>
    <r>
      <rPr>
        <b val="true"/>
        <sz val="11"/>
        <rFont val="WenQuanYi Zen Hei"/>
        <family val="2"/>
      </rPr>
      <t xml:space="preserve">合計 </t>
    </r>
    <r>
      <rPr>
        <b val="true"/>
        <sz val="11"/>
        <rFont val="Cambria"/>
        <family val="0"/>
        <charset val="1"/>
      </rPr>
      <t xml:space="preserve">/ </t>
    </r>
    <r>
      <rPr>
        <b val="true"/>
        <sz val="11"/>
        <rFont val="WenQuanYi Zen Hei"/>
        <family val="2"/>
      </rPr>
      <t xml:space="preserve">加重平均</t>
    </r>
  </si>
  <si>
    <r>
      <rPr>
        <b val="true"/>
        <sz val="11"/>
        <rFont val="WenQuanYi Zen Hei"/>
        <family val="2"/>
      </rPr>
      <t xml:space="preserve">発行</t>
    </r>
    <r>
      <rPr>
        <b val="true"/>
        <sz val="11"/>
        <rFont val="Cambria"/>
        <family val="0"/>
        <charset val="1"/>
      </rPr>
      <t xml:space="preserve">1</t>
    </r>
    <r>
      <rPr>
        <b val="true"/>
        <sz val="11"/>
        <rFont val="WenQuanYi Zen Hei"/>
        <family val="2"/>
      </rPr>
      <t xml:space="preserve">マイル当たり 当社期待原価</t>
    </r>
  </si>
  <si>
    <r>
      <rPr>
        <sz val="9"/>
        <color rgb="FF666666"/>
        <rFont val="WenQuanYi Zen Hei"/>
        <family val="2"/>
      </rPr>
      <t xml:space="preserve">最終利用率 </t>
    </r>
    <r>
      <rPr>
        <sz val="9"/>
        <color rgb="FF666666"/>
        <rFont val="Cambria"/>
        <family val="0"/>
        <charset val="1"/>
      </rPr>
      <t xml:space="preserve">× </t>
    </r>
    <r>
      <rPr>
        <sz val="9"/>
        <color rgb="FF666666"/>
        <rFont val="WenQuanYi Zen Hei"/>
        <family val="2"/>
      </rPr>
      <t xml:space="preserve">利用時の加重平均原価</t>
    </r>
  </si>
  <si>
    <r>
      <rPr>
        <b val="true"/>
        <sz val="11"/>
        <rFont val="WenQuanYi Zen Hei"/>
        <family val="2"/>
      </rPr>
      <t xml:space="preserve">発行</t>
    </r>
    <r>
      <rPr>
        <b val="true"/>
        <sz val="11"/>
        <rFont val="Cambria"/>
        <family val="0"/>
        <charset val="1"/>
      </rPr>
      <t xml:space="preserve">1</t>
    </r>
    <r>
      <rPr>
        <b val="true"/>
        <sz val="11"/>
        <rFont val="WenQuanYi Zen Hei"/>
        <family val="2"/>
      </rPr>
      <t xml:space="preserve">マイル当たり 会員期待価値</t>
    </r>
  </si>
  <si>
    <r>
      <rPr>
        <sz val="9"/>
        <color rgb="FF666666"/>
        <rFont val="WenQuanYi Zen Hei"/>
        <family val="2"/>
      </rPr>
      <t xml:space="preserve">最終利用率 </t>
    </r>
    <r>
      <rPr>
        <sz val="9"/>
        <color rgb="FF666666"/>
        <rFont val="Cambria"/>
        <family val="0"/>
        <charset val="1"/>
      </rPr>
      <t xml:space="preserve">× </t>
    </r>
    <r>
      <rPr>
        <sz val="9"/>
        <color rgb="FF666666"/>
        <rFont val="WenQuanYi Zen Hei"/>
        <family val="2"/>
      </rPr>
      <t xml:space="preserve">利用時の加重平均交換レート</t>
    </r>
  </si>
  <si>
    <r>
      <rPr>
        <sz val="11"/>
        <color theme="1"/>
        <rFont val="WenQuanYi Zen Hei"/>
        <family val="2"/>
      </rPr>
      <t xml:space="preserve">マイル実質原価率（対 預かり資産・</t>
    </r>
    <r>
      <rPr>
        <sz val="11"/>
        <color theme="1"/>
        <rFont val="Calibri"/>
        <family val="2"/>
        <charset val="1"/>
      </rPr>
      <t xml:space="preserve">1</t>
    </r>
    <r>
      <rPr>
        <sz val="11"/>
        <color theme="1"/>
        <rFont val="WenQuanYi Zen Hei"/>
        <family val="2"/>
      </rPr>
      <t xml:space="preserve">年目）</t>
    </r>
  </si>
  <si>
    <t xml:space="preserve">■ 年次固定費・任意費用（単位：万円）</t>
  </si>
  <si>
    <t xml:space="preserve">項目</t>
  </si>
  <si>
    <t xml:space="preserve">人件費</t>
  </si>
  <si>
    <r>
      <rPr>
        <sz val="9"/>
        <color rgb="FF666666"/>
        <rFont val="WenQuanYi Zen Hei"/>
        <family val="2"/>
      </rPr>
      <t xml:space="preserve">金額未提示のため</t>
    </r>
    <r>
      <rPr>
        <sz val="9"/>
        <color rgb="FF666666"/>
        <rFont val="Cambria"/>
        <family val="0"/>
        <charset val="1"/>
      </rPr>
      <t xml:space="preserve">0</t>
    </r>
    <r>
      <rPr>
        <sz val="9"/>
        <color rgb="FF666666"/>
        <rFont val="WenQuanYi Zen Hei"/>
        <family val="2"/>
      </rPr>
      <t xml:space="preserve">。入力すると</t>
    </r>
    <r>
      <rPr>
        <sz val="9"/>
        <color rgb="FF666666"/>
        <rFont val="Cambria"/>
        <family val="0"/>
        <charset val="1"/>
      </rPr>
      <t xml:space="preserve">PL</t>
    </r>
    <r>
      <rPr>
        <sz val="9"/>
        <color rgb="FF666666"/>
        <rFont val="WenQuanYi Zen Hei"/>
        <family val="2"/>
      </rPr>
      <t xml:space="preserve">へ反映</t>
    </r>
  </si>
  <si>
    <t xml:space="preserve">システム開発・保守費</t>
  </si>
  <si>
    <r>
      <rPr>
        <sz val="9"/>
        <color rgb="FF666666"/>
        <rFont val="WenQuanYi Zen Hei"/>
        <family val="2"/>
      </rPr>
      <t xml:space="preserve">金額未提示のため</t>
    </r>
    <r>
      <rPr>
        <sz val="9"/>
        <color rgb="FF666666"/>
        <rFont val="Cambria"/>
        <family val="0"/>
        <charset val="1"/>
      </rPr>
      <t xml:space="preserve">0</t>
    </r>
  </si>
  <si>
    <t xml:space="preserve">交流イベント・コミュニティ費</t>
  </si>
  <si>
    <r>
      <rPr>
        <sz val="9"/>
        <color rgb="FF666666"/>
        <rFont val="WenQuanYi Zen Hei"/>
        <family val="2"/>
      </rPr>
      <t xml:space="preserve">マイル交換分は原価率</t>
    </r>
    <r>
      <rPr>
        <sz val="9"/>
        <color rgb="FF666666"/>
        <rFont val="Cambria"/>
        <family val="0"/>
        <charset val="1"/>
      </rPr>
      <t xml:space="preserve">50%</t>
    </r>
    <r>
      <rPr>
        <sz val="9"/>
        <color rgb="FF666666"/>
        <rFont val="WenQuanYi Zen Hei"/>
        <family val="2"/>
      </rPr>
      <t xml:space="preserve">で別途計上済。追加の持出があれば入力</t>
    </r>
  </si>
  <si>
    <t xml:space="preserve">その他固定販管費</t>
  </si>
  <si>
    <t xml:space="preserve">自社在庫の保管・保険料</t>
  </si>
  <si>
    <r>
      <rPr>
        <sz val="9"/>
        <color rgb="FF666666"/>
        <rFont val="WenQuanYi Zen Hei"/>
        <family val="2"/>
      </rPr>
      <t xml:space="preserve">自社在庫</t>
    </r>
    <r>
      <rPr>
        <sz val="9"/>
        <color rgb="FF666666"/>
        <rFont val="Cambria"/>
        <family val="0"/>
        <charset val="1"/>
      </rPr>
      <t xml:space="preserve">1.5</t>
    </r>
    <r>
      <rPr>
        <sz val="9"/>
        <color rgb="FF666666"/>
        <rFont val="WenQuanYi Zen Hei"/>
        <family val="2"/>
      </rPr>
      <t xml:space="preserve">億</t>
    </r>
    <r>
      <rPr>
        <sz val="9"/>
        <color rgb="FF666666"/>
        <rFont val="Cambria"/>
        <family val="0"/>
        <charset val="1"/>
      </rPr>
      <t xml:space="preserve">×1.05%</t>
    </r>
    <r>
      <rPr>
        <sz val="9"/>
        <color rgb="FF666666"/>
        <rFont val="WenQuanYi Zen Hei"/>
        <family val="2"/>
      </rPr>
      <t xml:space="preserve">＝</t>
    </r>
    <r>
      <rPr>
        <sz val="9"/>
        <color rgb="FF666666"/>
        <rFont val="Cambria"/>
        <family val="0"/>
        <charset val="1"/>
      </rPr>
      <t xml:space="preserve">158</t>
    </r>
    <r>
      <rPr>
        <sz val="9"/>
        <color rgb="FF666666"/>
        <rFont val="WenQuanYi Zen Hei"/>
        <family val="2"/>
      </rPr>
      <t xml:space="preserve">万。在庫を持ち続ける前提で</t>
    </r>
    <r>
      <rPr>
        <sz val="9"/>
        <color rgb="FF666666"/>
        <rFont val="Cambria"/>
        <family val="0"/>
        <charset val="1"/>
      </rPr>
      <t xml:space="preserve">3</t>
    </r>
    <r>
      <rPr>
        <sz val="9"/>
        <color rgb="FF666666"/>
        <rFont val="WenQuanYi Zen Hei"/>
        <family val="2"/>
      </rPr>
      <t xml:space="preserve">年計上</t>
    </r>
  </si>
  <si>
    <t xml:space="preserve">支払利息</t>
  </si>
  <si>
    <r>
      <rPr>
        <sz val="9"/>
        <color rgb="FF666666"/>
        <rFont val="WenQuanYi Zen Hei"/>
        <family val="2"/>
      </rPr>
      <t xml:space="preserve">買付借入</t>
    </r>
    <r>
      <rPr>
        <sz val="9"/>
        <color rgb="FF666666"/>
        <rFont val="Cambria"/>
        <family val="0"/>
        <charset val="1"/>
      </rPr>
      <t xml:space="preserve">1.2</t>
    </r>
    <r>
      <rPr>
        <sz val="9"/>
        <color rgb="FF666666"/>
        <rFont val="WenQuanYi Zen Hei"/>
        <family val="2"/>
      </rPr>
      <t xml:space="preserve">億</t>
    </r>
    <r>
      <rPr>
        <sz val="9"/>
        <color rgb="FF666666"/>
        <rFont val="Cambria"/>
        <family val="0"/>
        <charset val="1"/>
      </rPr>
      <t xml:space="preserve">×3%</t>
    </r>
    <r>
      <rPr>
        <sz val="9"/>
        <color rgb="FF666666"/>
        <rFont val="WenQuanYi Zen Hei"/>
        <family val="2"/>
      </rPr>
      <t xml:space="preserve">。借換継続の前提で</t>
    </r>
    <r>
      <rPr>
        <sz val="9"/>
        <color rgb="FF666666"/>
        <rFont val="Cambria"/>
        <family val="0"/>
        <charset val="1"/>
      </rPr>
      <t xml:space="preserve">3</t>
    </r>
    <r>
      <rPr>
        <sz val="9"/>
        <color rgb="FF666666"/>
        <rFont val="WenQuanYi Zen Hei"/>
        <family val="2"/>
      </rPr>
      <t xml:space="preserve">年計上</t>
    </r>
  </si>
  <si>
    <t xml:space="preserve">■ 在庫投資（キャッシュフロー用・単位：万円）</t>
  </si>
  <si>
    <t xml:space="preserve">新規ワイン買付額</t>
  </si>
  <si>
    <r>
      <rPr>
        <sz val="9"/>
        <color rgb="FF666666"/>
        <rFont val="Cambria"/>
        <family val="0"/>
        <charset val="1"/>
      </rPr>
      <t xml:space="preserve">1</t>
    </r>
    <r>
      <rPr>
        <sz val="9"/>
        <color rgb="FF666666"/>
        <rFont val="WenQuanYi Zen Hei"/>
        <family val="2"/>
      </rPr>
      <t xml:space="preserve">年目に</t>
    </r>
    <r>
      <rPr>
        <sz val="9"/>
        <color rgb="FF666666"/>
        <rFont val="Cambria"/>
        <family val="0"/>
        <charset val="1"/>
      </rPr>
      <t xml:space="preserve">1.2</t>
    </r>
    <r>
      <rPr>
        <sz val="9"/>
        <color rgb="FF666666"/>
        <rFont val="WenQuanYi Zen Hei"/>
        <family val="2"/>
      </rPr>
      <t xml:space="preserve">億相当を新規買付する前提。</t>
    </r>
    <r>
      <rPr>
        <sz val="9"/>
        <color rgb="FF666666"/>
        <rFont val="Cambria"/>
        <family val="0"/>
        <charset val="1"/>
      </rPr>
      <t xml:space="preserve">2</t>
    </r>
    <r>
      <rPr>
        <sz val="9"/>
        <color rgb="FF666666"/>
        <rFont val="WenQuanYi Zen Hei"/>
        <family val="2"/>
      </rPr>
      <t xml:space="preserve">〜</t>
    </r>
    <r>
      <rPr>
        <sz val="9"/>
        <color rgb="FF666666"/>
        <rFont val="Cambria"/>
        <family val="0"/>
        <charset val="1"/>
      </rPr>
      <t xml:space="preserve">3</t>
    </r>
    <r>
      <rPr>
        <sz val="9"/>
        <color rgb="FF666666"/>
        <rFont val="WenQuanYi Zen Hei"/>
        <family val="2"/>
      </rPr>
      <t xml:space="preserve">年目は方針未定のため</t>
    </r>
    <r>
      <rPr>
        <sz val="9"/>
        <color rgb="FF666666"/>
        <rFont val="Cambria"/>
        <family val="0"/>
        <charset val="1"/>
      </rPr>
      <t xml:space="preserve">0</t>
    </r>
  </si>
  <si>
    <r>
      <rPr>
        <b val="true"/>
        <sz val="14"/>
        <color rgb="FF7B1E3A"/>
        <rFont val="WenQuanYi Zen Hei"/>
        <family val="2"/>
      </rPr>
      <t xml:space="preserve">会員数・預かり資産｜</t>
    </r>
    <r>
      <rPr>
        <b val="true"/>
        <sz val="14"/>
        <color rgb="FF7B1E3A"/>
        <rFont val="Cambria"/>
        <family val="0"/>
        <charset val="1"/>
      </rPr>
      <t xml:space="preserve">3</t>
    </r>
    <r>
      <rPr>
        <b val="true"/>
        <sz val="14"/>
        <color rgb="FF7B1E3A"/>
        <rFont val="WenQuanYi Zen Hei"/>
        <family val="2"/>
      </rPr>
      <t xml:space="preserve">か年推移</t>
    </r>
  </si>
  <si>
    <t xml:space="preserve">前提シートの年度別会員数を反映。獲得年から手数料・マイルを満額計上。単位：万円</t>
  </si>
  <si>
    <t xml:space="preserve">■ 新規獲得・ファネル</t>
  </si>
  <si>
    <r>
      <rPr>
        <sz val="11"/>
        <color theme="1"/>
        <rFont val="Calibri"/>
        <family val="2"/>
        <charset val="1"/>
      </rPr>
      <t xml:space="preserve">PRESTIGE </t>
    </r>
    <r>
      <rPr>
        <sz val="11"/>
        <color theme="1"/>
        <rFont val="WenQuanYi Zen Hei"/>
        <family val="2"/>
      </rPr>
      <t xml:space="preserve">新規会員数</t>
    </r>
  </si>
  <si>
    <r>
      <rPr>
        <sz val="11"/>
        <color theme="1"/>
        <rFont val="Calibri"/>
        <family val="2"/>
        <charset val="1"/>
      </rPr>
      <t xml:space="preserve">GOLD </t>
    </r>
    <r>
      <rPr>
        <sz val="11"/>
        <color theme="1"/>
        <rFont val="WenQuanYi Zen Hei"/>
        <family val="2"/>
      </rPr>
      <t xml:space="preserve">新規会員数</t>
    </r>
  </si>
  <si>
    <r>
      <rPr>
        <sz val="11"/>
        <color theme="1"/>
        <rFont val="Calibri"/>
        <family val="2"/>
        <charset val="1"/>
      </rPr>
      <t xml:space="preserve">SIGNATURE </t>
    </r>
    <r>
      <rPr>
        <sz val="11"/>
        <color theme="1"/>
        <rFont val="WenQuanYi Zen Hei"/>
        <family val="2"/>
      </rPr>
      <t xml:space="preserve">新規会員数</t>
    </r>
  </si>
  <si>
    <t xml:space="preserve">新規会員数 合計</t>
  </si>
  <si>
    <t xml:space="preserve">必要リード数</t>
  </si>
  <si>
    <r>
      <rPr>
        <sz val="9"/>
        <color rgb="FF666666"/>
        <rFont val="Cambria"/>
        <family val="0"/>
        <charset val="1"/>
      </rPr>
      <t xml:space="preserve">CPL 0.8</t>
    </r>
    <r>
      <rPr>
        <sz val="9"/>
        <color rgb="FF666666"/>
        <rFont val="WenQuanYi Zen Hei"/>
        <family val="2"/>
      </rPr>
      <t xml:space="preserve">万／</t>
    </r>
    <r>
      <rPr>
        <sz val="9"/>
        <color rgb="FF666666"/>
        <rFont val="Cambria"/>
        <family val="0"/>
        <charset val="1"/>
      </rPr>
      <t xml:space="preserve">CPA 5</t>
    </r>
    <r>
      <rPr>
        <sz val="9"/>
        <color rgb="FF666666"/>
        <rFont val="WenQuanYi Zen Hei"/>
        <family val="2"/>
      </rPr>
      <t xml:space="preserve">万から逆算</t>
    </r>
  </si>
  <si>
    <r>
      <rPr>
        <sz val="11"/>
        <color theme="1"/>
        <rFont val="WenQuanYi Zen Hei"/>
        <family val="2"/>
      </rPr>
      <t xml:space="preserve">リード→会員</t>
    </r>
    <r>
      <rPr>
        <sz val="11"/>
        <color theme="1"/>
        <rFont val="Calibri"/>
        <family val="2"/>
        <charset val="1"/>
      </rPr>
      <t xml:space="preserve">CVR</t>
    </r>
  </si>
  <si>
    <t xml:space="preserve">ユーザー獲得費</t>
  </si>
  <si>
    <r>
      <rPr>
        <sz val="9"/>
        <color rgb="FF666666"/>
        <rFont val="WenQuanYi Zen Hei"/>
        <family val="2"/>
      </rPr>
      <t xml:space="preserve">新規会員数 </t>
    </r>
    <r>
      <rPr>
        <sz val="9"/>
        <color rgb="FF666666"/>
        <rFont val="Cambria"/>
        <family val="0"/>
        <charset val="1"/>
      </rPr>
      <t xml:space="preserve">× CPA 5</t>
    </r>
    <r>
      <rPr>
        <sz val="9"/>
        <color rgb="FF666666"/>
        <rFont val="WenQuanYi Zen Hei"/>
        <family val="2"/>
      </rPr>
      <t xml:space="preserve">万円</t>
    </r>
  </si>
  <si>
    <t xml:space="preserve">新規預かり資産</t>
  </si>
  <si>
    <r>
      <rPr>
        <sz val="11"/>
        <color theme="1"/>
        <rFont val="WenQuanYi Zen Hei"/>
        <family val="2"/>
      </rPr>
      <t xml:space="preserve">新規会員</t>
    </r>
    <r>
      <rPr>
        <sz val="11"/>
        <color theme="1"/>
        <rFont val="Calibri"/>
        <family val="2"/>
        <charset val="1"/>
      </rPr>
      <t xml:space="preserve">1</t>
    </r>
    <r>
      <rPr>
        <sz val="11"/>
        <color theme="1"/>
        <rFont val="WenQuanYi Zen Hei"/>
        <family val="2"/>
      </rPr>
      <t xml:space="preserve">人あたり預かり資産</t>
    </r>
  </si>
  <si>
    <t xml:space="preserve">■ 期末会員数</t>
  </si>
  <si>
    <r>
      <rPr>
        <sz val="11"/>
        <color theme="1"/>
        <rFont val="Calibri"/>
        <family val="2"/>
        <charset val="1"/>
      </rPr>
      <t xml:space="preserve">PRESTIGE </t>
    </r>
    <r>
      <rPr>
        <sz val="11"/>
        <color theme="1"/>
        <rFont val="WenQuanYi Zen Hei"/>
        <family val="2"/>
      </rPr>
      <t xml:space="preserve">期末会員数</t>
    </r>
  </si>
  <si>
    <t xml:space="preserve">継続率反映</t>
  </si>
  <si>
    <r>
      <rPr>
        <sz val="11"/>
        <color theme="1"/>
        <rFont val="Calibri"/>
        <family val="2"/>
        <charset val="1"/>
      </rPr>
      <t xml:space="preserve">GOLD </t>
    </r>
    <r>
      <rPr>
        <sz val="11"/>
        <color theme="1"/>
        <rFont val="WenQuanYi Zen Hei"/>
        <family val="2"/>
      </rPr>
      <t xml:space="preserve">期末会員数</t>
    </r>
  </si>
  <si>
    <r>
      <rPr>
        <sz val="11"/>
        <color theme="1"/>
        <rFont val="Calibri"/>
        <family val="2"/>
        <charset val="1"/>
      </rPr>
      <t xml:space="preserve">SIGNATURE </t>
    </r>
    <r>
      <rPr>
        <sz val="11"/>
        <color theme="1"/>
        <rFont val="WenQuanYi Zen Hei"/>
        <family val="2"/>
      </rPr>
      <t xml:space="preserve">期末会員数</t>
    </r>
  </si>
  <si>
    <t xml:space="preserve">期末会員数 合計</t>
  </si>
  <si>
    <t xml:space="preserve">■ 預かり資産・ストック採算</t>
  </si>
  <si>
    <r>
      <rPr>
        <sz val="11"/>
        <color theme="1"/>
        <rFont val="Calibri"/>
        <family val="2"/>
        <charset val="1"/>
      </rPr>
      <t xml:space="preserve">PRESTIGE </t>
    </r>
    <r>
      <rPr>
        <sz val="11"/>
        <color theme="1"/>
        <rFont val="WenQuanYi Zen Hei"/>
        <family val="2"/>
      </rPr>
      <t xml:space="preserve">期末預かり資産</t>
    </r>
  </si>
  <si>
    <r>
      <rPr>
        <sz val="11"/>
        <color theme="1"/>
        <rFont val="Calibri"/>
        <family val="2"/>
        <charset val="1"/>
      </rPr>
      <t xml:space="preserve">GOLD </t>
    </r>
    <r>
      <rPr>
        <sz val="11"/>
        <color theme="1"/>
        <rFont val="WenQuanYi Zen Hei"/>
        <family val="2"/>
      </rPr>
      <t xml:space="preserve">期末預かり資産</t>
    </r>
  </si>
  <si>
    <r>
      <rPr>
        <sz val="11"/>
        <color theme="1"/>
        <rFont val="Calibri"/>
        <family val="2"/>
        <charset val="1"/>
      </rPr>
      <t xml:space="preserve">SIGNATURE </t>
    </r>
    <r>
      <rPr>
        <sz val="11"/>
        <color theme="1"/>
        <rFont val="WenQuanYi Zen Hei"/>
        <family val="2"/>
      </rPr>
      <t xml:space="preserve">期末預かり資産</t>
    </r>
  </si>
  <si>
    <t xml:space="preserve">期末預かり資産 合計</t>
  </si>
  <si>
    <t xml:space="preserve">期首預かり資産</t>
  </si>
  <si>
    <t xml:space="preserve">継続後の期首預かり資産</t>
  </si>
  <si>
    <r>
      <rPr>
        <sz val="11"/>
        <color theme="1"/>
        <rFont val="WenQuanYi Zen Hei"/>
        <family val="2"/>
      </rPr>
      <t xml:space="preserve">資産ブリッジ差額（</t>
    </r>
    <r>
      <rPr>
        <sz val="11"/>
        <color theme="1"/>
        <rFont val="Calibri"/>
        <family val="2"/>
        <charset val="1"/>
      </rPr>
      <t xml:space="preserve">0</t>
    </r>
    <r>
      <rPr>
        <sz val="11"/>
        <color theme="1"/>
        <rFont val="WenQuanYi Zen Hei"/>
        <family val="2"/>
      </rPr>
      <t xml:space="preserve">確認）</t>
    </r>
  </si>
  <si>
    <t xml:space="preserve">管理・保管手数料収入</t>
  </si>
  <si>
    <r>
      <rPr>
        <sz val="9"/>
        <color rgb="FF666666"/>
        <rFont val="WenQuanYi Zen Hei"/>
        <family val="2"/>
      </rPr>
      <t xml:space="preserve">期末預かり資産</t>
    </r>
    <r>
      <rPr>
        <sz val="9"/>
        <color rgb="FF666666"/>
        <rFont val="Cambria"/>
        <family val="0"/>
        <charset val="1"/>
      </rPr>
      <t xml:space="preserve">×2.5%</t>
    </r>
  </si>
  <si>
    <t xml:space="preserve">預かり資産の保管・保険原価</t>
  </si>
  <si>
    <r>
      <rPr>
        <sz val="9"/>
        <color rgb="FF666666"/>
        <rFont val="WenQuanYi Zen Hei"/>
        <family val="2"/>
      </rPr>
      <t xml:space="preserve">期末預かり資産</t>
    </r>
    <r>
      <rPr>
        <sz val="9"/>
        <color rgb="FF666666"/>
        <rFont val="Cambria"/>
        <family val="0"/>
        <charset val="1"/>
      </rPr>
      <t xml:space="preserve">×1.05%</t>
    </r>
    <r>
      <rPr>
        <sz val="9"/>
        <color rgb="FF666666"/>
        <rFont val="WenQuanYi Zen Hei"/>
        <family val="2"/>
      </rPr>
      <t xml:space="preserve">（鈴与実額）</t>
    </r>
  </si>
  <si>
    <t xml:space="preserve">オークション手数料収入</t>
  </si>
  <si>
    <r>
      <rPr>
        <sz val="9"/>
        <color rgb="FF666666"/>
        <rFont val="WenQuanYi Zen Hei"/>
        <family val="2"/>
      </rPr>
      <t xml:space="preserve">買い手</t>
    </r>
    <r>
      <rPr>
        <sz val="9"/>
        <color rgb="FF666666"/>
        <rFont val="Cambria"/>
        <family val="0"/>
        <charset val="1"/>
      </rPr>
      <t xml:space="preserve">10%×</t>
    </r>
    <r>
      <rPr>
        <sz val="9"/>
        <color rgb="FF666666"/>
        <rFont val="WenQuanYi Zen Hei"/>
        <family val="2"/>
      </rPr>
      <t xml:space="preserve">当社ルート</t>
    </r>
    <r>
      <rPr>
        <sz val="9"/>
        <color rgb="FF666666"/>
        <rFont val="Cambria"/>
        <family val="0"/>
        <charset val="1"/>
      </rPr>
      <t xml:space="preserve">50%×</t>
    </r>
    <r>
      <rPr>
        <sz val="9"/>
        <color rgb="FF666666"/>
        <rFont val="WenQuanYi Zen Hei"/>
        <family val="2"/>
      </rPr>
      <t xml:space="preserve">回転</t>
    </r>
    <r>
      <rPr>
        <sz val="9"/>
        <color rgb="FF666666"/>
        <rFont val="Cambria"/>
        <family val="0"/>
        <charset val="1"/>
      </rPr>
      <t xml:space="preserve">10%</t>
    </r>
  </si>
  <si>
    <t xml:space="preserve">マイル発行額（額面）</t>
  </si>
  <si>
    <t xml:space="preserve">ランク別還元率＋行動マイル</t>
  </si>
  <si>
    <t xml:space="preserve">加重平均マイル発行率</t>
  </si>
  <si>
    <t xml:space="preserve">実績ミックスで変動</t>
  </si>
  <si>
    <t xml:space="preserve">成功報酬の経済発生額（未実現）</t>
  </si>
  <si>
    <r>
      <rPr>
        <sz val="9"/>
        <color rgb="FF666666"/>
        <rFont val="WenQuanYi Zen Hei"/>
        <family val="2"/>
      </rPr>
      <t xml:space="preserve">預かり資産</t>
    </r>
    <r>
      <rPr>
        <sz val="9"/>
        <color rgb="FF666666"/>
        <rFont val="Cambria"/>
        <family val="0"/>
        <charset val="1"/>
      </rPr>
      <t xml:space="preserve">×</t>
    </r>
    <r>
      <rPr>
        <sz val="9"/>
        <color rgb="FF666666"/>
        <rFont val="WenQuanYi Zen Hei"/>
        <family val="2"/>
      </rPr>
      <t xml:space="preserve">値上がり率</t>
    </r>
    <r>
      <rPr>
        <sz val="9"/>
        <color rgb="FF666666"/>
        <rFont val="Cambria"/>
        <family val="0"/>
        <charset val="1"/>
      </rPr>
      <t xml:space="preserve">6%×</t>
    </r>
    <r>
      <rPr>
        <sz val="9"/>
        <color rgb="FF666666"/>
        <rFont val="WenQuanYi Zen Hei"/>
        <family val="2"/>
      </rPr>
      <t xml:space="preserve">成功報酬率</t>
    </r>
    <r>
      <rPr>
        <sz val="9"/>
        <color rgb="FF666666"/>
        <rFont val="Cambria"/>
        <family val="0"/>
        <charset val="1"/>
      </rPr>
      <t xml:space="preserve">25%</t>
    </r>
  </si>
  <si>
    <r>
      <rPr>
        <sz val="11"/>
        <color theme="1"/>
        <rFont val="WenQuanYi Zen Hei"/>
        <family val="2"/>
      </rPr>
      <t xml:space="preserve">マイル費用（</t>
    </r>
    <r>
      <rPr>
        <sz val="11"/>
        <color theme="1"/>
        <rFont val="Calibri"/>
        <family val="2"/>
        <charset val="1"/>
      </rPr>
      <t xml:space="preserve">P/L</t>
    </r>
    <r>
      <rPr>
        <sz val="11"/>
        <color theme="1"/>
        <rFont val="WenQuanYi Zen Hei"/>
        <family val="2"/>
      </rPr>
      <t xml:space="preserve">見込計上）</t>
    </r>
  </si>
  <si>
    <r>
      <rPr>
        <sz val="9"/>
        <color rgb="FF666666"/>
        <rFont val="WenQuanYi Zen Hei"/>
        <family val="2"/>
      </rPr>
      <t xml:space="preserve">発行額</t>
    </r>
    <r>
      <rPr>
        <sz val="9"/>
        <color rgb="FF666666"/>
        <rFont val="Cambria"/>
        <family val="0"/>
        <charset val="1"/>
      </rPr>
      <t xml:space="preserve">×</t>
    </r>
    <r>
      <rPr>
        <sz val="9"/>
        <color rgb="FF666666"/>
        <rFont val="WenQuanYi Zen Hei"/>
        <family val="2"/>
      </rPr>
      <t xml:space="preserve">発行</t>
    </r>
    <r>
      <rPr>
        <sz val="9"/>
        <color rgb="FF666666"/>
        <rFont val="Cambria"/>
        <family val="0"/>
        <charset val="1"/>
      </rPr>
      <t xml:space="preserve">1</t>
    </r>
    <r>
      <rPr>
        <sz val="9"/>
        <color rgb="FF666666"/>
        <rFont val="WenQuanYi Zen Hei"/>
        <family val="2"/>
      </rPr>
      <t xml:space="preserve">マイル期待原価</t>
    </r>
  </si>
  <si>
    <t xml:space="preserve">手数料－保管原価＋オークション－マイル費用</t>
  </si>
  <si>
    <t xml:space="preserve">成功報酬の経済発生を加算</t>
  </si>
  <si>
    <t xml:space="preserve">現金・会計ベース</t>
  </si>
  <si>
    <t xml:space="preserve">成功報酬を含む経済利幅</t>
  </si>
  <si>
    <r>
      <rPr>
        <b val="true"/>
        <sz val="14"/>
        <color rgb="FF7B1E3A"/>
        <rFont val="WenQuanYi Zen Hei"/>
        <family val="2"/>
      </rPr>
      <t xml:space="preserve">マイル計算｜発行・利用・</t>
    </r>
    <r>
      <rPr>
        <b val="true"/>
        <sz val="14"/>
        <color rgb="FF7B1E3A"/>
        <rFont val="Cambria"/>
        <family val="0"/>
        <charset val="1"/>
      </rPr>
      <t xml:space="preserve">P/L</t>
    </r>
    <r>
      <rPr>
        <b val="true"/>
        <sz val="14"/>
        <color rgb="FF7B1E3A"/>
        <rFont val="WenQuanYi Zen Hei"/>
        <family val="2"/>
      </rPr>
      <t xml:space="preserve">費用・現金負担</t>
    </r>
  </si>
  <si>
    <r>
      <rPr>
        <sz val="9"/>
        <color rgb="FF666666"/>
        <rFont val="Cambria"/>
        <family val="0"/>
        <charset val="1"/>
      </rPr>
      <t xml:space="preserve">P/L</t>
    </r>
    <r>
      <rPr>
        <sz val="9"/>
        <color rgb="FF666666"/>
        <rFont val="WenQuanYi Zen Hei"/>
        <family val="2"/>
      </rPr>
      <t xml:space="preserve">は発行時に最終利用率ベースの期待原価を計上。現金負担は実際に利用された年に表示。単位：万円</t>
    </r>
  </si>
  <si>
    <t xml:space="preserve">■ 発行・消化スケジュール</t>
  </si>
  <si>
    <t xml:space="preserve">期首未使用マイル残高（額面）</t>
  </si>
  <si>
    <t xml:space="preserve">前年期末残高</t>
  </si>
  <si>
    <t xml:space="preserve">当年マイル発行額（額面）</t>
  </si>
  <si>
    <r>
      <rPr>
        <sz val="9"/>
        <color rgb="FF666666"/>
        <rFont val="WenQuanYi Zen Hei"/>
        <family val="2"/>
      </rPr>
      <t xml:space="preserve">期末預かり資産</t>
    </r>
    <r>
      <rPr>
        <sz val="9"/>
        <color rgb="FF666666"/>
        <rFont val="Cambria"/>
        <family val="0"/>
        <charset val="1"/>
      </rPr>
      <t xml:space="preserve">×</t>
    </r>
    <r>
      <rPr>
        <sz val="9"/>
        <color rgb="FF666666"/>
        <rFont val="WenQuanYi Zen Hei"/>
        <family val="2"/>
      </rPr>
      <t xml:space="preserve">ランク別還元率</t>
    </r>
  </si>
  <si>
    <t xml:space="preserve">当年発行分の当年度利用</t>
  </si>
  <si>
    <r>
      <rPr>
        <sz val="9"/>
        <color rgb="FF666666"/>
        <rFont val="WenQuanYi Zen Hei"/>
        <family val="2"/>
      </rPr>
      <t xml:space="preserve">年間均等獲得の前提で</t>
    </r>
    <r>
      <rPr>
        <sz val="9"/>
        <color rgb="FF666666"/>
        <rFont val="Cambria"/>
        <family val="0"/>
        <charset val="1"/>
      </rPr>
      <t xml:space="preserve">50%</t>
    </r>
  </si>
  <si>
    <t xml:space="preserve">前年度発行分の翌年度利用</t>
  </si>
  <si>
    <r>
      <rPr>
        <sz val="9"/>
        <color rgb="FF666666"/>
        <rFont val="WenQuanYi Zen Hei"/>
        <family val="2"/>
      </rPr>
      <t xml:space="preserve">前年コホートの</t>
    </r>
    <r>
      <rPr>
        <sz val="9"/>
        <color rgb="FF666666"/>
        <rFont val="Cambria"/>
        <family val="0"/>
        <charset val="1"/>
      </rPr>
      <t xml:space="preserve">48%</t>
    </r>
  </si>
  <si>
    <t xml:space="preserve">当年度の利用額 合計（額面）</t>
  </si>
  <si>
    <t xml:space="preserve">サービス利用に充当された額面</t>
  </si>
  <si>
    <t xml:space="preserve">前年度発行分の失効</t>
  </si>
  <si>
    <r>
      <rPr>
        <sz val="9"/>
        <color rgb="FF666666"/>
        <rFont val="WenQuanYi Zen Hei"/>
        <family val="2"/>
      </rPr>
      <t xml:space="preserve">前年コホートの</t>
    </r>
    <r>
      <rPr>
        <sz val="9"/>
        <color rgb="FF666666"/>
        <rFont val="Cambria"/>
        <family val="0"/>
        <charset val="1"/>
      </rPr>
      <t xml:space="preserve">2%</t>
    </r>
  </si>
  <si>
    <t xml:space="preserve">期末未使用マイル残高（額面）</t>
  </si>
  <si>
    <t xml:space="preserve">翌年度に利用または失効</t>
  </si>
  <si>
    <r>
      <rPr>
        <b val="true"/>
        <sz val="11"/>
        <rFont val="WenQuanYi Zen Hei"/>
        <family val="2"/>
      </rPr>
      <t xml:space="preserve">マイル費用（</t>
    </r>
    <r>
      <rPr>
        <b val="true"/>
        <sz val="11"/>
        <rFont val="Cambria"/>
        <family val="0"/>
        <charset val="1"/>
      </rPr>
      <t xml:space="preserve">P/L</t>
    </r>
    <r>
      <rPr>
        <b val="true"/>
        <sz val="11"/>
        <rFont val="WenQuanYi Zen Hei"/>
        <family val="2"/>
      </rPr>
      <t xml:space="preserve">見込計上）</t>
    </r>
  </si>
  <si>
    <t xml:space="preserve">将来利用分も含め発行年度に期待原価を計上</t>
  </si>
  <si>
    <t xml:space="preserve">実利用による現金・原価負担</t>
  </si>
  <si>
    <t xml:space="preserve">実際にサービス利用された年の原価</t>
  </si>
  <si>
    <t xml:space="preserve">未払マイル原価の増減</t>
  </si>
  <si>
    <r>
      <rPr>
        <sz val="9"/>
        <color rgb="FF666666"/>
        <rFont val="Cambria"/>
        <family val="0"/>
        <charset val="1"/>
      </rPr>
      <t xml:space="preserve">P/L</t>
    </r>
    <r>
      <rPr>
        <sz val="9"/>
        <color rgb="FF666666"/>
        <rFont val="WenQuanYi Zen Hei"/>
        <family val="2"/>
      </rPr>
      <t xml:space="preserve">費用－実利用原価</t>
    </r>
  </si>
  <si>
    <t xml:space="preserve">期末未払マイル原価（負債）</t>
  </si>
  <si>
    <t xml:space="preserve">将来利用に備えた原価見込み</t>
  </si>
  <si>
    <t xml:space="preserve">コホート最終利用率</t>
  </si>
  <si>
    <t xml:space="preserve">■ 利用先別の実利用額・実コスト</t>
  </si>
  <si>
    <r>
      <rPr>
        <b val="true"/>
        <sz val="10"/>
        <color rgb="FFFFFFFF"/>
        <rFont val="WenQuanYi Zen Hei"/>
        <family val="2"/>
      </rPr>
      <t xml:space="preserve">利用</t>
    </r>
    <r>
      <rPr>
        <b val="true"/>
        <sz val="10"/>
        <color rgb="FFFFFFFF"/>
        <rFont val="Cambria"/>
        <family val="0"/>
        <charset val="1"/>
      </rPr>
      <t xml:space="preserve">1</t>
    </r>
    <r>
      <rPr>
        <b val="true"/>
        <sz val="10"/>
        <color rgb="FFFFFFFF"/>
        <rFont val="WenQuanYi Zen Hei"/>
        <family val="2"/>
      </rPr>
      <t xml:space="preserve">マイル原価</t>
    </r>
  </si>
  <si>
    <r>
      <rPr>
        <b val="true"/>
        <sz val="10"/>
        <color rgb="FFFFFFFF"/>
        <rFont val="Cambria"/>
        <family val="0"/>
        <charset val="1"/>
      </rPr>
      <t xml:space="preserve">1</t>
    </r>
    <r>
      <rPr>
        <b val="true"/>
        <sz val="10"/>
        <color rgb="FFFFFFFF"/>
        <rFont val="WenQuanYi Zen Hei"/>
        <family val="2"/>
      </rPr>
      <t xml:space="preserve">年目 額面</t>
    </r>
  </si>
  <si>
    <r>
      <rPr>
        <b val="true"/>
        <sz val="10"/>
        <color rgb="FFFFFFFF"/>
        <rFont val="Cambria"/>
        <family val="0"/>
        <charset val="1"/>
      </rPr>
      <t xml:space="preserve">1</t>
    </r>
    <r>
      <rPr>
        <b val="true"/>
        <sz val="10"/>
        <color rgb="FFFFFFFF"/>
        <rFont val="WenQuanYi Zen Hei"/>
        <family val="2"/>
      </rPr>
      <t xml:space="preserve">年目 原価</t>
    </r>
  </si>
  <si>
    <r>
      <rPr>
        <b val="true"/>
        <sz val="10"/>
        <color rgb="FFFFFFFF"/>
        <rFont val="Cambria"/>
        <family val="0"/>
        <charset val="1"/>
      </rPr>
      <t xml:space="preserve">2</t>
    </r>
    <r>
      <rPr>
        <b val="true"/>
        <sz val="10"/>
        <color rgb="FFFFFFFF"/>
        <rFont val="WenQuanYi Zen Hei"/>
        <family val="2"/>
      </rPr>
      <t xml:space="preserve">年目 額面</t>
    </r>
  </si>
  <si>
    <r>
      <rPr>
        <b val="true"/>
        <sz val="10"/>
        <color rgb="FFFFFFFF"/>
        <rFont val="Cambria"/>
        <family val="0"/>
        <charset val="1"/>
      </rPr>
      <t xml:space="preserve">2</t>
    </r>
    <r>
      <rPr>
        <b val="true"/>
        <sz val="10"/>
        <color rgb="FFFFFFFF"/>
        <rFont val="WenQuanYi Zen Hei"/>
        <family val="2"/>
      </rPr>
      <t xml:space="preserve">年目 原価</t>
    </r>
  </si>
  <si>
    <r>
      <rPr>
        <b val="true"/>
        <sz val="10"/>
        <color rgb="FFFFFFFF"/>
        <rFont val="Cambria"/>
        <family val="0"/>
        <charset val="1"/>
      </rPr>
      <t xml:space="preserve">3</t>
    </r>
    <r>
      <rPr>
        <b val="true"/>
        <sz val="10"/>
        <color rgb="FFFFFFFF"/>
        <rFont val="WenQuanYi Zen Hei"/>
        <family val="2"/>
      </rPr>
      <t xml:space="preserve">年目 額面</t>
    </r>
  </si>
  <si>
    <r>
      <rPr>
        <b val="true"/>
        <sz val="10"/>
        <color rgb="FFFFFFFF"/>
        <rFont val="Cambria"/>
        <family val="0"/>
        <charset val="1"/>
      </rPr>
      <t xml:space="preserve">3</t>
    </r>
    <r>
      <rPr>
        <b val="true"/>
        <sz val="10"/>
        <color rgb="FFFFFFFF"/>
        <rFont val="WenQuanYi Zen Hei"/>
        <family val="2"/>
      </rPr>
      <t xml:space="preserve">年目 原価</t>
    </r>
  </si>
  <si>
    <t xml:space="preserve">合計</t>
  </si>
  <si>
    <r>
      <rPr>
        <b val="true"/>
        <sz val="14"/>
        <color rgb="FF7B1E3A"/>
        <rFont val="WenQuanYi Zen Hei"/>
        <family val="2"/>
      </rPr>
      <t xml:space="preserve">損益計算書｜</t>
    </r>
    <r>
      <rPr>
        <b val="true"/>
        <sz val="14"/>
        <color rgb="FF7B1E3A"/>
        <rFont val="Cambria"/>
        <family val="0"/>
        <charset val="1"/>
      </rPr>
      <t xml:space="preserve">WineBank </t>
    </r>
    <r>
      <rPr>
        <b val="true"/>
        <sz val="14"/>
        <color rgb="FF7B1E3A"/>
        <rFont val="WenQuanYi Zen Hei"/>
        <family val="2"/>
      </rPr>
      <t xml:space="preserve">ワインマイル事業 </t>
    </r>
    <r>
      <rPr>
        <b val="true"/>
        <sz val="14"/>
        <color rgb="FF7B1E3A"/>
        <rFont val="Cambria"/>
        <family val="0"/>
        <charset val="1"/>
      </rPr>
      <t xml:space="preserve">3</t>
    </r>
    <r>
      <rPr>
        <b val="true"/>
        <sz val="14"/>
        <color rgb="FF7B1E3A"/>
        <rFont val="WenQuanYi Zen Hei"/>
        <family val="2"/>
      </rPr>
      <t xml:space="preserve">か年</t>
    </r>
  </si>
  <si>
    <t xml:space="preserve">単位：万円。成功報酬は未実現のため営業利益と分けて表示。</t>
  </si>
  <si>
    <t xml:space="preserve">【売上高】</t>
  </si>
  <si>
    <r>
      <rPr>
        <sz val="9"/>
        <color rgb="FF666666"/>
        <rFont val="WenQuanYi Zen Hei"/>
        <family val="2"/>
      </rPr>
      <t xml:space="preserve">新規預かり資産</t>
    </r>
    <r>
      <rPr>
        <sz val="9"/>
        <color rgb="FF666666"/>
        <rFont val="Cambria"/>
        <family val="0"/>
        <charset val="1"/>
      </rPr>
      <t xml:space="preserve">×</t>
    </r>
    <r>
      <rPr>
        <sz val="9"/>
        <color rgb="FF666666"/>
        <rFont val="WenQuanYi Zen Hei"/>
        <family val="2"/>
      </rPr>
      <t xml:space="preserve">販売を伴う比率</t>
    </r>
  </si>
  <si>
    <r>
      <rPr>
        <sz val="9"/>
        <color rgb="FF666666"/>
        <rFont val="WenQuanYi Zen Hei"/>
        <family val="2"/>
      </rPr>
      <t xml:space="preserve">買い手</t>
    </r>
    <r>
      <rPr>
        <sz val="9"/>
        <color rgb="FF666666"/>
        <rFont val="Cambria"/>
        <family val="0"/>
        <charset val="1"/>
      </rPr>
      <t xml:space="preserve">10%</t>
    </r>
    <r>
      <rPr>
        <sz val="9"/>
        <color rgb="FF666666"/>
        <rFont val="WenQuanYi Zen Hei"/>
        <family val="2"/>
      </rPr>
      <t xml:space="preserve">・売り手</t>
    </r>
    <r>
      <rPr>
        <sz val="9"/>
        <color rgb="FF666666"/>
        <rFont val="Cambria"/>
        <family val="0"/>
        <charset val="1"/>
      </rPr>
      <t xml:space="preserve">0%</t>
    </r>
    <r>
      <rPr>
        <sz val="9"/>
        <color rgb="FF666666"/>
        <rFont val="WenQuanYi Zen Hei"/>
        <family val="2"/>
      </rPr>
      <t xml:space="preserve">・当社ルート</t>
    </r>
    <r>
      <rPr>
        <sz val="9"/>
        <color rgb="FF666666"/>
        <rFont val="Cambria"/>
        <family val="0"/>
        <charset val="1"/>
      </rPr>
      <t xml:space="preserve">50%</t>
    </r>
  </si>
  <si>
    <t xml:space="preserve">売上高 計</t>
  </si>
  <si>
    <t xml:space="preserve">【売上原価・売上総利益】</t>
  </si>
  <si>
    <t xml:space="preserve">ワイン売上原価</t>
  </si>
  <si>
    <r>
      <rPr>
        <sz val="9"/>
        <color rgb="FF666666"/>
        <rFont val="WenQuanYi Zen Hei"/>
        <family val="2"/>
      </rPr>
      <t xml:space="preserve">販売粗利率</t>
    </r>
    <r>
      <rPr>
        <sz val="9"/>
        <color rgb="FF666666"/>
        <rFont val="Cambria"/>
        <family val="0"/>
        <charset val="1"/>
      </rPr>
      <t xml:space="preserve">30%</t>
    </r>
  </si>
  <si>
    <t xml:space="preserve">売上総利益</t>
  </si>
  <si>
    <t xml:space="preserve">売上総利益率</t>
  </si>
  <si>
    <t xml:space="preserve">【販売費及び一般管理費】</t>
  </si>
  <si>
    <r>
      <rPr>
        <sz val="9"/>
        <color rgb="FF666666"/>
        <rFont val="WenQuanYi Zen Hei"/>
        <family val="2"/>
      </rPr>
      <t xml:space="preserve">期末預かり資産</t>
    </r>
    <r>
      <rPr>
        <sz val="9"/>
        <color rgb="FF666666"/>
        <rFont val="Cambria"/>
        <family val="0"/>
        <charset val="1"/>
      </rPr>
      <t xml:space="preserve">×1.05%</t>
    </r>
  </si>
  <si>
    <r>
      <rPr>
        <sz val="9"/>
        <color rgb="FF666666"/>
        <rFont val="WenQuanYi Zen Hei"/>
        <family val="2"/>
      </rPr>
      <t xml:space="preserve">新規会員数</t>
    </r>
    <r>
      <rPr>
        <sz val="9"/>
        <color rgb="FF666666"/>
        <rFont val="Cambria"/>
        <family val="0"/>
        <charset val="1"/>
      </rPr>
      <t xml:space="preserve">×CPA 5</t>
    </r>
    <r>
      <rPr>
        <sz val="9"/>
        <color rgb="FF666666"/>
        <rFont val="WenQuanYi Zen Hei"/>
        <family val="2"/>
      </rPr>
      <t xml:space="preserve">万円</t>
    </r>
  </si>
  <si>
    <t xml:space="preserve">前提シート入力</t>
  </si>
  <si>
    <t xml:space="preserve">販管費 計</t>
  </si>
  <si>
    <t xml:space="preserve">営業利益率</t>
  </si>
  <si>
    <t xml:space="preserve">【営業外損益】</t>
  </si>
  <si>
    <r>
      <rPr>
        <sz val="9"/>
        <color rgb="FF666666"/>
        <rFont val="WenQuanYi Zen Hei"/>
        <family val="2"/>
      </rPr>
      <t xml:space="preserve">買付借入</t>
    </r>
    <r>
      <rPr>
        <sz val="9"/>
        <color rgb="FF666666"/>
        <rFont val="Cambria"/>
        <family val="0"/>
        <charset val="1"/>
      </rPr>
      <t xml:space="preserve">1.2</t>
    </r>
    <r>
      <rPr>
        <sz val="9"/>
        <color rgb="FF666666"/>
        <rFont val="WenQuanYi Zen Hei"/>
        <family val="2"/>
      </rPr>
      <t xml:space="preserve">億</t>
    </r>
    <r>
      <rPr>
        <sz val="9"/>
        <color rgb="FF666666"/>
        <rFont val="Cambria"/>
        <family val="0"/>
        <charset val="1"/>
      </rPr>
      <t xml:space="preserve">×3%</t>
    </r>
  </si>
  <si>
    <t xml:space="preserve">経常利益率</t>
  </si>
  <si>
    <t xml:space="preserve">【参考：成功報酬の経済発生（契約終了時まで未実現）】</t>
  </si>
  <si>
    <t xml:space="preserve">成功報酬の経済発生額</t>
  </si>
  <si>
    <t xml:space="preserve">経済利益（経常利益＋成功報酬発生）</t>
  </si>
  <si>
    <t xml:space="preserve">【★利益の源泉分解｜フロー依存度の確認】</t>
  </si>
  <si>
    <t xml:space="preserve">ワイン販売粗利（フロー）</t>
  </si>
  <si>
    <t xml:space="preserve">新規販売がある限りの利益</t>
  </si>
  <si>
    <t xml:space="preserve">手数料－保管－マイル＋オークション</t>
  </si>
  <si>
    <t xml:space="preserve">固定費・自社在庫</t>
  </si>
  <si>
    <t xml:space="preserve">営業利益（検算）</t>
  </si>
  <si>
    <r>
      <rPr>
        <sz val="9"/>
        <color rgb="FF666666"/>
        <rFont val="Cambria"/>
        <family val="0"/>
        <charset val="1"/>
      </rPr>
      <t xml:space="preserve">100%</t>
    </r>
    <r>
      <rPr>
        <sz val="9"/>
        <color rgb="FF666666"/>
        <rFont val="WenQuanYi Zen Hei"/>
        <family val="2"/>
      </rPr>
      <t xml:space="preserve">超＝新規販売が止まると赤字。ストック単独で黒字化するほど依存度は下がる</t>
    </r>
  </si>
  <si>
    <t xml:space="preserve">【ストック部分だけの採算】</t>
  </si>
  <si>
    <r>
      <rPr>
        <b val="true"/>
        <sz val="11"/>
        <rFont val="WenQuanYi Zen Hei"/>
        <family val="2"/>
      </rPr>
      <t xml:space="preserve">損益分岐となる発行</t>
    </r>
    <r>
      <rPr>
        <b val="true"/>
        <sz val="11"/>
        <rFont val="Cambria"/>
        <family val="0"/>
        <charset val="1"/>
      </rPr>
      <t xml:space="preserve">1</t>
    </r>
    <r>
      <rPr>
        <b val="true"/>
        <sz val="11"/>
        <rFont val="WenQuanYi Zen Hei"/>
        <family val="2"/>
      </rPr>
      <t xml:space="preserve">マイル期待原価</t>
    </r>
  </si>
  <si>
    <r>
      <rPr>
        <b val="true"/>
        <sz val="11"/>
        <rFont val="WenQuanYi Zen Hei"/>
        <family val="2"/>
      </rPr>
      <t xml:space="preserve">現在の発行</t>
    </r>
    <r>
      <rPr>
        <b val="true"/>
        <sz val="11"/>
        <rFont val="Cambria"/>
        <family val="0"/>
        <charset val="1"/>
      </rPr>
      <t xml:space="preserve">1</t>
    </r>
    <r>
      <rPr>
        <b val="true"/>
        <sz val="11"/>
        <rFont val="WenQuanYi Zen Hei"/>
        <family val="2"/>
      </rPr>
      <t xml:space="preserve">マイル期待原価</t>
    </r>
  </si>
  <si>
    <t xml:space="preserve">判定</t>
  </si>
  <si>
    <r>
      <rPr>
        <b val="true"/>
        <sz val="14"/>
        <color rgb="FF7B1E3A"/>
        <rFont val="WenQuanYi Zen Hei"/>
        <family val="2"/>
      </rPr>
      <t xml:space="preserve">キャッシュフロー｜</t>
    </r>
    <r>
      <rPr>
        <b val="true"/>
        <sz val="14"/>
        <color rgb="FF7B1E3A"/>
        <rFont val="Cambria"/>
        <family val="0"/>
        <charset val="1"/>
      </rPr>
      <t xml:space="preserve">3</t>
    </r>
    <r>
      <rPr>
        <b val="true"/>
        <sz val="14"/>
        <color rgb="FF7B1E3A"/>
        <rFont val="WenQuanYi Zen Hei"/>
        <family val="2"/>
      </rPr>
      <t xml:space="preserve">か年</t>
    </r>
  </si>
  <si>
    <t xml:space="preserve">成功報酬は契約終了時まで現金化しないため本表に含めない。単位：万円</t>
  </si>
  <si>
    <r>
      <rPr>
        <sz val="9"/>
        <color rgb="FF666666"/>
        <rFont val="Cambria"/>
        <family val="0"/>
        <charset val="1"/>
      </rPr>
      <t xml:space="preserve">P/L</t>
    </r>
    <r>
      <rPr>
        <sz val="9"/>
        <color rgb="FF666666"/>
        <rFont val="WenQuanYi Zen Hei"/>
        <family val="2"/>
      </rPr>
      <t xml:space="preserve">より</t>
    </r>
  </si>
  <si>
    <r>
      <rPr>
        <sz val="11"/>
        <color theme="1"/>
        <rFont val="WenQuanYi Zen Hei"/>
        <family val="2"/>
      </rPr>
      <t xml:space="preserve">＋マイル費用（</t>
    </r>
    <r>
      <rPr>
        <sz val="11"/>
        <color theme="1"/>
        <rFont val="Calibri"/>
        <family val="2"/>
        <charset val="1"/>
      </rPr>
      <t xml:space="preserve">P/L</t>
    </r>
    <r>
      <rPr>
        <sz val="11"/>
        <color theme="1"/>
        <rFont val="WenQuanYi Zen Hei"/>
        <family val="2"/>
      </rPr>
      <t xml:space="preserve">計上・非現金分）</t>
    </r>
  </si>
  <si>
    <t xml:space="preserve">発行時に費用計上した額を戻す</t>
  </si>
  <si>
    <t xml:space="preserve">▲実利用マイル原価（現金流出）</t>
  </si>
  <si>
    <t xml:space="preserve">実際に使われた年の原価</t>
  </si>
  <si>
    <t xml:space="preserve">営業キャッシュフロー（在庫投資前）</t>
  </si>
  <si>
    <t xml:space="preserve">▲新規ワイン買付（在庫投資）</t>
  </si>
  <si>
    <r>
      <rPr>
        <sz val="9"/>
        <color rgb="FF666666"/>
        <rFont val="Cambria"/>
        <family val="0"/>
        <charset val="1"/>
      </rPr>
      <t xml:space="preserve">1</t>
    </r>
    <r>
      <rPr>
        <sz val="9"/>
        <color rgb="FF666666"/>
        <rFont val="WenQuanYi Zen Hei"/>
        <family val="2"/>
      </rPr>
      <t xml:space="preserve">年目</t>
    </r>
    <r>
      <rPr>
        <sz val="9"/>
        <color rgb="FF666666"/>
        <rFont val="Cambria"/>
        <family val="0"/>
        <charset val="1"/>
      </rPr>
      <t xml:space="preserve">1.2</t>
    </r>
    <r>
      <rPr>
        <sz val="9"/>
        <color rgb="FF666666"/>
        <rFont val="WenQuanYi Zen Hei"/>
        <family val="2"/>
      </rPr>
      <t xml:space="preserve">億の買付</t>
    </r>
  </si>
  <si>
    <t xml:space="preserve">▲支払利息</t>
  </si>
  <si>
    <t xml:space="preserve">累計キャッシュフロー</t>
  </si>
  <si>
    <t xml:space="preserve">【参考：未実現の経済価値】</t>
  </si>
  <si>
    <t xml:space="preserve">成功報酬の累計発生額</t>
  </si>
  <si>
    <r>
      <rPr>
        <sz val="9"/>
        <color rgb="FF666666"/>
        <rFont val="WenQuanYi Zen Hei"/>
        <family val="2"/>
      </rPr>
      <t xml:space="preserve">契約終了時に精算。</t>
    </r>
    <r>
      <rPr>
        <sz val="9"/>
        <color rgb="FF666666"/>
        <rFont val="Cambria"/>
        <family val="0"/>
        <charset val="1"/>
      </rPr>
      <t xml:space="preserve">3</t>
    </r>
    <r>
      <rPr>
        <sz val="9"/>
        <color rgb="FF666666"/>
        <rFont val="WenQuanYi Zen Hei"/>
        <family val="2"/>
      </rPr>
      <t xml:space="preserve">年時点では現金化していない</t>
    </r>
  </si>
  <si>
    <t xml:space="preserve">期末未払マイル原価（将来の現金流出）</t>
  </si>
  <si>
    <t xml:space="preserve">翌年度以降に利用される分の原価見込み</t>
  </si>
  <si>
    <t xml:space="preserve">感度分析｜交換レート・原価率・利用率・販売比率</t>
  </si>
  <si>
    <r>
      <rPr>
        <sz val="9"/>
        <color rgb="FF666666"/>
        <rFont val="WenQuanYi Zen Hei"/>
        <family val="2"/>
      </rPr>
      <t xml:space="preserve">中谷氏コメント「レストランは</t>
    </r>
    <r>
      <rPr>
        <sz val="9"/>
        <color rgb="FF666666"/>
        <rFont val="Cambria"/>
        <family val="0"/>
        <charset val="1"/>
      </rPr>
      <t xml:space="preserve">1.0</t>
    </r>
    <r>
      <rPr>
        <sz val="9"/>
        <color rgb="FF666666"/>
        <rFont val="WenQuanYi Zen Hei"/>
        <family val="2"/>
      </rPr>
      <t xml:space="preserve">でなく</t>
    </r>
    <r>
      <rPr>
        <sz val="9"/>
        <color rgb="FF666666"/>
        <rFont val="Cambria"/>
        <family val="0"/>
        <charset val="1"/>
      </rPr>
      <t xml:space="preserve">0.8</t>
    </r>
    <r>
      <rPr>
        <sz val="9"/>
        <color rgb="FF666666"/>
        <rFont val="WenQuanYi Zen Hei"/>
        <family val="2"/>
      </rPr>
      <t xml:space="preserve">でもよいのでは」への定量回答を含む。</t>
    </r>
  </si>
  <si>
    <r>
      <rPr>
        <b val="true"/>
        <sz val="11"/>
        <color rgb="FF7B1E3A"/>
        <rFont val="Cambria"/>
        <family val="0"/>
        <charset val="1"/>
      </rPr>
      <t xml:space="preserve">■ A. </t>
    </r>
    <r>
      <rPr>
        <b val="true"/>
        <sz val="11"/>
        <color rgb="FF7B1E3A"/>
        <rFont val="WenQuanYi Zen Hei"/>
        <family val="2"/>
      </rPr>
      <t xml:space="preserve">系列レストランの交換レート別（原価率は</t>
    </r>
    <r>
      <rPr>
        <b val="true"/>
        <sz val="11"/>
        <color rgb="FF7B1E3A"/>
        <rFont val="Cambria"/>
        <family val="0"/>
        <charset val="1"/>
      </rPr>
      <t xml:space="preserve">90%</t>
    </r>
    <r>
      <rPr>
        <b val="true"/>
        <sz val="11"/>
        <color rgb="FF7B1E3A"/>
        <rFont val="WenQuanYi Zen Hei"/>
        <family val="2"/>
      </rPr>
      <t xml:space="preserve">のまま）</t>
    </r>
  </si>
  <si>
    <r>
      <rPr>
        <b val="true"/>
        <sz val="10"/>
        <color rgb="FFFFFFFF"/>
        <rFont val="WenQuanYi Zen Hei"/>
        <family val="2"/>
      </rPr>
      <t xml:space="preserve">発行</t>
    </r>
    <r>
      <rPr>
        <b val="true"/>
        <sz val="10"/>
        <color rgb="FFFFFFFF"/>
        <rFont val="Cambria"/>
        <family val="0"/>
        <charset val="1"/>
      </rPr>
      <t xml:space="preserve">1</t>
    </r>
    <r>
      <rPr>
        <b val="true"/>
        <sz val="10"/>
        <color rgb="FFFFFFFF"/>
        <rFont val="WenQuanYi Zen Hei"/>
        <family val="2"/>
      </rPr>
      <t xml:space="preserve">マイル 当社原価</t>
    </r>
  </si>
  <si>
    <r>
      <rPr>
        <b val="true"/>
        <sz val="10"/>
        <color rgb="FFFFFFFF"/>
        <rFont val="Cambria"/>
        <family val="0"/>
        <charset val="1"/>
      </rPr>
      <t xml:space="preserve">100</t>
    </r>
    <r>
      <rPr>
        <b val="true"/>
        <sz val="10"/>
        <color rgb="FFFFFFFF"/>
        <rFont val="WenQuanYi Zen Hei"/>
        <family val="2"/>
      </rPr>
      <t xml:space="preserve">万会員の実質メリット率</t>
    </r>
  </si>
  <si>
    <r>
      <rPr>
        <b val="true"/>
        <sz val="10"/>
        <color rgb="FFFFFFFF"/>
        <rFont val="Cambria"/>
        <family val="0"/>
        <charset val="1"/>
      </rPr>
      <t xml:space="preserve">100</t>
    </r>
    <r>
      <rPr>
        <b val="true"/>
        <sz val="10"/>
        <color rgb="FFFFFFFF"/>
        <rFont val="WenQuanYi Zen Hei"/>
        <family val="2"/>
      </rPr>
      <t xml:space="preserve">万会員の実質メリット額（円）</t>
    </r>
  </si>
  <si>
    <t xml:space="preserve">レートを下げると当社利幅は改善するが、会員メリットが同率で削られる。</t>
  </si>
  <si>
    <r>
      <rPr>
        <sz val="9"/>
        <color rgb="FF666666"/>
        <rFont val="WenQuanYi Zen Hei"/>
        <family val="2"/>
      </rPr>
      <t xml:space="preserve">系列レストランは会員が「</t>
    </r>
    <r>
      <rPr>
        <sz val="9"/>
        <color rgb="FF666666"/>
        <rFont val="Cambria"/>
        <family val="0"/>
        <charset val="1"/>
      </rPr>
      <t xml:space="preserve">1</t>
    </r>
    <r>
      <rPr>
        <sz val="9"/>
        <color rgb="FF666666"/>
        <rFont val="WenQuanYi Zen Hei"/>
        <family val="2"/>
      </rPr>
      <t xml:space="preserve">マイル＝</t>
    </r>
    <r>
      <rPr>
        <sz val="9"/>
        <color rgb="FF666666"/>
        <rFont val="Cambria"/>
        <family val="0"/>
        <charset val="1"/>
      </rPr>
      <t xml:space="preserve">1</t>
    </r>
    <r>
      <rPr>
        <sz val="9"/>
        <color rgb="FF666666"/>
        <rFont val="WenQuanYi Zen Hei"/>
        <family val="2"/>
      </rPr>
      <t xml:space="preserve">円」を実感する中核チャネルであり、</t>
    </r>
  </si>
  <si>
    <r>
      <rPr>
        <sz val="9"/>
        <color rgb="FF666666"/>
        <rFont val="WenQuanYi Zen Hei"/>
        <family val="2"/>
      </rPr>
      <t xml:space="preserve">ここを削ると訴求力が最も大きく毀損する。次表</t>
    </r>
    <r>
      <rPr>
        <sz val="9"/>
        <color rgb="FF666666"/>
        <rFont val="Cambria"/>
        <family val="0"/>
        <charset val="1"/>
      </rPr>
      <t xml:space="preserve">B</t>
    </r>
    <r>
      <rPr>
        <sz val="9"/>
        <color rgb="FF666666"/>
        <rFont val="WenQuanYi Zen Hei"/>
        <family val="2"/>
      </rPr>
      <t xml:space="preserve">の方が費用対効果が高い。</t>
    </r>
  </si>
  <si>
    <r>
      <rPr>
        <b val="true"/>
        <sz val="11"/>
        <color rgb="FF7B1E3A"/>
        <rFont val="Cambria"/>
        <family val="0"/>
        <charset val="1"/>
      </rPr>
      <t xml:space="preserve">■ B. </t>
    </r>
    <r>
      <rPr>
        <b val="true"/>
        <sz val="11"/>
        <color rgb="FF7B1E3A"/>
        <rFont val="WenQuanYi Zen Hei"/>
        <family val="2"/>
      </rPr>
      <t xml:space="preserve">系列レストランの当社原価率別（交換レートは</t>
    </r>
    <r>
      <rPr>
        <b val="true"/>
        <sz val="11"/>
        <color rgb="FF7B1E3A"/>
        <rFont val="Cambria"/>
        <family val="0"/>
        <charset val="1"/>
      </rPr>
      <t xml:space="preserve">1.0</t>
    </r>
    <r>
      <rPr>
        <b val="true"/>
        <sz val="11"/>
        <color rgb="FF7B1E3A"/>
        <rFont val="WenQuanYi Zen Hei"/>
        <family val="2"/>
      </rPr>
      <t xml:space="preserve">のまま）</t>
    </r>
  </si>
  <si>
    <t xml:space="preserve">満席・機会損失前提（現状の置き方）</t>
  </si>
  <si>
    <r>
      <rPr>
        <sz val="9"/>
        <color rgb="FF666666"/>
        <rFont val="WenQuanYi Zen Hei"/>
        <family val="2"/>
      </rPr>
      <t xml:space="preserve">一部を現金併用（マイル充当上限</t>
    </r>
    <r>
      <rPr>
        <sz val="9"/>
        <color rgb="FF666666"/>
        <rFont val="Cambria"/>
        <family val="0"/>
        <charset val="1"/>
      </rPr>
      <t xml:space="preserve">50%</t>
    </r>
    <r>
      <rPr>
        <sz val="9"/>
        <color rgb="FF666666"/>
        <rFont val="WenQuanYi Zen Hei"/>
        <family val="2"/>
      </rPr>
      <t xml:space="preserve">）</t>
    </r>
  </si>
  <si>
    <t xml:space="preserve">平日オフピーク枠に限定（変動費中心）</t>
  </si>
  <si>
    <r>
      <rPr>
        <sz val="9"/>
        <color rgb="FF666666"/>
        <rFont val="Cambria"/>
        <family val="0"/>
        <charset val="1"/>
      </rPr>
      <t xml:space="preserve">F&amp;B</t>
    </r>
    <r>
      <rPr>
        <sz val="9"/>
        <color rgb="FF666666"/>
        <rFont val="WenQuanYi Zen Hei"/>
        <family val="2"/>
      </rPr>
      <t xml:space="preserve">原価のみ（空席を埋める前提）</t>
    </r>
  </si>
  <si>
    <r>
      <rPr>
        <b val="true"/>
        <sz val="9"/>
        <color rgb="FF7B1E3A"/>
        <rFont val="WenQuanYi Zen Hei"/>
        <family val="2"/>
      </rPr>
      <t xml:space="preserve">原価率を下げても会員メリット率は一切変わらない（</t>
    </r>
    <r>
      <rPr>
        <b val="true"/>
        <sz val="9"/>
        <color rgb="FF7B1E3A"/>
        <rFont val="Cambria"/>
        <family val="0"/>
        <charset val="1"/>
      </rPr>
      <t xml:space="preserve">E</t>
    </r>
    <r>
      <rPr>
        <b val="true"/>
        <sz val="9"/>
        <color rgb="FF7B1E3A"/>
        <rFont val="WenQuanYi Zen Hei"/>
        <family val="2"/>
      </rPr>
      <t xml:space="preserve">列は全行同値）のが要点。</t>
    </r>
  </si>
  <si>
    <r>
      <rPr>
        <b val="true"/>
        <sz val="11"/>
        <color rgb="FF7B1E3A"/>
        <rFont val="Cambria"/>
        <family val="0"/>
        <charset val="1"/>
      </rPr>
      <t xml:space="preserve">■ C. </t>
    </r>
    <r>
      <rPr>
        <b val="true"/>
        <sz val="11"/>
        <color rgb="FF7B1E3A"/>
        <rFont val="WenQuanYi Zen Hei"/>
        <family val="2"/>
      </rPr>
      <t xml:space="preserve">最終利用率別（失効益への依存度）</t>
    </r>
  </si>
  <si>
    <t xml:space="preserve">最終利用率</t>
  </si>
  <si>
    <r>
      <rPr>
        <sz val="9"/>
        <color rgb="FF666666"/>
        <rFont val="WenQuanYi Zen Hei"/>
        <family val="2"/>
      </rPr>
      <t xml:space="preserve">中谷氏の「</t>
    </r>
    <r>
      <rPr>
        <sz val="9"/>
        <color rgb="FF666666"/>
        <rFont val="Cambria"/>
        <family val="0"/>
        <charset val="1"/>
      </rPr>
      <t xml:space="preserve">3</t>
    </r>
    <r>
      <rPr>
        <sz val="9"/>
        <color rgb="FF666666"/>
        <rFont val="WenQuanYi Zen Hei"/>
        <family val="2"/>
      </rPr>
      <t xml:space="preserve">〜</t>
    </r>
    <r>
      <rPr>
        <sz val="9"/>
        <color rgb="FF666666"/>
        <rFont val="Cambria"/>
        <family val="0"/>
        <charset val="1"/>
      </rPr>
      <t xml:space="preserve">6</t>
    </r>
    <r>
      <rPr>
        <sz val="9"/>
        <color rgb="FF666666"/>
        <rFont val="WenQuanYi Zen Hei"/>
        <family val="2"/>
      </rPr>
      <t xml:space="preserve">か月失効でコミュニティ通貨として回す」設計は利用率を上げる＝コストも上がる。</t>
    </r>
  </si>
  <si>
    <r>
      <rPr>
        <sz val="9"/>
        <color rgb="FF666666"/>
        <rFont val="WenQuanYi Zen Hei"/>
        <family val="2"/>
      </rPr>
      <t xml:space="preserve">失効益をあてにしない</t>
    </r>
    <r>
      <rPr>
        <sz val="9"/>
        <color rgb="FF666666"/>
        <rFont val="Cambria"/>
        <family val="0"/>
        <charset val="1"/>
      </rPr>
      <t xml:space="preserve">98%</t>
    </r>
    <r>
      <rPr>
        <sz val="9"/>
        <color rgb="FF666666"/>
        <rFont val="WenQuanYi Zen Hei"/>
        <family val="2"/>
      </rPr>
      <t xml:space="preserve">前提でも黒字であることを確認するための表。</t>
    </r>
  </si>
  <si>
    <r>
      <rPr>
        <b val="true"/>
        <sz val="11"/>
        <color rgb="FF7B1E3A"/>
        <rFont val="Cambria"/>
        <family val="0"/>
        <charset val="1"/>
      </rPr>
      <t xml:space="preserve">■ D. </t>
    </r>
    <r>
      <rPr>
        <b val="true"/>
        <sz val="11"/>
        <color rgb="FF7B1E3A"/>
        <rFont val="WenQuanYi Zen Hei"/>
        <family val="2"/>
      </rPr>
      <t xml:space="preserve">ワイン販売を伴う比率別の営業利益（持込型が増えた場合）</t>
    </r>
  </si>
  <si>
    <t xml:space="preserve">販売を伴う比率</t>
  </si>
  <si>
    <t xml:space="preserve">見方</t>
  </si>
  <si>
    <t xml:space="preserve">持込・預かりのみ</t>
  </si>
  <si>
    <t xml:space="preserve">販売粗利が一部発生</t>
  </si>
  <si>
    <t xml:space="preserve">販売と持込が半々</t>
  </si>
  <si>
    <t xml:space="preserve">販売中心</t>
  </si>
  <si>
    <r>
      <rPr>
        <sz val="9"/>
        <color rgb="FF666666"/>
        <rFont val="WenQuanYi Zen Hei"/>
        <family val="2"/>
      </rPr>
      <t xml:space="preserve">前提シートの</t>
    </r>
    <r>
      <rPr>
        <sz val="9"/>
        <color rgb="FF666666"/>
        <rFont val="Cambria"/>
        <family val="0"/>
        <charset val="1"/>
      </rPr>
      <t xml:space="preserve">100%</t>
    </r>
    <r>
      <rPr>
        <sz val="9"/>
        <color rgb="FF666666"/>
        <rFont val="WenQuanYi Zen Hei"/>
        <family val="2"/>
      </rPr>
      <t xml:space="preserve">ケース</t>
    </r>
  </si>
  <si>
    <t xml:space="preserve">営業利益が黒字となる最低の販売伴有率</t>
  </si>
  <si>
    <r>
      <rPr>
        <b val="true"/>
        <sz val="11"/>
        <color rgb="FF7B1E3A"/>
        <rFont val="Cambria"/>
        <family val="0"/>
        <charset val="1"/>
      </rPr>
      <t xml:space="preserve">■ E. </t>
    </r>
    <r>
      <rPr>
        <b val="true"/>
        <sz val="11"/>
        <color rgb="FF7B1E3A"/>
        <rFont val="WenQuanYi Zen Hei"/>
        <family val="2"/>
      </rPr>
      <t xml:space="preserve">ランク別のストック採算（★還元率を上げた分、上位ランクほどストック単体は厳しい）</t>
    </r>
  </si>
  <si>
    <t xml:space="preserve">マイル実費用（対預かり）</t>
  </si>
  <si>
    <t xml:space="preserve">判定（成功報酬前）</t>
  </si>
  <si>
    <r>
      <rPr>
        <sz val="9"/>
        <color rgb="FF666666"/>
        <rFont val="WenQuanYi Zen Hei"/>
        <family val="2"/>
      </rPr>
      <t xml:space="preserve">管理料</t>
    </r>
    <r>
      <rPr>
        <sz val="9"/>
        <color rgb="FF666666"/>
        <rFont val="Cambria"/>
        <family val="0"/>
        <charset val="1"/>
      </rPr>
      <t xml:space="preserve">2.5%</t>
    </r>
    <r>
      <rPr>
        <sz val="9"/>
        <color rgb="FF666666"/>
        <rFont val="WenQuanYi Zen Hei"/>
        <family val="2"/>
      </rPr>
      <t xml:space="preserve">は全ランク共通なのに還元率は</t>
    </r>
    <r>
      <rPr>
        <sz val="9"/>
        <color rgb="FF666666"/>
        <rFont val="Cambria"/>
        <family val="0"/>
        <charset val="1"/>
      </rPr>
      <t xml:space="preserve">3.5→5.5%</t>
    </r>
    <r>
      <rPr>
        <sz val="9"/>
        <color rgb="FF666666"/>
        <rFont val="WenQuanYi Zen Hei"/>
        <family val="2"/>
      </rPr>
      <t xml:space="preserve">と上がるため、</t>
    </r>
  </si>
  <si>
    <r>
      <rPr>
        <sz val="9"/>
        <color rgb="FF666666"/>
        <rFont val="WenQuanYi Zen Hei"/>
        <family val="2"/>
      </rPr>
      <t xml:space="preserve">上位ランクほどストック単体の利幅は薄い。上位ランクは</t>
    </r>
    <r>
      <rPr>
        <sz val="9"/>
        <color rgb="FF666666"/>
        <rFont val="Cambria"/>
        <family val="0"/>
        <charset val="1"/>
      </rPr>
      <t xml:space="preserve">1</t>
    </r>
    <r>
      <rPr>
        <sz val="9"/>
        <color rgb="FF666666"/>
        <rFont val="WenQuanYi Zen Hei"/>
        <family val="2"/>
      </rPr>
      <t xml:space="preserve">人あたりの販売粗利と</t>
    </r>
  </si>
  <si>
    <t xml:space="preserve">成功報酬額が大きいことで正当化される構造であり、ストック採算だけで評価してはいけない。</t>
  </si>
  <si>
    <r>
      <rPr>
        <b val="true"/>
        <sz val="9"/>
        <color rgb="FF7B1E3A"/>
        <rFont val="Cambria"/>
        <family val="0"/>
        <charset val="1"/>
      </rPr>
      <t xml:space="preserve">SIGNATURE</t>
    </r>
    <r>
      <rPr>
        <b val="true"/>
        <sz val="9"/>
        <color rgb="FF7B1E3A"/>
        <rFont val="WenQuanYi Zen Hei"/>
        <family val="2"/>
      </rPr>
      <t xml:space="preserve">をストック単体で黒字にするには発行</t>
    </r>
    <r>
      <rPr>
        <b val="true"/>
        <sz val="9"/>
        <color rgb="FF7B1E3A"/>
        <rFont val="Cambria"/>
        <family val="0"/>
        <charset val="1"/>
      </rPr>
      <t xml:space="preserve">1</t>
    </r>
    <r>
      <rPr>
        <b val="true"/>
        <sz val="9"/>
        <color rgb="FF7B1E3A"/>
        <rFont val="WenQuanYi Zen Hei"/>
        <family val="2"/>
      </rPr>
      <t xml:space="preserve">マイル原価を</t>
    </r>
    <r>
      <rPr>
        <b val="true"/>
        <sz val="9"/>
        <color rgb="FF7B1E3A"/>
        <rFont val="Cambria"/>
        <family val="0"/>
        <charset val="1"/>
      </rPr>
      <t xml:space="preserve">B42</t>
    </r>
    <r>
      <rPr>
        <b val="true"/>
        <sz val="9"/>
        <color rgb="FF7B1E3A"/>
        <rFont val="WenQuanYi Zen Hei"/>
        <family val="2"/>
      </rPr>
      <t xml:space="preserve">まで下げる必要がある（原価率</t>
    </r>
    <r>
      <rPr>
        <b val="true"/>
        <sz val="9"/>
        <color rgb="FF7B1E3A"/>
        <rFont val="Cambria"/>
        <family val="0"/>
        <charset val="1"/>
      </rPr>
      <t xml:space="preserve">55%</t>
    </r>
    <r>
      <rPr>
        <b val="true"/>
        <sz val="9"/>
        <color rgb="FF7B1E3A"/>
        <rFont val="WenQuanYi Zen Hei"/>
        <family val="2"/>
      </rPr>
      <t xml:space="preserve">単独では届かない）。</t>
    </r>
  </si>
  <si>
    <r>
      <rPr>
        <b val="true"/>
        <sz val="11"/>
        <rFont val="WenQuanYi Zen Hei"/>
        <family val="2"/>
      </rPr>
      <t xml:space="preserve">参考：全ランクがストック単体で黒字となる発行</t>
    </r>
    <r>
      <rPr>
        <b val="true"/>
        <sz val="11"/>
        <rFont val="Cambria"/>
        <family val="0"/>
        <charset val="1"/>
      </rPr>
      <t xml:space="preserve">1</t>
    </r>
    <r>
      <rPr>
        <b val="true"/>
        <sz val="11"/>
        <rFont val="WenQuanYi Zen Hei"/>
        <family val="2"/>
      </rPr>
      <t xml:space="preserve">マイル期待原価の上限</t>
    </r>
  </si>
  <si>
    <r>
      <rPr>
        <b val="true"/>
        <sz val="9"/>
        <color rgb="FF7B1E3A"/>
        <rFont val="WenQuanYi Zen Hei"/>
        <family val="2"/>
      </rPr>
      <t xml:space="preserve">感度分析</t>
    </r>
    <r>
      <rPr>
        <b val="true"/>
        <sz val="9"/>
        <color rgb="FF7B1E3A"/>
        <rFont val="Cambria"/>
        <family val="0"/>
        <charset val="1"/>
      </rPr>
      <t xml:space="preserve">B</t>
    </r>
    <r>
      <rPr>
        <b val="true"/>
        <sz val="9"/>
        <color rgb="FF7B1E3A"/>
        <rFont val="WenQuanYi Zen Hei"/>
        <family val="2"/>
      </rPr>
      <t xml:space="preserve">の原価率引下げと、</t>
    </r>
    <r>
      <rPr>
        <b val="true"/>
        <sz val="9"/>
        <color rgb="FF7B1E3A"/>
        <rFont val="Cambria"/>
        <family val="0"/>
        <charset val="1"/>
      </rPr>
      <t xml:space="preserve">0</t>
    </r>
    <r>
      <rPr>
        <b val="true"/>
        <sz val="9"/>
        <color rgb="FF7B1E3A"/>
        <rFont val="WenQuanYi Zen Hei"/>
        <family val="2"/>
      </rPr>
      <t xml:space="preserve">円原価チャネル（</t>
    </r>
    <r>
      <rPr>
        <b val="true"/>
        <sz val="9"/>
        <color rgb="FF7B1E3A"/>
        <rFont val="Cambria"/>
        <family val="0"/>
        <charset val="1"/>
      </rPr>
      <t xml:space="preserve">CLUB</t>
    </r>
    <r>
      <rPr>
        <b val="true"/>
        <sz val="9"/>
        <color rgb="FF7B1E3A"/>
        <rFont val="WenQuanYi Zen Hei"/>
        <family val="2"/>
      </rPr>
      <t xml:space="preserve">充当・オークション参加）の構成比引上げの併用で到達できる。</t>
    </r>
  </si>
  <si>
    <t xml:space="preserve">会員メリット｜ランク別 金額シミュレーション</t>
  </si>
  <si>
    <r>
      <rPr>
        <sz val="9"/>
        <color rgb="FF666666"/>
        <rFont val="WenQuanYi Zen Hei"/>
        <family val="2"/>
      </rPr>
      <t xml:space="preserve">このシートのみ金額単位：円。会員</t>
    </r>
    <r>
      <rPr>
        <sz val="9"/>
        <color rgb="FF666666"/>
        <rFont val="Cambria"/>
        <family val="0"/>
        <charset val="1"/>
      </rPr>
      <t xml:space="preserve">1</t>
    </r>
    <r>
      <rPr>
        <sz val="9"/>
        <color rgb="FF666666"/>
        <rFont val="WenQuanYi Zen Hei"/>
        <family val="2"/>
      </rPr>
      <t xml:space="preserve">人あたり。</t>
    </r>
  </si>
  <si>
    <t xml:space="preserve">■ 年間の直接メリット</t>
  </si>
  <si>
    <t xml:space="preserve">考え方・備考</t>
  </si>
  <si>
    <t xml:space="preserve">預かり額</t>
  </si>
  <si>
    <t xml:space="preserve">年間管理・保管手数料</t>
  </si>
  <si>
    <t xml:space="preserve">3.5 / 4.5 / 5.5%</t>
  </si>
  <si>
    <t xml:space="preserve">年間付与マイル（額面）</t>
  </si>
  <si>
    <r>
      <rPr>
        <sz val="11"/>
        <color theme="1"/>
        <rFont val="WenQuanYi Zen Hei"/>
        <family val="2"/>
      </rPr>
      <t xml:space="preserve">利用</t>
    </r>
    <r>
      <rPr>
        <sz val="11"/>
        <color theme="1"/>
        <rFont val="Calibri"/>
        <family val="2"/>
        <charset val="1"/>
      </rPr>
      <t xml:space="preserve">1</t>
    </r>
    <r>
      <rPr>
        <sz val="11"/>
        <color theme="1"/>
        <rFont val="WenQuanYi Zen Hei"/>
        <family val="2"/>
      </rPr>
      <t xml:space="preserve">マイルの平均交換価値</t>
    </r>
  </si>
  <si>
    <t xml:space="preserve">交換先ミックスの加重平均</t>
  </si>
  <si>
    <r>
      <rPr>
        <sz val="11"/>
        <color theme="1"/>
        <rFont val="WenQuanYi Zen Hei"/>
        <family val="2"/>
      </rPr>
      <t xml:space="preserve">発行</t>
    </r>
    <r>
      <rPr>
        <sz val="11"/>
        <color theme="1"/>
        <rFont val="Calibri"/>
        <family val="2"/>
        <charset val="1"/>
      </rPr>
      <t xml:space="preserve">1</t>
    </r>
    <r>
      <rPr>
        <sz val="11"/>
        <color theme="1"/>
        <rFont val="WenQuanYi Zen Hei"/>
        <family val="2"/>
      </rPr>
      <t xml:space="preserve">マイルの期待利用価値</t>
    </r>
  </si>
  <si>
    <r>
      <rPr>
        <sz val="9"/>
        <color rgb="FF666666"/>
        <rFont val="WenQuanYi Zen Hei"/>
        <family val="2"/>
      </rPr>
      <t xml:space="preserve">平均交換価値 </t>
    </r>
    <r>
      <rPr>
        <sz val="9"/>
        <color rgb="FF666666"/>
        <rFont val="Cambria"/>
        <family val="0"/>
        <charset val="1"/>
      </rPr>
      <t xml:space="preserve">× </t>
    </r>
    <r>
      <rPr>
        <sz val="9"/>
        <color rgb="FF666666"/>
        <rFont val="WenQuanYi Zen Hei"/>
        <family val="2"/>
      </rPr>
      <t xml:space="preserve">最終利用率</t>
    </r>
  </si>
  <si>
    <t xml:space="preserve">実利用ベースの年間マイル価値</t>
  </si>
  <si>
    <t xml:space="preserve">額面ベースの年間差引メリット</t>
  </si>
  <si>
    <r>
      <rPr>
        <sz val="9"/>
        <color rgb="FF666666"/>
        <rFont val="WenQuanYi Zen Hei"/>
        <family val="2"/>
      </rPr>
      <t xml:space="preserve">全マイルを</t>
    </r>
    <r>
      <rPr>
        <sz val="9"/>
        <color rgb="FF666666"/>
        <rFont val="Cambria"/>
        <family val="0"/>
        <charset val="1"/>
      </rPr>
      <t xml:space="preserve">1</t>
    </r>
    <r>
      <rPr>
        <sz val="9"/>
        <color rgb="FF666666"/>
        <rFont val="WenQuanYi Zen Hei"/>
        <family val="2"/>
      </rPr>
      <t xml:space="preserve">円相当として見た表示上の差引（＝還元率－手数料率）</t>
    </r>
  </si>
  <si>
    <t xml:space="preserve">★実利用ベースの年間差引メリット</t>
  </si>
  <si>
    <t xml:space="preserve">交換先ミックスと利用率を反映した実質差引</t>
  </si>
  <si>
    <t xml:space="preserve">★実質メリット率（預かり額比）</t>
  </si>
  <si>
    <r>
      <rPr>
        <sz val="11"/>
        <color theme="1"/>
        <rFont val="Calibri"/>
        <family val="2"/>
        <charset val="1"/>
      </rPr>
      <t xml:space="preserve">1.0</t>
    </r>
    <r>
      <rPr>
        <sz val="11"/>
        <color theme="1"/>
        <rFont val="WenQuanYi Zen Hei"/>
        <family val="2"/>
      </rPr>
      <t xml:space="preserve">円交換先だけで使った場合の差引</t>
    </r>
  </si>
  <si>
    <t xml:space="preserve">グランメゾンを使わない会員の上限値</t>
  </si>
  <si>
    <t xml:space="preserve">損益分岐となる平均交換価値</t>
  </si>
  <si>
    <t xml:space="preserve">これを上回れば手数料を回収</t>
  </si>
  <si>
    <r>
      <rPr>
        <b val="true"/>
        <sz val="11"/>
        <color rgb="FF7B1E3A"/>
        <rFont val="Cambria"/>
        <family val="0"/>
        <charset val="1"/>
      </rPr>
      <t xml:space="preserve">■ 3</t>
    </r>
    <r>
      <rPr>
        <b val="true"/>
        <sz val="11"/>
        <color rgb="FF7B1E3A"/>
        <rFont val="WenQuanYi Zen Hei"/>
        <family val="2"/>
      </rPr>
      <t xml:space="preserve">年間保有した場合の会員メリット（経済価値ベース）</t>
    </r>
  </si>
  <si>
    <r>
      <rPr>
        <sz val="11"/>
        <color theme="1"/>
        <rFont val="Calibri"/>
        <family val="2"/>
        <charset val="1"/>
      </rPr>
      <t xml:space="preserve">3</t>
    </r>
    <r>
      <rPr>
        <sz val="11"/>
        <color theme="1"/>
        <rFont val="WenQuanYi Zen Hei"/>
        <family val="2"/>
      </rPr>
      <t xml:space="preserve">年後ワイン評価額</t>
    </r>
  </si>
  <si>
    <r>
      <rPr>
        <sz val="9"/>
        <color rgb="FF666666"/>
        <rFont val="WenQuanYi Zen Hei"/>
        <family val="2"/>
      </rPr>
      <t xml:space="preserve">預かり額</t>
    </r>
    <r>
      <rPr>
        <sz val="9"/>
        <color rgb="FF666666"/>
        <rFont val="Cambria"/>
        <family val="0"/>
        <charset val="1"/>
      </rPr>
      <t xml:space="preserve">×(1+6%)^3</t>
    </r>
  </si>
  <si>
    <r>
      <rPr>
        <sz val="11"/>
        <color theme="1"/>
        <rFont val="Calibri"/>
        <family val="2"/>
        <charset val="1"/>
      </rPr>
      <t xml:space="preserve">3</t>
    </r>
    <r>
      <rPr>
        <sz val="11"/>
        <color theme="1"/>
        <rFont val="WenQuanYi Zen Hei"/>
        <family val="2"/>
      </rPr>
      <t xml:space="preserve">年間の値上がり益</t>
    </r>
  </si>
  <si>
    <t xml:space="preserve">25%</t>
  </si>
  <si>
    <t xml:space="preserve">成功報酬（当社取分）</t>
  </si>
  <si>
    <t xml:space="preserve">会員に残る値上がり益</t>
  </si>
  <si>
    <r>
      <rPr>
        <sz val="11"/>
        <color theme="1"/>
        <rFont val="Calibri"/>
        <family val="2"/>
        <charset val="1"/>
      </rPr>
      <t xml:space="preserve">3</t>
    </r>
    <r>
      <rPr>
        <sz val="11"/>
        <color theme="1"/>
        <rFont val="WenQuanYi Zen Hei"/>
        <family val="2"/>
      </rPr>
      <t xml:space="preserve">年累計マイル利用価値</t>
    </r>
  </si>
  <si>
    <r>
      <rPr>
        <sz val="11"/>
        <color theme="1"/>
        <rFont val="Calibri"/>
        <family val="2"/>
        <charset val="1"/>
      </rPr>
      <t xml:space="preserve">3</t>
    </r>
    <r>
      <rPr>
        <sz val="11"/>
        <color theme="1"/>
        <rFont val="WenQuanYi Zen Hei"/>
        <family val="2"/>
      </rPr>
      <t xml:space="preserve">年累計管理・保管手数料</t>
    </r>
  </si>
  <si>
    <r>
      <rPr>
        <sz val="11"/>
        <color theme="1"/>
        <rFont val="Calibri"/>
        <family val="2"/>
        <charset val="1"/>
      </rPr>
      <t xml:space="preserve">3</t>
    </r>
    <r>
      <rPr>
        <sz val="11"/>
        <color theme="1"/>
        <rFont val="WenQuanYi Zen Hei"/>
        <family val="2"/>
      </rPr>
      <t xml:space="preserve">年累計マイル差引メリット</t>
    </r>
  </si>
  <si>
    <r>
      <rPr>
        <b val="true"/>
        <sz val="11"/>
        <rFont val="Cambria"/>
        <family val="0"/>
        <charset val="1"/>
      </rPr>
      <t xml:space="preserve">★3</t>
    </r>
    <r>
      <rPr>
        <b val="true"/>
        <sz val="11"/>
        <rFont val="WenQuanYi Zen Hei"/>
        <family val="2"/>
      </rPr>
      <t xml:space="preserve">年間の総合メリット</t>
    </r>
  </si>
  <si>
    <t xml:space="preserve">値上がり益（会員取分）＋マイル差引</t>
  </si>
  <si>
    <t xml:space="preserve">★元本に対する総合メリット率</t>
  </si>
  <si>
    <r>
      <rPr>
        <sz val="11"/>
        <color theme="1"/>
        <rFont val="Calibri"/>
        <family val="2"/>
        <charset val="1"/>
      </rPr>
      <t xml:space="preserve">3</t>
    </r>
    <r>
      <rPr>
        <sz val="11"/>
        <color theme="1"/>
        <rFont val="WenQuanYi Zen Hei"/>
        <family val="2"/>
      </rPr>
      <t xml:space="preserve">年後の会員価値（元本＋総合メリット）</t>
    </r>
  </si>
  <si>
    <r>
      <rPr>
        <sz val="11"/>
        <color theme="1"/>
        <rFont val="WenQuanYi Zen Hei"/>
        <family val="2"/>
      </rPr>
      <t xml:space="preserve">年率換算（</t>
    </r>
    <r>
      <rPr>
        <sz val="11"/>
        <color theme="1"/>
        <rFont val="Calibri"/>
        <family val="2"/>
        <charset val="1"/>
      </rPr>
      <t xml:space="preserve">CAGR</t>
    </r>
    <r>
      <rPr>
        <sz val="11"/>
        <color theme="1"/>
        <rFont val="WenQuanYi Zen Hei"/>
        <family val="2"/>
      </rPr>
      <t xml:space="preserve">）</t>
    </r>
  </si>
  <si>
    <r>
      <rPr>
        <b val="true"/>
        <sz val="11"/>
        <color rgb="FF7B1E3A"/>
        <rFont val="WenQuanYi Zen Hei"/>
        <family val="2"/>
      </rPr>
      <t xml:space="preserve">■ 交換先別の会員価値（利用</t>
    </r>
    <r>
      <rPr>
        <b val="true"/>
        <sz val="11"/>
        <color rgb="FF7B1E3A"/>
        <rFont val="Cambria"/>
        <family val="0"/>
        <charset val="1"/>
      </rPr>
      <t xml:space="preserve">1</t>
    </r>
    <r>
      <rPr>
        <b val="true"/>
        <sz val="11"/>
        <color rgb="FF7B1E3A"/>
        <rFont val="WenQuanYi Zen Hei"/>
        <family val="2"/>
      </rPr>
      <t xml:space="preserve">万マイルあたり）</t>
    </r>
  </si>
  <si>
    <r>
      <rPr>
        <b val="true"/>
        <sz val="10"/>
        <color rgb="FFFFFFFF"/>
        <rFont val="Cambria"/>
        <family val="0"/>
        <charset val="1"/>
      </rPr>
      <t xml:space="preserve">1</t>
    </r>
    <r>
      <rPr>
        <b val="true"/>
        <sz val="10"/>
        <color rgb="FFFFFFFF"/>
        <rFont val="WenQuanYi Zen Hei"/>
        <family val="2"/>
      </rPr>
      <t xml:space="preserve">万マイルの価値（円）</t>
    </r>
  </si>
  <si>
    <t xml:space="preserve">構成比加重価値（円）</t>
  </si>
  <si>
    <t xml:space="preserve">利用時の加重平均</t>
  </si>
  <si>
    <r>
      <rPr>
        <b val="true"/>
        <sz val="11"/>
        <rFont val="WenQuanYi Zen Hei"/>
        <family val="2"/>
      </rPr>
      <t xml:space="preserve">発行</t>
    </r>
    <r>
      <rPr>
        <b val="true"/>
        <sz val="11"/>
        <rFont val="Cambria"/>
        <family val="0"/>
        <charset val="1"/>
      </rPr>
      <t xml:space="preserve">1</t>
    </r>
    <r>
      <rPr>
        <b val="true"/>
        <sz val="11"/>
        <rFont val="WenQuanYi Zen Hei"/>
        <family val="2"/>
      </rPr>
      <t xml:space="preserve">万マイルの期待価値（最終利用率反映）</t>
    </r>
  </si>
  <si>
    <t xml:space="preserve">■ 算定条件・注意点</t>
  </si>
  <si>
    <t xml:space="preserve">・マイル価値はサービス利用時の経済価値であり、現金で受け取る利益ではありません。</t>
  </si>
  <si>
    <t xml:space="preserve">・行動マイル、未公開ワイン情報、イベント優先案内などは保守的に未算入です。</t>
  </si>
  <si>
    <t xml:space="preserve">・市場価格の下落、売却時の手数料、税金等は未考慮です。</t>
  </si>
</sst>
</file>

<file path=xl/styles.xml><?xml version="1.0" encoding="utf-8"?>
<styleSheet xmlns="http://schemas.openxmlformats.org/spreadsheetml/2006/main">
  <numFmts count="9">
    <numFmt numFmtId="164" formatCode="General"/>
    <numFmt numFmtId="165" formatCode="#,##0"/>
    <numFmt numFmtId="166" formatCode="0.000"/>
    <numFmt numFmtId="167" formatCode="0.00%"/>
    <numFmt numFmtId="168" formatCode="0.0%"/>
    <numFmt numFmtId="169" formatCode="@"/>
    <numFmt numFmtId="170" formatCode="0.0"/>
    <numFmt numFmtId="171" formatCode="0.00"/>
    <numFmt numFmtId="172" formatCode="#,##0.0"/>
  </numFmts>
  <fonts count="22">
    <font>
      <sz val="11"/>
      <color theme="1"/>
      <name val="Calibri"/>
      <family val="2"/>
      <charset val="1"/>
    </font>
    <font>
      <sz val="10"/>
      <name val="Arial"/>
      <family val="0"/>
    </font>
    <font>
      <sz val="10"/>
      <name val="Arial"/>
      <family val="0"/>
    </font>
    <font>
      <sz val="10"/>
      <name val="Arial"/>
      <family val="0"/>
    </font>
    <font>
      <b val="true"/>
      <sz val="14"/>
      <color rgb="FF7B1E3A"/>
      <name val="Cambria"/>
      <family val="0"/>
      <charset val="1"/>
    </font>
    <font>
      <b val="true"/>
      <sz val="14"/>
      <color rgb="FF7B1E3A"/>
      <name val="WenQuanYi Zen Hei"/>
      <family val="2"/>
    </font>
    <font>
      <sz val="9"/>
      <color rgb="FF666666"/>
      <name val="WenQuanYi Zen Hei"/>
      <family val="2"/>
    </font>
    <font>
      <b val="true"/>
      <sz val="9"/>
      <color rgb="FF666666"/>
      <name val="Cambria"/>
      <family val="0"/>
      <charset val="1"/>
    </font>
    <font>
      <b val="true"/>
      <sz val="9"/>
      <color rgb="FF666666"/>
      <name val="WenQuanYi Zen Hei"/>
      <family val="2"/>
    </font>
    <font>
      <b val="true"/>
      <sz val="16"/>
      <color rgb="FF7B1E3A"/>
      <name val="Cambria"/>
      <family val="0"/>
      <charset val="1"/>
    </font>
    <font>
      <b val="true"/>
      <sz val="11"/>
      <color rgb="FF7B1E3A"/>
      <name val="WenQuanYi Zen Hei"/>
      <family val="2"/>
    </font>
    <font>
      <b val="true"/>
      <sz val="10"/>
      <color rgb="FFFFFFFF"/>
      <name val="WenQuanYi Zen Hei"/>
      <family val="2"/>
    </font>
    <font>
      <b val="true"/>
      <sz val="10"/>
      <color rgb="FFFFFFFF"/>
      <name val="Cambria"/>
      <family val="0"/>
      <charset val="1"/>
    </font>
    <font>
      <sz val="11"/>
      <color theme="1"/>
      <name val="WenQuanYi Zen Hei"/>
      <family val="2"/>
    </font>
    <font>
      <b val="true"/>
      <sz val="11"/>
      <name val="Cambria"/>
      <family val="0"/>
      <charset val="1"/>
    </font>
    <font>
      <sz val="9"/>
      <name val="Cambria"/>
      <family val="0"/>
      <charset val="1"/>
    </font>
    <font>
      <sz val="9"/>
      <name val="WenQuanYi Zen Hei"/>
      <family val="2"/>
    </font>
    <font>
      <sz val="9"/>
      <color rgb="FF666666"/>
      <name val="Cambria"/>
      <family val="0"/>
      <charset val="1"/>
    </font>
    <font>
      <b val="true"/>
      <sz val="11"/>
      <color rgb="FF7B1E3A"/>
      <name val="Cambria"/>
      <family val="0"/>
      <charset val="1"/>
    </font>
    <font>
      <b val="true"/>
      <sz val="11"/>
      <name val="WenQuanYi Zen Hei"/>
      <family val="2"/>
    </font>
    <font>
      <b val="true"/>
      <sz val="9"/>
      <color rgb="FF7B1E3A"/>
      <name val="WenQuanYi Zen Hei"/>
      <family val="2"/>
    </font>
    <font>
      <b val="true"/>
      <sz val="9"/>
      <color rgb="FF7B1E3A"/>
      <name val="Cambria"/>
      <family val="0"/>
      <charset val="1"/>
    </font>
  </fonts>
  <fills count="6">
    <fill>
      <patternFill patternType="none"/>
    </fill>
    <fill>
      <patternFill patternType="gray125"/>
    </fill>
    <fill>
      <patternFill patternType="solid">
        <fgColor rgb="FFF4EFE6"/>
        <bgColor rgb="FFEFE7EA"/>
      </patternFill>
    </fill>
    <fill>
      <patternFill patternType="solid">
        <fgColor rgb="FFEFE7EA"/>
        <bgColor rgb="FFF4EFE6"/>
      </patternFill>
    </fill>
    <fill>
      <patternFill patternType="solid">
        <fgColor rgb="FF7B1E3A"/>
        <bgColor rgb="FF993366"/>
      </patternFill>
    </fill>
    <fill>
      <patternFill patternType="solid">
        <fgColor rgb="FFFFF6D5"/>
        <bgColor rgb="FFF4EFE6"/>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9"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9" fillId="2" borderId="0" xfId="0" applyFont="true" applyBorder="false" applyAlignment="false" applyProtection="false">
      <alignment horizontal="general" vertical="bottom" textRotation="0" wrapText="false" indent="0" shrinkToFit="false"/>
      <protection locked="true" hidden="false"/>
    </xf>
    <xf numFmtId="167" fontId="9" fillId="2" borderId="0" xfId="0" applyFont="true" applyBorder="false" applyAlignment="false" applyProtection="false">
      <alignment horizontal="general" vertical="bottom" textRotation="0" wrapText="false" indent="0" shrinkToFit="false"/>
      <protection locked="true" hidden="false"/>
    </xf>
    <xf numFmtId="168" fontId="9" fillId="2" borderId="0" xfId="0" applyFont="true" applyBorder="false" applyAlignment="false" applyProtection="false">
      <alignment horizontal="general" vertical="bottom" textRotation="0" wrapText="false" indent="0" shrinkToFit="false"/>
      <protection locked="true" hidden="false"/>
    </xf>
    <xf numFmtId="169" fontId="9" fillId="2"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5" fontId="0" fillId="5" borderId="1" xfId="0" applyFont="false" applyBorder="true" applyAlignment="false" applyProtection="false">
      <alignment horizontal="general" vertical="bottom" textRotation="0" wrapText="false" indent="0" shrinkToFit="false"/>
      <protection locked="true" hidden="false"/>
    </xf>
    <xf numFmtId="167" fontId="0" fillId="5" borderId="1" xfId="0" applyFont="fals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8" fontId="0" fillId="5" borderId="1" xfId="0" applyFont="false" applyBorder="true" applyAlignment="false" applyProtection="false">
      <alignment horizontal="general" vertical="bottom" textRotation="0" wrapText="false" indent="0" shrinkToFit="false"/>
      <protection locked="true" hidden="false"/>
    </xf>
    <xf numFmtId="170" fontId="0" fillId="5" borderId="1" xfId="0" applyFont="fals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71" fontId="0" fillId="5"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70" fontId="14"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6" fontId="1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5" fontId="14" fillId="2"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center" vertical="center" textRotation="0" wrapText="false" indent="0" shrinkToFit="false"/>
      <protection locked="true" hidden="false"/>
    </xf>
    <xf numFmtId="172" fontId="14" fillId="0" borderId="0" xfId="0" applyFont="true" applyBorder="false" applyAlignment="false" applyProtection="false">
      <alignment horizontal="general" vertical="bottom" textRotation="0" wrapText="false" indent="0" shrinkToFit="false"/>
      <protection locked="true" hidden="false"/>
    </xf>
    <xf numFmtId="172" fontId="14" fillId="2" borderId="0" xfId="0" applyFont="true" applyBorder="false" applyAlignment="false" applyProtection="false">
      <alignment horizontal="general" vertical="bottom" textRotation="0" wrapText="false" indent="0" shrinkToFit="false"/>
      <protection locked="true" hidden="false"/>
    </xf>
    <xf numFmtId="172" fontId="0" fillId="0" borderId="1" xfId="0" applyFont="false" applyBorder="true" applyAlignment="false" applyProtection="false">
      <alignment horizontal="general" vertical="bottom" textRotation="0" wrapText="false" indent="0" shrinkToFit="false"/>
      <protection locked="true" hidden="false"/>
    </xf>
    <xf numFmtId="164" fontId="19" fillId="2" borderId="0" xfId="0" applyFont="true" applyBorder="false" applyAlignment="false" applyProtection="false">
      <alignment horizontal="general" vertical="bottom" textRotation="0" wrapText="false" indent="0" shrinkToFit="false"/>
      <protection locked="true" hidden="false"/>
    </xf>
    <xf numFmtId="164" fontId="18" fillId="3" borderId="0" xfId="0" applyFont="true" applyBorder="fals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8" fontId="14" fillId="2"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14" fillId="2"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7B1E3A"/>
      <rgbColor rgb="FFFFF6D5"/>
      <rgbColor rgb="FFF4EFE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FE7EA"/>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22"/>
    <col collapsed="false" customWidth="true" hidden="false" outlineLevel="0" max="4" min="4" style="0" width="16"/>
    <col collapsed="false" customWidth="true" hidden="false" outlineLevel="0" max="5" min="5" style="0" width="22"/>
    <col collapsed="false" customWidth="true" hidden="false" outlineLevel="0" max="6" min="6" style="0" width="16"/>
    <col collapsed="false" customWidth="true" hidden="false" outlineLevel="0" max="7" min="7" style="0" width="24"/>
    <col collapsed="false" customWidth="true" hidden="false" outlineLevel="0" max="8" min="8" style="0" width="16"/>
  </cols>
  <sheetData>
    <row r="1" customFormat="false" ht="19.4"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C4" s="3" t="s">
        <v>3</v>
      </c>
      <c r="E4" s="3" t="s">
        <v>4</v>
      </c>
      <c r="G4" s="3" t="s">
        <v>5</v>
      </c>
    </row>
    <row r="5" customFormat="false" ht="19.7" hidden="false" customHeight="false" outlineLevel="0" collapsed="false">
      <c r="A5" s="4" t="n">
        <f aca="false">会員・預かり資産!D28</f>
        <v>40200</v>
      </c>
      <c r="C5" s="4" t="n">
        <f aca="false">会員・預かり資産!D22</f>
        <v>192</v>
      </c>
      <c r="E5" s="4" t="n">
        <f aca="false">損益計算書!E9</f>
        <v>42423</v>
      </c>
      <c r="G5" s="4" t="n">
        <f aca="false">損益計算書!E28</f>
        <v>9469.9522</v>
      </c>
    </row>
    <row r="7" customFormat="false" ht="15" hidden="false" customHeight="false" outlineLevel="0" collapsed="false">
      <c r="A7" s="3" t="s">
        <v>6</v>
      </c>
      <c r="C7" s="5" t="s">
        <v>7</v>
      </c>
      <c r="E7" s="5" t="s">
        <v>8</v>
      </c>
      <c r="G7" s="5" t="s">
        <v>9</v>
      </c>
    </row>
    <row r="8" customFormat="false" ht="19.7" hidden="false" customHeight="false" outlineLevel="0" collapsed="false">
      <c r="A8" s="4" t="n">
        <f aca="false">損益計算書!E33</f>
        <v>10701.1522</v>
      </c>
      <c r="C8" s="6" t="n">
        <f aca="false">前提!$B$51</f>
        <v>0.4753</v>
      </c>
      <c r="E8" s="7" t="n">
        <f aca="false">会員・預かり資産!D42</f>
        <v>-0.00115018407960199</v>
      </c>
      <c r="G8" s="7" t="n">
        <f aca="false">会員・預かり資産!D43</f>
        <v>0.016849815920398</v>
      </c>
    </row>
    <row r="10" customFormat="false" ht="15" hidden="false" customHeight="false" outlineLevel="0" collapsed="false">
      <c r="A10" s="3" t="s">
        <v>10</v>
      </c>
      <c r="C10" s="5" t="s">
        <v>11</v>
      </c>
      <c r="E10" s="3" t="s">
        <v>12</v>
      </c>
      <c r="G10" s="5" t="s">
        <v>13</v>
      </c>
    </row>
    <row r="11" customFormat="false" ht="19.7" hidden="false" customHeight="false" outlineLevel="0" collapsed="false">
      <c r="A11" s="7" t="n">
        <f aca="false">会員メリット!B17</f>
        <v>0.00778</v>
      </c>
      <c r="C11" s="8" t="n">
        <f aca="false">損益計算書!E41</f>
        <v>1.14313314139945</v>
      </c>
      <c r="E11" s="4" t="n">
        <f aca="false">キャッシュフロー!E11</f>
        <v>-2074.2254</v>
      </c>
      <c r="G11" s="9" t="str">
        <f aca="false">TEXT(損益計算書!D48,"0.000")&amp;" / "&amp;TEXT(損益計算書!D49,"0.000")</f>
        <v>0.452 / 0.475</v>
      </c>
    </row>
    <row r="14" customFormat="false" ht="15" hidden="false" customHeight="false" outlineLevel="0" collapsed="false">
      <c r="A14" s="10" t="s">
        <v>14</v>
      </c>
    </row>
    <row r="15" customFormat="false" ht="15" hidden="false" customHeight="false" outlineLevel="0" collapsed="false">
      <c r="A15" s="11" t="s">
        <v>15</v>
      </c>
      <c r="B15" s="12" t="s">
        <v>16</v>
      </c>
      <c r="C15" s="12" t="s">
        <v>17</v>
      </c>
      <c r="D15" s="12" t="s">
        <v>18</v>
      </c>
      <c r="E15" s="12" t="s">
        <v>19</v>
      </c>
    </row>
    <row r="16" customFormat="false" ht="15" hidden="false" customHeight="false" outlineLevel="0" collapsed="false">
      <c r="A16" s="13" t="s">
        <v>20</v>
      </c>
      <c r="B16" s="14" t="n">
        <f aca="false">損益計算書!B9</f>
        <v>7743.75</v>
      </c>
      <c r="C16" s="14" t="n">
        <f aca="false">損益計算書!C9</f>
        <v>13872.75</v>
      </c>
      <c r="D16" s="14" t="n">
        <f aca="false">損益計算書!D9</f>
        <v>20806.5</v>
      </c>
      <c r="E16" s="15" t="n">
        <f aca="false">SUM(B16:D16)</f>
        <v>42423</v>
      </c>
    </row>
    <row r="17" customFormat="false" ht="15" hidden="false" customHeight="false" outlineLevel="0" collapsed="false">
      <c r="A17" s="13" t="s">
        <v>21</v>
      </c>
      <c r="B17" s="14" t="n">
        <f aca="false">損益計算書!B24</f>
        <v>1898.5155</v>
      </c>
      <c r="C17" s="14" t="n">
        <f aca="false">損益計算書!C24</f>
        <v>3455.6741</v>
      </c>
      <c r="D17" s="14" t="n">
        <f aca="false">損益計算書!D24</f>
        <v>5195.7626</v>
      </c>
      <c r="E17" s="15" t="n">
        <f aca="false">SUM(B17:D17)</f>
        <v>10549.9522</v>
      </c>
    </row>
    <row r="18" customFormat="false" ht="15" hidden="false" customHeight="false" outlineLevel="0" collapsed="false">
      <c r="A18" s="13" t="s">
        <v>22</v>
      </c>
      <c r="B18" s="14" t="n">
        <f aca="false">損益計算書!B28</f>
        <v>1538.5155</v>
      </c>
      <c r="C18" s="14" t="n">
        <f aca="false">損益計算書!C28</f>
        <v>3095.6741</v>
      </c>
      <c r="D18" s="14" t="n">
        <f aca="false">損益計算書!D28</f>
        <v>4835.7626</v>
      </c>
      <c r="E18" s="15" t="n">
        <f aca="false">SUM(B18:D18)</f>
        <v>9469.9522</v>
      </c>
    </row>
    <row r="19" customFormat="false" ht="15" hidden="false" customHeight="false" outlineLevel="0" collapsed="false">
      <c r="A19" s="13" t="s">
        <v>23</v>
      </c>
      <c r="B19" s="14" t="n">
        <f aca="false">損益計算書!B33</f>
        <v>1673.5155</v>
      </c>
      <c r="C19" s="14" t="n">
        <f aca="false">損益計算書!C33</f>
        <v>3468.2741</v>
      </c>
      <c r="D19" s="14" t="n">
        <f aca="false">損益計算書!D33</f>
        <v>5559.3626</v>
      </c>
      <c r="E19" s="15" t="n">
        <f aca="false">SUM(B19:D19)</f>
        <v>10701.1522</v>
      </c>
    </row>
    <row r="20" customFormat="false" ht="15" hidden="false" customHeight="false" outlineLevel="0" collapsed="false">
      <c r="A20" s="13" t="s">
        <v>24</v>
      </c>
      <c r="B20" s="14" t="n">
        <f aca="false">会員・預かり資産!B40</f>
        <v>-8.48450000000003</v>
      </c>
      <c r="C20" s="14" t="n">
        <f aca="false">会員・預かり資産!C40</f>
        <v>-21.3259000000001</v>
      </c>
      <c r="D20" s="14" t="n">
        <f aca="false">会員・預かり資産!D40</f>
        <v>-46.2374000000001</v>
      </c>
      <c r="E20" s="15" t="n">
        <f aca="false">SUM(B20:D20)</f>
        <v>-76.0478000000002</v>
      </c>
    </row>
    <row r="21" customFormat="false" ht="15" hidden="false" customHeight="false" outlineLevel="0" collapsed="false">
      <c r="A21" s="13" t="s">
        <v>25</v>
      </c>
      <c r="B21" s="14" t="n">
        <f aca="false">会員・預かり資産!B41</f>
        <v>126.5155</v>
      </c>
      <c r="C21" s="14" t="n">
        <f aca="false">会員・預かり資産!C41</f>
        <v>351.2741</v>
      </c>
      <c r="D21" s="14" t="n">
        <f aca="false">会員・預かり資産!D41</f>
        <v>677.3626</v>
      </c>
      <c r="E21" s="15" t="n">
        <f aca="false">SUM(B21:D21)</f>
        <v>1155.1522</v>
      </c>
    </row>
    <row r="22" customFormat="false" ht="15" hidden="false" customHeight="false" outlineLevel="0" collapsed="false">
      <c r="A22" s="13" t="s">
        <v>26</v>
      </c>
      <c r="B22" s="14" t="n">
        <f aca="false">マイル計算!B13</f>
        <v>173.4845</v>
      </c>
      <c r="C22" s="14" t="n">
        <f aca="false">マイル計算!C13</f>
        <v>476.7259</v>
      </c>
      <c r="D22" s="14" t="n">
        <f aca="false">マイル計算!D13</f>
        <v>930.6374</v>
      </c>
      <c r="E22" s="15" t="n">
        <f aca="false">SUM(B22:D22)</f>
        <v>1580.8478</v>
      </c>
    </row>
    <row r="23" customFormat="false" ht="15" hidden="false" customHeight="false" outlineLevel="0" collapsed="false">
      <c r="A23" s="13" t="s">
        <v>27</v>
      </c>
      <c r="B23" s="14" t="n">
        <f aca="false">マイル計算!B14</f>
        <v>88.5125</v>
      </c>
      <c r="C23" s="14" t="n">
        <f aca="false">マイル計算!C14</f>
        <v>328.1995</v>
      </c>
      <c r="D23" s="14" t="n">
        <f aca="false">マイル計算!D14</f>
        <v>708.3134</v>
      </c>
      <c r="E23" s="15" t="n">
        <f aca="false">SUM(B23:D23)</f>
        <v>1125.0254</v>
      </c>
    </row>
    <row r="24" customFormat="false" ht="15" hidden="false" customHeight="false" outlineLevel="0" collapsed="false">
      <c r="A24" s="13" t="s">
        <v>28</v>
      </c>
      <c r="B24" s="14" t="n">
        <f aca="false">キャッシュフロー!B11</f>
        <v>-10376.5125</v>
      </c>
      <c r="C24" s="14" t="n">
        <f aca="false">キャッシュフロー!C11</f>
        <v>3244.2005</v>
      </c>
      <c r="D24" s="14" t="n">
        <f aca="false">キャッシュフロー!D11</f>
        <v>5058.0866</v>
      </c>
      <c r="E24" s="15" t="n">
        <f aca="false">SUM(B24:D24)</f>
        <v>-2074.2254</v>
      </c>
    </row>
    <row r="25" customFormat="false" ht="15" hidden="false" customHeight="false" outlineLevel="0" collapsed="false">
      <c r="A25" s="13" t="s">
        <v>29</v>
      </c>
      <c r="B25" s="14" t="n">
        <f aca="false">会員・預かり資産!B28</f>
        <v>7500</v>
      </c>
      <c r="C25" s="14" t="n">
        <f aca="false">会員・預かり資産!C28</f>
        <v>20700</v>
      </c>
      <c r="D25" s="14" t="n">
        <f aca="false">会員・預かり資産!D28</f>
        <v>40200</v>
      </c>
      <c r="E25" s="15" t="n">
        <f aca="false">D25</f>
        <v>40200</v>
      </c>
    </row>
    <row r="27" customFormat="false" ht="15" hidden="false" customHeight="false" outlineLevel="0" collapsed="false">
      <c r="A27" s="10" t="s">
        <v>30</v>
      </c>
    </row>
    <row r="28" customFormat="false" ht="15" hidden="false" customHeight="false" outlineLevel="0" collapsed="false">
      <c r="A28" s="16" t="str">
        <f aca="false">"Q1「レストランは1.0でなく0.8でもよいのでは」→ 感度分析Aの通り、0.8にすると当社利幅は改善するが、"&amp;"100万会員の実質メリットは "&amp;TEXT(感度分析!F6,"#,##0")&amp;"円 → "&amp;TEXT(感度分析!F8,"#,##0")&amp;"円へ縮小する。"</f>
        <v>Q1「レストランは1.0でなく0.8でもよいのでは」→ 感度分析Aの通り、0.8にすると当社利幅は改善するが、100万会員の実質メリットは 7,780円 → 5,600円へ縮小する。</v>
      </c>
    </row>
    <row r="29" customFormat="false" ht="15" hidden="false" customHeight="false" outlineLevel="0" collapsed="false">
      <c r="A29" s="16" t="str">
        <f aca="false">"   代わりに感度分析Bの通り、レートは1.0のまま原価率を90%→55%（平日オフピーク枠に限定）にすれば、"&amp;"利幅は "&amp;TEXT(感度分析!C6,"0.00%")&amp;" → "&amp;TEXT(感度分析!C15,"0.00%")&amp;" と、0.8にする以上の改善を会員メリットを一切削らずに得られる。"</f>
        <v>   代わりに感度分析Bの通り、レートは1.0のまま原価率を90%→55%（平日オフピーク枠に限定）にすれば、利幅は -0.11% → 0.35% と、0.8にする以上の改善を会員メリットを一切削らずに得られる。</v>
      </c>
    </row>
    <row r="30" customFormat="false" ht="15" hidden="false" customHeight="false" outlineLevel="0" collapsed="false">
      <c r="A30" s="16" t="s">
        <v>31</v>
      </c>
    </row>
    <row r="31" customFormat="false" ht="15" hidden="false" customHeight="false" outlineLevel="0" collapsed="false">
      <c r="A31" s="16" t="str">
        <f aca="false">"Q3「PL上で回収できるか」→ フロー（ワイン販売粗利）依存度は "&amp;TEXT(損益計算書!E41,"0.0%")&amp;"。"&amp;"100%を下回るほどストック単体で自立していることを意味する。"</f>
        <v>Q3「PL上で回収できるか」→ フロー（ワイン販売粗利）依存度は 114.3%。100%を下回るほどストック単体で自立していることを意味する。</v>
      </c>
    </row>
    <row r="32" customFormat="false" ht="15" hidden="false" customHeight="false" outlineLevel="0" collapsed="false">
      <c r="A32" s="17" t="s">
        <v>32</v>
      </c>
    </row>
    <row r="33" customFormat="false" ht="15" hidden="false" customHeight="false" outlineLevel="0" collapsed="false">
      <c r="A33" s="17"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18"/>
    <col collapsed="false" customWidth="true" hidden="false" outlineLevel="0" max="5" min="4" style="0" width="14"/>
    <col collapsed="false" customWidth="true" hidden="false" outlineLevel="0" max="7" min="6" style="0" width="20"/>
    <col collapsed="false" customWidth="true" hidden="false" outlineLevel="0" max="8" min="8" style="0" width="74"/>
  </cols>
  <sheetData>
    <row r="1" customFormat="false" ht="19.4" hidden="false" customHeight="false" outlineLevel="0" collapsed="false">
      <c r="A1" s="1" t="s">
        <v>34</v>
      </c>
    </row>
    <row r="2" customFormat="false" ht="15" hidden="false" customHeight="false" outlineLevel="0" collapsed="false">
      <c r="A2" s="2" t="s">
        <v>35</v>
      </c>
    </row>
    <row r="4" customFormat="false" ht="15" hidden="false" customHeight="false" outlineLevel="0" collapsed="false">
      <c r="A4" s="10" t="s">
        <v>36</v>
      </c>
    </row>
    <row r="5" customFormat="false" ht="15" hidden="false" customHeight="false" outlineLevel="0" collapsed="false">
      <c r="A5" s="11" t="s">
        <v>37</v>
      </c>
      <c r="B5" s="12" t="s">
        <v>38</v>
      </c>
      <c r="C5" s="11" t="s">
        <v>39</v>
      </c>
      <c r="D5" s="11" t="s">
        <v>40</v>
      </c>
      <c r="E5" s="12" t="s">
        <v>41</v>
      </c>
      <c r="F5" s="12" t="s">
        <v>42</v>
      </c>
      <c r="G5" s="12" t="s">
        <v>43</v>
      </c>
      <c r="H5" s="11" t="s">
        <v>44</v>
      </c>
    </row>
    <row r="6" customFormat="false" ht="15" hidden="false" customHeight="false" outlineLevel="0" collapsed="false">
      <c r="A6" s="18" t="s">
        <v>45</v>
      </c>
      <c r="B6" s="19" t="n">
        <v>100</v>
      </c>
      <c r="C6" s="20" t="n">
        <v>0.0275</v>
      </c>
      <c r="D6" s="20" t="n">
        <v>0.04</v>
      </c>
      <c r="E6" s="19" t="n">
        <v>30</v>
      </c>
      <c r="F6" s="19" t="n">
        <v>52</v>
      </c>
      <c r="G6" s="19" t="n">
        <v>70</v>
      </c>
      <c r="H6" s="2" t="s">
        <v>46</v>
      </c>
    </row>
    <row r="7" customFormat="false" ht="15" hidden="false" customHeight="false" outlineLevel="0" collapsed="false">
      <c r="A7" s="18" t="s">
        <v>47</v>
      </c>
      <c r="B7" s="19" t="n">
        <v>500</v>
      </c>
      <c r="C7" s="20" t="n">
        <v>0.0275</v>
      </c>
      <c r="D7" s="20" t="n">
        <v>0.05</v>
      </c>
      <c r="E7" s="19" t="n">
        <v>5</v>
      </c>
      <c r="F7" s="19" t="n">
        <v>10</v>
      </c>
      <c r="G7" s="19" t="n">
        <v>15</v>
      </c>
      <c r="H7" s="2" t="s">
        <v>46</v>
      </c>
    </row>
    <row r="8" customFormat="false" ht="15" hidden="false" customHeight="false" outlineLevel="0" collapsed="false">
      <c r="A8" s="18" t="s">
        <v>48</v>
      </c>
      <c r="B8" s="19" t="n">
        <v>1000</v>
      </c>
      <c r="C8" s="20" t="n">
        <v>0.0275</v>
      </c>
      <c r="D8" s="20" t="n">
        <v>0.06</v>
      </c>
      <c r="E8" s="19" t="n">
        <v>2</v>
      </c>
      <c r="F8" s="19" t="n">
        <v>3</v>
      </c>
      <c r="G8" s="19" t="n">
        <v>5</v>
      </c>
      <c r="H8" s="2" t="s">
        <v>46</v>
      </c>
    </row>
    <row r="9" customFormat="false" ht="15" hidden="false" customHeight="false" outlineLevel="0" collapsed="false">
      <c r="A9" s="21" t="s">
        <v>49</v>
      </c>
      <c r="E9" s="22" t="n">
        <f aca="false">SUM(E6:E8)</f>
        <v>37</v>
      </c>
      <c r="F9" s="22" t="n">
        <f aca="false">SUM(F6:F8)</f>
        <v>65</v>
      </c>
      <c r="G9" s="22" t="n">
        <f aca="false">SUM(G6:G8)</f>
        <v>90</v>
      </c>
    </row>
    <row r="10" customFormat="false" ht="15" hidden="false" customHeight="false" outlineLevel="0" collapsed="false">
      <c r="A10" s="21" t="s">
        <v>50</v>
      </c>
      <c r="E10" s="22" t="n">
        <f aca="false">$B$6*E6+$B$7*E7+$B$8*E8</f>
        <v>7500</v>
      </c>
      <c r="F10" s="22" t="n">
        <f aca="false">$B$6*F6+$B$7*F7+$B$8*F8</f>
        <v>13200</v>
      </c>
      <c r="G10" s="22" t="n">
        <f aca="false">$B$6*G6+$B$7*G7+$B$8*G8</f>
        <v>19500</v>
      </c>
    </row>
    <row r="11" customFormat="false" ht="15" hidden="false" customHeight="false" outlineLevel="0" collapsed="false">
      <c r="A11" s="23" t="s">
        <v>51</v>
      </c>
      <c r="E11" s="24" t="n">
        <f aca="false">IF(E10=0,0,($B$6*$D$6*E6+$B$7*$D$7*E7+$B$8*$D$8*E8)/E10)</f>
        <v>0.0486666666666667</v>
      </c>
      <c r="F11" s="24" t="n">
        <f aca="false">IF(F10=0,0,($B$6*$D$6*F6+$B$7*$D$7*F7+$B$8*$D$8*F8)/F10)</f>
        <v>0.0483333333333333</v>
      </c>
      <c r="G11" s="24" t="n">
        <f aca="false">IF(G10=0,0,($B$6*$D$6*G6+$B$7*$D$7*G7+$B$8*$D$8*G8)/G10)</f>
        <v>0.048974358974359</v>
      </c>
    </row>
    <row r="12" customFormat="false" ht="15" hidden="false" customHeight="false" outlineLevel="0" collapsed="false">
      <c r="A12" s="23" t="s">
        <v>52</v>
      </c>
      <c r="E12" s="25" t="n">
        <v>1</v>
      </c>
      <c r="F12" s="25" t="n">
        <v>1</v>
      </c>
      <c r="G12" s="25" t="n">
        <v>1</v>
      </c>
      <c r="H12" s="26" t="s">
        <v>53</v>
      </c>
    </row>
    <row r="13" customFormat="false" ht="15" hidden="false" customHeight="false" outlineLevel="0" collapsed="false">
      <c r="A13" s="21" t="s">
        <v>54</v>
      </c>
      <c r="E13" s="27" t="n">
        <f aca="false">E10*E12</f>
        <v>7500</v>
      </c>
      <c r="F13" s="27" t="n">
        <f aca="false">F10*F12</f>
        <v>13200</v>
      </c>
      <c r="G13" s="27" t="n">
        <f aca="false">G10*G12</f>
        <v>19500</v>
      </c>
    </row>
    <row r="15" customFormat="false" ht="15" hidden="false" customHeight="false" outlineLevel="0" collapsed="false">
      <c r="A15" s="10" t="s">
        <v>55</v>
      </c>
    </row>
    <row r="16" customFormat="false" ht="15" hidden="false" customHeight="false" outlineLevel="0" collapsed="false">
      <c r="A16" s="23" t="s">
        <v>56</v>
      </c>
      <c r="B16" s="20" t="n">
        <v>0.3</v>
      </c>
      <c r="H16" s="2" t="s">
        <v>57</v>
      </c>
    </row>
    <row r="17" customFormat="false" ht="15" hidden="false" customHeight="false" outlineLevel="0" collapsed="false">
      <c r="A17" s="23" t="s">
        <v>58</v>
      </c>
      <c r="B17" s="20" t="n">
        <v>0.06</v>
      </c>
      <c r="H17" s="2" t="s">
        <v>59</v>
      </c>
    </row>
    <row r="18" customFormat="false" ht="15" hidden="false" customHeight="false" outlineLevel="0" collapsed="false">
      <c r="A18" s="23" t="s">
        <v>60</v>
      </c>
      <c r="B18" s="20" t="n">
        <v>0.3</v>
      </c>
      <c r="H18" s="2" t="s">
        <v>61</v>
      </c>
    </row>
    <row r="19" customFormat="false" ht="15" hidden="false" customHeight="false" outlineLevel="0" collapsed="false">
      <c r="A19" s="23" t="s">
        <v>62</v>
      </c>
      <c r="B19" s="20" t="n">
        <v>0.0105</v>
      </c>
      <c r="H19" s="2" t="s">
        <v>63</v>
      </c>
    </row>
    <row r="20" customFormat="false" ht="15" hidden="false" customHeight="false" outlineLevel="0" collapsed="false">
      <c r="A20" s="23" t="s">
        <v>64</v>
      </c>
      <c r="B20" s="28" t="n">
        <v>1</v>
      </c>
      <c r="H20" s="2" t="s">
        <v>65</v>
      </c>
    </row>
    <row r="21" customFormat="false" ht="15" hidden="false" customHeight="false" outlineLevel="0" collapsed="false">
      <c r="A21" s="23" t="s">
        <v>66</v>
      </c>
      <c r="B21" s="20" t="n">
        <v>0</v>
      </c>
      <c r="H21" s="2" t="s">
        <v>67</v>
      </c>
    </row>
    <row r="22" customFormat="false" ht="15" hidden="false" customHeight="false" outlineLevel="0" collapsed="false">
      <c r="A22" s="0" t="s">
        <v>68</v>
      </c>
      <c r="B22" s="29" t="n">
        <v>0.8</v>
      </c>
      <c r="H22" s="26" t="s">
        <v>69</v>
      </c>
    </row>
    <row r="23" customFormat="false" ht="15" hidden="false" customHeight="false" outlineLevel="0" collapsed="false">
      <c r="A23" s="0" t="s">
        <v>70</v>
      </c>
      <c r="B23" s="29" t="n">
        <v>5</v>
      </c>
      <c r="H23" s="26" t="s">
        <v>71</v>
      </c>
    </row>
    <row r="24" customFormat="false" ht="15" hidden="false" customHeight="false" outlineLevel="0" collapsed="false">
      <c r="A24" s="23" t="s">
        <v>72</v>
      </c>
      <c r="B24" s="30" t="n">
        <f aca="false">IF(B23=0,0,B22/B23)</f>
        <v>0.16</v>
      </c>
    </row>
    <row r="25" customFormat="false" ht="15" hidden="false" customHeight="false" outlineLevel="0" collapsed="false">
      <c r="A25" s="0" t="s">
        <v>73</v>
      </c>
      <c r="B25" s="31" t="n">
        <f aca="false">IF(B22=0,0,B23/B22)</f>
        <v>6.25</v>
      </c>
    </row>
    <row r="27" customFormat="false" ht="15" hidden="false" customHeight="false" outlineLevel="0" collapsed="false">
      <c r="A27" s="10" t="s">
        <v>74</v>
      </c>
    </row>
    <row r="28" customFormat="false" ht="15" hidden="false" customHeight="false" outlineLevel="0" collapsed="false">
      <c r="A28" s="23" t="s">
        <v>75</v>
      </c>
      <c r="B28" s="28" t="n">
        <v>0.1</v>
      </c>
      <c r="H28" s="2" t="s">
        <v>76</v>
      </c>
    </row>
    <row r="29" customFormat="false" ht="15" hidden="false" customHeight="false" outlineLevel="0" collapsed="false">
      <c r="A29" s="23" t="s">
        <v>77</v>
      </c>
      <c r="B29" s="28" t="n">
        <v>0.5</v>
      </c>
      <c r="H29" s="2" t="s">
        <v>78</v>
      </c>
    </row>
    <row r="30" customFormat="false" ht="15" hidden="false" customHeight="false" outlineLevel="0" collapsed="false">
      <c r="A30" s="23" t="s">
        <v>79</v>
      </c>
      <c r="B30" s="28" t="n">
        <v>0.1</v>
      </c>
      <c r="H30" s="2" t="s">
        <v>80</v>
      </c>
    </row>
    <row r="31" customFormat="false" ht="15" hidden="false" customHeight="false" outlineLevel="0" collapsed="false">
      <c r="A31" s="23" t="s">
        <v>81</v>
      </c>
      <c r="B31" s="28" t="n">
        <v>0</v>
      </c>
      <c r="H31" s="2" t="s">
        <v>82</v>
      </c>
    </row>
    <row r="32" customFormat="false" ht="15" hidden="false" customHeight="false" outlineLevel="0" collapsed="false">
      <c r="A32" s="21" t="s">
        <v>83</v>
      </c>
      <c r="B32" s="32" t="n">
        <f aca="false">B28*B29*(B30+B31)</f>
        <v>0.005</v>
      </c>
      <c r="H32" s="2" t="s">
        <v>84</v>
      </c>
    </row>
    <row r="34" customFormat="false" ht="15" hidden="false" customHeight="false" outlineLevel="0" collapsed="false">
      <c r="A34" s="10" t="s">
        <v>85</v>
      </c>
    </row>
    <row r="35" customFormat="false" ht="15" hidden="false" customHeight="false" outlineLevel="0" collapsed="false">
      <c r="A35" s="23" t="s">
        <v>86</v>
      </c>
      <c r="B35" s="28" t="n">
        <v>0.98</v>
      </c>
      <c r="H35" s="2" t="s">
        <v>87</v>
      </c>
    </row>
    <row r="36" customFormat="false" ht="15" hidden="false" customHeight="false" outlineLevel="0" collapsed="false">
      <c r="A36" s="23" t="s">
        <v>88</v>
      </c>
      <c r="B36" s="28" t="n">
        <v>0.5</v>
      </c>
      <c r="H36" s="2" t="s">
        <v>89</v>
      </c>
    </row>
    <row r="37" customFormat="false" ht="15" hidden="false" customHeight="false" outlineLevel="0" collapsed="false">
      <c r="A37" s="23" t="s">
        <v>90</v>
      </c>
      <c r="B37" s="28" t="n">
        <v>0.48</v>
      </c>
      <c r="H37" s="2" t="s">
        <v>91</v>
      </c>
    </row>
    <row r="38" customFormat="false" ht="15" hidden="false" customHeight="false" outlineLevel="0" collapsed="false">
      <c r="A38" s="23" t="s">
        <v>92</v>
      </c>
      <c r="B38" s="28" t="n">
        <v>0.02</v>
      </c>
      <c r="H38" s="26" t="s">
        <v>93</v>
      </c>
    </row>
    <row r="39" customFormat="false" ht="15" hidden="false" customHeight="false" outlineLevel="0" collapsed="false">
      <c r="A39" s="21" t="s">
        <v>94</v>
      </c>
      <c r="B39" s="33" t="n">
        <f aca="false">SUM(B36:B38)</f>
        <v>1</v>
      </c>
    </row>
    <row r="41" customFormat="false" ht="15" hidden="false" customHeight="false" outlineLevel="0" collapsed="false">
      <c r="A41" s="10" t="s">
        <v>95</v>
      </c>
    </row>
    <row r="42" customFormat="false" ht="15" hidden="false" customHeight="false" outlineLevel="0" collapsed="false">
      <c r="A42" s="11" t="s">
        <v>96</v>
      </c>
      <c r="B42" s="11" t="s">
        <v>97</v>
      </c>
      <c r="C42" s="11" t="s">
        <v>98</v>
      </c>
      <c r="D42" s="11" t="s">
        <v>99</v>
      </c>
      <c r="E42" s="11" t="s">
        <v>100</v>
      </c>
      <c r="F42" s="11" t="s">
        <v>101</v>
      </c>
      <c r="G42" s="11" t="s">
        <v>102</v>
      </c>
      <c r="H42" s="11" t="s">
        <v>103</v>
      </c>
    </row>
    <row r="43" customFormat="false" ht="15" hidden="false" customHeight="false" outlineLevel="0" collapsed="false">
      <c r="A43" s="13" t="s">
        <v>104</v>
      </c>
      <c r="B43" s="29" t="n">
        <v>27.8</v>
      </c>
      <c r="C43" s="34" t="n">
        <f aca="false">IF(SUM($B$43:$B$49)=0,0,B43/SUM($B$43:$B$49))</f>
        <v>0.278</v>
      </c>
      <c r="D43" s="35" t="n">
        <v>1</v>
      </c>
      <c r="E43" s="28" t="n">
        <v>0.9</v>
      </c>
      <c r="F43" s="36" t="n">
        <f aca="false">D43*E43</f>
        <v>0.9</v>
      </c>
      <c r="G43" s="36" t="n">
        <f aca="false">D43</f>
        <v>1</v>
      </c>
      <c r="H43" s="2" t="s">
        <v>105</v>
      </c>
    </row>
    <row r="44" customFormat="false" ht="15" hidden="false" customHeight="false" outlineLevel="0" collapsed="false">
      <c r="A44" s="13" t="s">
        <v>106</v>
      </c>
      <c r="B44" s="29" t="n">
        <v>20</v>
      </c>
      <c r="C44" s="34" t="n">
        <f aca="false">IF(SUM($B$43:$B$49)=0,0,B44/SUM($B$43:$B$49))</f>
        <v>0.2</v>
      </c>
      <c r="D44" s="35" t="n">
        <v>0.5</v>
      </c>
      <c r="E44" s="28" t="n">
        <v>0.9</v>
      </c>
      <c r="F44" s="36" t="n">
        <f aca="false">D44*E44</f>
        <v>0.45</v>
      </c>
      <c r="G44" s="36" t="n">
        <f aca="false">D44</f>
        <v>0.5</v>
      </c>
      <c r="H44" s="2" t="s">
        <v>107</v>
      </c>
    </row>
    <row r="45" customFormat="false" ht="15" hidden="false" customHeight="false" outlineLevel="0" collapsed="false">
      <c r="A45" s="37" t="s">
        <v>108</v>
      </c>
      <c r="B45" s="29" t="n">
        <v>13.3</v>
      </c>
      <c r="C45" s="34" t="n">
        <f aca="false">IF(SUM($B$43:$B$49)=0,0,B45/SUM($B$43:$B$49))</f>
        <v>0.133</v>
      </c>
      <c r="D45" s="35" t="n">
        <v>1</v>
      </c>
      <c r="E45" s="28" t="n">
        <v>0</v>
      </c>
      <c r="F45" s="36" t="n">
        <f aca="false">D45*E45</f>
        <v>0</v>
      </c>
      <c r="G45" s="36" t="n">
        <f aca="false">D45</f>
        <v>1</v>
      </c>
      <c r="H45" s="2" t="s">
        <v>109</v>
      </c>
    </row>
    <row r="46" customFormat="false" ht="15" hidden="false" customHeight="false" outlineLevel="0" collapsed="false">
      <c r="A46" s="13" t="s">
        <v>110</v>
      </c>
      <c r="B46" s="29" t="n">
        <v>13.3</v>
      </c>
      <c r="C46" s="34" t="n">
        <f aca="false">IF(SUM($B$43:$B$49)=0,0,B46/SUM($B$43:$B$49))</f>
        <v>0.133</v>
      </c>
      <c r="D46" s="35" t="n">
        <v>1</v>
      </c>
      <c r="E46" s="28" t="n">
        <v>0</v>
      </c>
      <c r="F46" s="36" t="n">
        <f aca="false">D46*E46</f>
        <v>0</v>
      </c>
      <c r="G46" s="36" t="n">
        <f aca="false">D46</f>
        <v>1</v>
      </c>
      <c r="H46" s="2" t="s">
        <v>111</v>
      </c>
    </row>
    <row r="47" customFormat="false" ht="15" hidden="false" customHeight="false" outlineLevel="0" collapsed="false">
      <c r="A47" s="13" t="s">
        <v>112</v>
      </c>
      <c r="B47" s="29" t="n">
        <v>11.1</v>
      </c>
      <c r="C47" s="34" t="n">
        <f aca="false">IF(SUM($B$43:$B$49)=0,0,B47/SUM($B$43:$B$49))</f>
        <v>0.111</v>
      </c>
      <c r="D47" s="35" t="n">
        <v>1</v>
      </c>
      <c r="E47" s="28" t="n">
        <v>0.5</v>
      </c>
      <c r="F47" s="36" t="n">
        <f aca="false">D47*E47</f>
        <v>0.5</v>
      </c>
      <c r="G47" s="36" t="n">
        <f aca="false">D47</f>
        <v>1</v>
      </c>
      <c r="H47" s="2" t="s">
        <v>113</v>
      </c>
    </row>
    <row r="48" customFormat="false" ht="15" hidden="false" customHeight="false" outlineLevel="0" collapsed="false">
      <c r="A48" s="13" t="s">
        <v>114</v>
      </c>
      <c r="B48" s="29" t="n">
        <v>8.9</v>
      </c>
      <c r="C48" s="34" t="n">
        <f aca="false">IF(SUM($B$43:$B$49)=0,0,B48/SUM($B$43:$B$49))</f>
        <v>0.089</v>
      </c>
      <c r="D48" s="35" t="n">
        <v>1</v>
      </c>
      <c r="E48" s="28" t="n">
        <v>0.5</v>
      </c>
      <c r="F48" s="36" t="n">
        <f aca="false">D48*E48</f>
        <v>0.5</v>
      </c>
      <c r="G48" s="36" t="n">
        <f aca="false">D48</f>
        <v>1</v>
      </c>
      <c r="H48" s="2" t="s">
        <v>113</v>
      </c>
    </row>
    <row r="49" customFormat="false" ht="15" hidden="false" customHeight="false" outlineLevel="0" collapsed="false">
      <c r="A49" s="13" t="s">
        <v>115</v>
      </c>
      <c r="B49" s="29" t="n">
        <v>5.6</v>
      </c>
      <c r="C49" s="34" t="n">
        <f aca="false">IF(SUM($B$43:$B$49)=0,0,B49/SUM($B$43:$B$49))</f>
        <v>0.056</v>
      </c>
      <c r="D49" s="35" t="n">
        <v>1</v>
      </c>
      <c r="E49" s="28" t="n">
        <v>0.8</v>
      </c>
      <c r="F49" s="36" t="n">
        <f aca="false">D49*E49</f>
        <v>0.8</v>
      </c>
      <c r="G49" s="36" t="n">
        <f aca="false">D49</f>
        <v>1</v>
      </c>
      <c r="H49" s="2" t="s">
        <v>116</v>
      </c>
    </row>
    <row r="50" customFormat="false" ht="15" hidden="false" customHeight="false" outlineLevel="0" collapsed="false">
      <c r="A50" s="21" t="s">
        <v>117</v>
      </c>
      <c r="B50" s="38" t="n">
        <f aca="false">SUM(B43:B49)</f>
        <v>100</v>
      </c>
      <c r="C50" s="33" t="n">
        <f aca="false">SUM(C43:C49)</f>
        <v>1</v>
      </c>
      <c r="F50" s="39" t="n">
        <f aca="false">SUMPRODUCT(C43:C49,F43:F49)</f>
        <v>0.485</v>
      </c>
      <c r="G50" s="39" t="n">
        <f aca="false">SUMPRODUCT(C43:C49,G43:G49)</f>
        <v>0.9</v>
      </c>
    </row>
    <row r="51" customFormat="false" ht="15" hidden="false" customHeight="false" outlineLevel="0" collapsed="false">
      <c r="A51" s="21" t="s">
        <v>118</v>
      </c>
      <c r="B51" s="40" t="n">
        <f aca="false">B35*F50</f>
        <v>0.4753</v>
      </c>
      <c r="H51" s="2" t="s">
        <v>119</v>
      </c>
    </row>
    <row r="52" customFormat="false" ht="15" hidden="false" customHeight="false" outlineLevel="0" collapsed="false">
      <c r="A52" s="21" t="s">
        <v>120</v>
      </c>
      <c r="B52" s="40" t="n">
        <f aca="false">B35*G50</f>
        <v>0.882</v>
      </c>
      <c r="H52" s="2" t="s">
        <v>121</v>
      </c>
    </row>
    <row r="53" customFormat="false" ht="15" hidden="false" customHeight="false" outlineLevel="0" collapsed="false">
      <c r="A53" s="23" t="s">
        <v>122</v>
      </c>
      <c r="B53" s="24" t="n">
        <f aca="false">E11*B51</f>
        <v>0.0231312666666667</v>
      </c>
    </row>
    <row r="55" customFormat="false" ht="15" hidden="false" customHeight="false" outlineLevel="0" collapsed="false">
      <c r="A55" s="10" t="s">
        <v>123</v>
      </c>
    </row>
    <row r="56" customFormat="false" ht="15" hidden="false" customHeight="false" outlineLevel="0" collapsed="false">
      <c r="A56" s="11" t="s">
        <v>124</v>
      </c>
      <c r="B56" s="12" t="s">
        <v>16</v>
      </c>
      <c r="C56" s="12" t="s">
        <v>17</v>
      </c>
      <c r="D56" s="12" t="s">
        <v>18</v>
      </c>
      <c r="E56" s="11"/>
      <c r="F56" s="11"/>
      <c r="G56" s="11"/>
      <c r="H56" s="11" t="s">
        <v>44</v>
      </c>
    </row>
    <row r="57" customFormat="false" ht="15" hidden="false" customHeight="false" outlineLevel="0" collapsed="false">
      <c r="A57" s="13" t="s">
        <v>125</v>
      </c>
      <c r="B57" s="19" t="n">
        <v>0</v>
      </c>
      <c r="C57" s="19" t="n">
        <v>0</v>
      </c>
      <c r="D57" s="19" t="n">
        <v>0</v>
      </c>
      <c r="H57" s="2" t="s">
        <v>126</v>
      </c>
    </row>
    <row r="58" customFormat="false" ht="15" hidden="false" customHeight="false" outlineLevel="0" collapsed="false">
      <c r="A58" s="13" t="s">
        <v>127</v>
      </c>
      <c r="B58" s="19" t="n">
        <v>0</v>
      </c>
      <c r="C58" s="19" t="n">
        <v>0</v>
      </c>
      <c r="D58" s="19" t="n">
        <v>0</v>
      </c>
      <c r="H58" s="2" t="s">
        <v>128</v>
      </c>
    </row>
    <row r="59" customFormat="false" ht="15" hidden="false" customHeight="false" outlineLevel="0" collapsed="false">
      <c r="A59" s="13" t="s">
        <v>129</v>
      </c>
      <c r="B59" s="19" t="n">
        <v>0</v>
      </c>
      <c r="C59" s="19" t="n">
        <v>0</v>
      </c>
      <c r="D59" s="19" t="n">
        <v>0</v>
      </c>
      <c r="H59" s="2" t="s">
        <v>130</v>
      </c>
    </row>
    <row r="60" customFormat="false" ht="15" hidden="false" customHeight="false" outlineLevel="0" collapsed="false">
      <c r="A60" s="13" t="s">
        <v>131</v>
      </c>
      <c r="B60" s="19" t="n">
        <v>0</v>
      </c>
      <c r="C60" s="19" t="n">
        <v>0</v>
      </c>
      <c r="D60" s="19" t="n">
        <v>0</v>
      </c>
      <c r="H60" s="2" t="s">
        <v>128</v>
      </c>
    </row>
    <row r="61" customFormat="false" ht="15" hidden="false" customHeight="false" outlineLevel="0" collapsed="false">
      <c r="A61" s="13" t="s">
        <v>132</v>
      </c>
      <c r="B61" s="19" t="n">
        <v>158</v>
      </c>
      <c r="C61" s="19" t="n">
        <v>158</v>
      </c>
      <c r="D61" s="19" t="n">
        <v>158</v>
      </c>
      <c r="H61" s="2" t="s">
        <v>133</v>
      </c>
    </row>
    <row r="62" customFormat="false" ht="15" hidden="false" customHeight="false" outlineLevel="0" collapsed="false">
      <c r="A62" s="13" t="s">
        <v>134</v>
      </c>
      <c r="B62" s="19" t="n">
        <v>360</v>
      </c>
      <c r="C62" s="19" t="n">
        <v>360</v>
      </c>
      <c r="D62" s="19" t="n">
        <v>360</v>
      </c>
      <c r="H62" s="2" t="s">
        <v>135</v>
      </c>
    </row>
    <row r="64" customFormat="false" ht="15" hidden="false" customHeight="false" outlineLevel="0" collapsed="false">
      <c r="A64" s="10" t="s">
        <v>136</v>
      </c>
    </row>
    <row r="65" customFormat="false" ht="15" hidden="false" customHeight="false" outlineLevel="0" collapsed="false">
      <c r="A65" s="13" t="s">
        <v>137</v>
      </c>
      <c r="B65" s="19" t="n">
        <v>12000</v>
      </c>
      <c r="C65" s="19" t="n">
        <v>0</v>
      </c>
      <c r="D65" s="19" t="n">
        <v>0</v>
      </c>
      <c r="H65" s="26" t="s">
        <v>138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4" min="2" style="0" width="14"/>
    <col collapsed="false" customWidth="true" hidden="false" outlineLevel="0" max="5" min="5" style="0" width="52"/>
  </cols>
  <sheetData>
    <row r="1" customFormat="false" ht="19.4" hidden="false" customHeight="false" outlineLevel="0" collapsed="false">
      <c r="A1" s="41" t="s">
        <v>139</v>
      </c>
    </row>
    <row r="2" customFormat="false" ht="15" hidden="false" customHeight="false" outlineLevel="0" collapsed="false">
      <c r="A2" s="2" t="s">
        <v>140</v>
      </c>
    </row>
    <row r="4" customFormat="false" ht="15" hidden="false" customHeight="false" outlineLevel="0" collapsed="false">
      <c r="A4" s="10" t="s">
        <v>141</v>
      </c>
    </row>
    <row r="5" customFormat="false" ht="15" hidden="false" customHeight="false" outlineLevel="0" collapsed="false">
      <c r="A5" s="11" t="s">
        <v>124</v>
      </c>
      <c r="B5" s="12" t="s">
        <v>16</v>
      </c>
      <c r="C5" s="12" t="s">
        <v>17</v>
      </c>
      <c r="D5" s="12" t="s">
        <v>18</v>
      </c>
      <c r="E5" s="11" t="s">
        <v>103</v>
      </c>
    </row>
    <row r="6" customFormat="false" ht="15" hidden="false" customHeight="false" outlineLevel="0" collapsed="false">
      <c r="A6" s="0" t="s">
        <v>142</v>
      </c>
      <c r="B6" s="27" t="n">
        <f aca="false">前提!E6</f>
        <v>30</v>
      </c>
      <c r="C6" s="27" t="n">
        <f aca="false">前提!F6</f>
        <v>52</v>
      </c>
      <c r="D6" s="27" t="n">
        <f aca="false">前提!G6</f>
        <v>70</v>
      </c>
      <c r="E6" s="2"/>
    </row>
    <row r="7" customFormat="false" ht="15" hidden="false" customHeight="false" outlineLevel="0" collapsed="false">
      <c r="A7" s="0" t="s">
        <v>143</v>
      </c>
      <c r="B7" s="27" t="n">
        <f aca="false">前提!E7</f>
        <v>5</v>
      </c>
      <c r="C7" s="27" t="n">
        <f aca="false">前提!F7</f>
        <v>10</v>
      </c>
      <c r="D7" s="27" t="n">
        <f aca="false">前提!G7</f>
        <v>15</v>
      </c>
      <c r="E7" s="2"/>
    </row>
    <row r="8" customFormat="false" ht="15" hidden="false" customHeight="false" outlineLevel="0" collapsed="false">
      <c r="A8" s="0" t="s">
        <v>144</v>
      </c>
      <c r="B8" s="27" t="n">
        <f aca="false">前提!E8</f>
        <v>2</v>
      </c>
      <c r="C8" s="27" t="n">
        <f aca="false">前提!F8</f>
        <v>3</v>
      </c>
      <c r="D8" s="27" t="n">
        <f aca="false">前提!G8</f>
        <v>5</v>
      </c>
      <c r="E8" s="2"/>
    </row>
    <row r="9" customFormat="false" ht="15" hidden="false" customHeight="false" outlineLevel="0" collapsed="false">
      <c r="A9" s="21" t="s">
        <v>145</v>
      </c>
      <c r="B9" s="22" t="n">
        <f aca="false">SUM(B6:B8)</f>
        <v>37</v>
      </c>
      <c r="C9" s="22" t="n">
        <f aca="false">SUM(C6:C8)</f>
        <v>65</v>
      </c>
      <c r="D9" s="22" t="n">
        <f aca="false">SUM(D6:D8)</f>
        <v>90</v>
      </c>
      <c r="E9" s="2"/>
    </row>
    <row r="10" customFormat="false" ht="15" hidden="false" customHeight="false" outlineLevel="0" collapsed="false">
      <c r="A10" s="23" t="s">
        <v>146</v>
      </c>
      <c r="B10" s="27" t="n">
        <f aca="false">IF(前提!$B$22=0,0,B9*前提!$B$23/前提!$B$22)</f>
        <v>231.25</v>
      </c>
      <c r="C10" s="27" t="n">
        <f aca="false">IF(前提!$B$22=0,0,C9*前提!$B$23/前提!$B$22)</f>
        <v>406.25</v>
      </c>
      <c r="D10" s="27" t="n">
        <f aca="false">IF(前提!$B$22=0,0,D9*前提!$B$23/前提!$B$22)</f>
        <v>562.5</v>
      </c>
      <c r="E10" s="26" t="s">
        <v>147</v>
      </c>
    </row>
    <row r="11" customFormat="false" ht="15" hidden="false" customHeight="false" outlineLevel="0" collapsed="false">
      <c r="A11" s="23" t="s">
        <v>148</v>
      </c>
      <c r="B11" s="30" t="n">
        <f aca="false">IF(B10=0,0,B9/B10)</f>
        <v>0.16</v>
      </c>
      <c r="C11" s="30" t="n">
        <f aca="false">IF(C10=0,0,C9/C10)</f>
        <v>0.16</v>
      </c>
      <c r="D11" s="30" t="n">
        <f aca="false">IF(D10=0,0,D9/D10)</f>
        <v>0.16</v>
      </c>
      <c r="E11" s="2"/>
    </row>
    <row r="12" customFormat="false" ht="15" hidden="false" customHeight="false" outlineLevel="0" collapsed="false">
      <c r="A12" s="23" t="s">
        <v>149</v>
      </c>
      <c r="B12" s="27" t="n">
        <f aca="false">B9*前提!$B$23</f>
        <v>185</v>
      </c>
      <c r="C12" s="27" t="n">
        <f aca="false">C9*前提!$B$23</f>
        <v>325</v>
      </c>
      <c r="D12" s="27" t="n">
        <f aca="false">D9*前提!$B$23</f>
        <v>450</v>
      </c>
      <c r="E12" s="2" t="s">
        <v>150</v>
      </c>
    </row>
    <row r="13" customFormat="false" ht="15" hidden="false" customHeight="false" outlineLevel="0" collapsed="false">
      <c r="A13" s="21" t="s">
        <v>151</v>
      </c>
      <c r="B13" s="22" t="n">
        <f aca="false">前提!E10</f>
        <v>7500</v>
      </c>
      <c r="C13" s="22" t="n">
        <f aca="false">前提!F10</f>
        <v>13200</v>
      </c>
      <c r="D13" s="22" t="n">
        <f aca="false">前提!G10</f>
        <v>19500</v>
      </c>
      <c r="E13" s="2"/>
    </row>
    <row r="14" customFormat="false" ht="15" hidden="false" customHeight="false" outlineLevel="0" collapsed="false">
      <c r="A14" s="23" t="s">
        <v>52</v>
      </c>
      <c r="B14" s="30" t="n">
        <f aca="false">前提!E12</f>
        <v>1</v>
      </c>
      <c r="C14" s="30" t="n">
        <f aca="false">前提!F12</f>
        <v>1</v>
      </c>
      <c r="D14" s="30" t="n">
        <f aca="false">前提!G12</f>
        <v>1</v>
      </c>
      <c r="E14" s="2"/>
    </row>
    <row r="15" customFormat="false" ht="15" hidden="false" customHeight="false" outlineLevel="0" collapsed="false">
      <c r="A15" s="21" t="s">
        <v>54</v>
      </c>
      <c r="B15" s="22" t="n">
        <f aca="false">B13*B14</f>
        <v>7500</v>
      </c>
      <c r="C15" s="22" t="n">
        <f aca="false">C13*C14</f>
        <v>13200</v>
      </c>
      <c r="D15" s="22" t="n">
        <f aca="false">D13*D14</f>
        <v>19500</v>
      </c>
      <c r="E15" s="2"/>
    </row>
    <row r="16" customFormat="false" ht="15" hidden="false" customHeight="false" outlineLevel="0" collapsed="false">
      <c r="A16" s="23" t="s">
        <v>152</v>
      </c>
      <c r="B16" s="42" t="n">
        <f aca="false">IF(B9=0,0,B13/B9)</f>
        <v>202.702702702703</v>
      </c>
      <c r="C16" s="42" t="n">
        <f aca="false">IF(C9=0,0,C13/C9)</f>
        <v>203.076923076923</v>
      </c>
      <c r="D16" s="42" t="n">
        <f aca="false">IF(D9=0,0,D13/D9)</f>
        <v>216.666666666667</v>
      </c>
      <c r="E16" s="2"/>
    </row>
    <row r="18" customFormat="false" ht="15" hidden="false" customHeight="false" outlineLevel="0" collapsed="false">
      <c r="A18" s="10" t="s">
        <v>153</v>
      </c>
    </row>
    <row r="19" customFormat="false" ht="15" hidden="false" customHeight="false" outlineLevel="0" collapsed="false">
      <c r="A19" s="0" t="s">
        <v>154</v>
      </c>
      <c r="B19" s="27" t="n">
        <f aca="false">B6</f>
        <v>30</v>
      </c>
      <c r="C19" s="27" t="n">
        <f aca="false">B19*前提!$B$20+C6</f>
        <v>82</v>
      </c>
      <c r="D19" s="27" t="n">
        <f aca="false">C19*前提!$B$20+D6</f>
        <v>152</v>
      </c>
      <c r="E19" s="2" t="s">
        <v>155</v>
      </c>
    </row>
    <row r="20" customFormat="false" ht="15" hidden="false" customHeight="false" outlineLevel="0" collapsed="false">
      <c r="A20" s="0" t="s">
        <v>156</v>
      </c>
      <c r="B20" s="27" t="n">
        <f aca="false">B7</f>
        <v>5</v>
      </c>
      <c r="C20" s="27" t="n">
        <f aca="false">B20*前提!$B$20+C7</f>
        <v>15</v>
      </c>
      <c r="D20" s="27" t="n">
        <f aca="false">C20*前提!$B$20+D7</f>
        <v>30</v>
      </c>
      <c r="E20" s="2" t="s">
        <v>155</v>
      </c>
    </row>
    <row r="21" customFormat="false" ht="15" hidden="false" customHeight="false" outlineLevel="0" collapsed="false">
      <c r="A21" s="0" t="s">
        <v>157</v>
      </c>
      <c r="B21" s="27" t="n">
        <f aca="false">B8</f>
        <v>2</v>
      </c>
      <c r="C21" s="27" t="n">
        <f aca="false">B21*前提!$B$20+C8</f>
        <v>5</v>
      </c>
      <c r="D21" s="27" t="n">
        <f aca="false">C21*前提!$B$20+D8</f>
        <v>10</v>
      </c>
      <c r="E21" s="2" t="s">
        <v>155</v>
      </c>
    </row>
    <row r="22" customFormat="false" ht="15" hidden="false" customHeight="false" outlineLevel="0" collapsed="false">
      <c r="A22" s="21" t="s">
        <v>158</v>
      </c>
      <c r="B22" s="22" t="n">
        <f aca="false">SUM(B19:B21)</f>
        <v>37</v>
      </c>
      <c r="C22" s="22" t="n">
        <f aca="false">SUM(C19:C21)</f>
        <v>102</v>
      </c>
      <c r="D22" s="22" t="n">
        <f aca="false">SUM(D19:D21)</f>
        <v>192</v>
      </c>
    </row>
    <row r="24" customFormat="false" ht="15" hidden="false" customHeight="false" outlineLevel="0" collapsed="false">
      <c r="A24" s="10" t="s">
        <v>159</v>
      </c>
    </row>
    <row r="25" customFormat="false" ht="15" hidden="false" customHeight="false" outlineLevel="0" collapsed="false">
      <c r="A25" s="0" t="s">
        <v>160</v>
      </c>
      <c r="B25" s="27" t="n">
        <f aca="false">B19*前提!$B$6</f>
        <v>3000</v>
      </c>
      <c r="C25" s="27" t="n">
        <f aca="false">C19*前提!$B$6</f>
        <v>8200</v>
      </c>
      <c r="D25" s="27" t="n">
        <f aca="false">D19*前提!$B$6</f>
        <v>15200</v>
      </c>
    </row>
    <row r="26" customFormat="false" ht="15" hidden="false" customHeight="false" outlineLevel="0" collapsed="false">
      <c r="A26" s="0" t="s">
        <v>161</v>
      </c>
      <c r="B26" s="27" t="n">
        <f aca="false">B20*前提!$B$7</f>
        <v>2500</v>
      </c>
      <c r="C26" s="27" t="n">
        <f aca="false">C20*前提!$B$7</f>
        <v>7500</v>
      </c>
      <c r="D26" s="27" t="n">
        <f aca="false">D20*前提!$B$7</f>
        <v>15000</v>
      </c>
    </row>
    <row r="27" customFormat="false" ht="15" hidden="false" customHeight="false" outlineLevel="0" collapsed="false">
      <c r="A27" s="0" t="s">
        <v>162</v>
      </c>
      <c r="B27" s="27" t="n">
        <f aca="false">B21*前提!$B$8</f>
        <v>2000</v>
      </c>
      <c r="C27" s="27" t="n">
        <f aca="false">C21*前提!$B$8</f>
        <v>5000</v>
      </c>
      <c r="D27" s="27" t="n">
        <f aca="false">D21*前提!$B$8</f>
        <v>10000</v>
      </c>
    </row>
    <row r="28" customFormat="false" ht="15" hidden="false" customHeight="false" outlineLevel="0" collapsed="false">
      <c r="A28" s="21" t="s">
        <v>163</v>
      </c>
      <c r="B28" s="43" t="n">
        <f aca="false">SUM(B25:B27)</f>
        <v>7500</v>
      </c>
      <c r="C28" s="43" t="n">
        <f aca="false">SUM(C25:C27)</f>
        <v>20700</v>
      </c>
      <c r="D28" s="43" t="n">
        <f aca="false">SUM(D25:D27)</f>
        <v>40200</v>
      </c>
    </row>
    <row r="29" customFormat="false" ht="15" hidden="false" customHeight="false" outlineLevel="0" collapsed="false">
      <c r="A29" s="23" t="s">
        <v>164</v>
      </c>
      <c r="B29" s="27" t="n">
        <v>0</v>
      </c>
      <c r="C29" s="27" t="n">
        <f aca="false">B28</f>
        <v>7500</v>
      </c>
      <c r="D29" s="27" t="n">
        <f aca="false">C28</f>
        <v>20700</v>
      </c>
    </row>
    <row r="30" customFormat="false" ht="15" hidden="false" customHeight="false" outlineLevel="0" collapsed="false">
      <c r="A30" s="23" t="s">
        <v>165</v>
      </c>
      <c r="B30" s="27" t="n">
        <v>0</v>
      </c>
      <c r="C30" s="27" t="n">
        <f aca="false">B28*前提!$B$20</f>
        <v>7500</v>
      </c>
      <c r="D30" s="27" t="n">
        <f aca="false">C28*前提!$B$20</f>
        <v>20700</v>
      </c>
    </row>
    <row r="31" customFormat="false" ht="15" hidden="false" customHeight="false" outlineLevel="0" collapsed="false">
      <c r="A31" s="23" t="s">
        <v>151</v>
      </c>
      <c r="B31" s="27" t="n">
        <f aca="false">B13</f>
        <v>7500</v>
      </c>
      <c r="C31" s="27" t="n">
        <f aca="false">C13</f>
        <v>13200</v>
      </c>
      <c r="D31" s="27" t="n">
        <f aca="false">D13</f>
        <v>19500</v>
      </c>
    </row>
    <row r="32" customFormat="false" ht="15" hidden="false" customHeight="false" outlineLevel="0" collapsed="false">
      <c r="A32" s="23" t="s">
        <v>166</v>
      </c>
      <c r="B32" s="27" t="n">
        <f aca="false">B30+B31-B28</f>
        <v>0</v>
      </c>
      <c r="C32" s="27" t="n">
        <f aca="false">C30+C31-C28</f>
        <v>0</v>
      </c>
      <c r="D32" s="27" t="n">
        <f aca="false">D30+D31-D28</f>
        <v>0</v>
      </c>
    </row>
    <row r="33" customFormat="false" ht="15" hidden="false" customHeight="false" outlineLevel="0" collapsed="false">
      <c r="A33" s="23" t="s">
        <v>167</v>
      </c>
      <c r="B33" s="27" t="n">
        <f aca="false">B25*前提!$C$6+B26*前提!$C$7+B27*前提!$C$8</f>
        <v>206.25</v>
      </c>
      <c r="C33" s="27" t="n">
        <f aca="false">C25*前提!$C$6+C26*前提!$C$7+C27*前提!$C$8</f>
        <v>569.25</v>
      </c>
      <c r="D33" s="27" t="n">
        <f aca="false">D25*前提!$C$6+D26*前提!$C$7+D27*前提!$C$8</f>
        <v>1105.5</v>
      </c>
      <c r="E33" s="2" t="s">
        <v>168</v>
      </c>
    </row>
    <row r="34" customFormat="false" ht="15" hidden="false" customHeight="false" outlineLevel="0" collapsed="false">
      <c r="A34" s="23" t="s">
        <v>169</v>
      </c>
      <c r="B34" s="27" t="n">
        <f aca="false">B28*前提!$B$19</f>
        <v>78.75</v>
      </c>
      <c r="C34" s="27" t="n">
        <f aca="false">C28*前提!$B$19</f>
        <v>217.35</v>
      </c>
      <c r="D34" s="27" t="n">
        <f aca="false">D28*前提!$B$19</f>
        <v>422.1</v>
      </c>
      <c r="E34" s="2" t="s">
        <v>170</v>
      </c>
    </row>
    <row r="35" customFormat="false" ht="15" hidden="false" customHeight="false" outlineLevel="0" collapsed="false">
      <c r="A35" s="23" t="s">
        <v>171</v>
      </c>
      <c r="B35" s="27" t="n">
        <f aca="false">B28*前提!$B$32</f>
        <v>37.5</v>
      </c>
      <c r="C35" s="27" t="n">
        <f aca="false">C28*前提!$B$32</f>
        <v>103.5</v>
      </c>
      <c r="D35" s="27" t="n">
        <f aca="false">D28*前提!$B$32</f>
        <v>201</v>
      </c>
      <c r="E35" s="2" t="s">
        <v>172</v>
      </c>
    </row>
    <row r="36" customFormat="false" ht="15" hidden="false" customHeight="false" outlineLevel="0" collapsed="false">
      <c r="A36" s="23" t="s">
        <v>173</v>
      </c>
      <c r="B36" s="27" t="n">
        <f aca="false">B25*前提!$D$6+B26*前提!$D$7+B27*前提!$D$8+B28*前提!$B$21</f>
        <v>365</v>
      </c>
      <c r="C36" s="27" t="n">
        <f aca="false">C25*前提!$D$6+C26*前提!$D$7+C27*前提!$D$8+C28*前提!$B$21</f>
        <v>1003</v>
      </c>
      <c r="D36" s="27" t="n">
        <f aca="false">D25*前提!$D$6+D26*前提!$D$7+D27*前提!$D$8+D28*前提!$B$21</f>
        <v>1958</v>
      </c>
      <c r="E36" s="2" t="s">
        <v>174</v>
      </c>
    </row>
    <row r="37" customFormat="false" ht="15" hidden="false" customHeight="false" outlineLevel="0" collapsed="false">
      <c r="A37" s="23" t="s">
        <v>175</v>
      </c>
      <c r="B37" s="24" t="n">
        <f aca="false">IF(B28=0,0,B36/B28)</f>
        <v>0.0486666666666667</v>
      </c>
      <c r="C37" s="24" t="n">
        <f aca="false">IF(C28=0,0,C36/C28)</f>
        <v>0.0484541062801932</v>
      </c>
      <c r="D37" s="24" t="n">
        <f aca="false">IF(D28=0,0,D36/D28)</f>
        <v>0.0487064676616915</v>
      </c>
      <c r="E37" s="2" t="s">
        <v>176</v>
      </c>
    </row>
    <row r="38" customFormat="false" ht="15" hidden="false" customHeight="false" outlineLevel="0" collapsed="false">
      <c r="A38" s="23" t="s">
        <v>177</v>
      </c>
      <c r="B38" s="27" t="n">
        <f aca="false">B28*前提!$B$17*前提!$B$18</f>
        <v>135</v>
      </c>
      <c r="C38" s="27" t="n">
        <f aca="false">C28*前提!$B$17*前提!$B$18</f>
        <v>372.6</v>
      </c>
      <c r="D38" s="27" t="n">
        <f aca="false">D28*前提!$B$17*前提!$B$18</f>
        <v>723.6</v>
      </c>
      <c r="E38" s="2" t="s">
        <v>178</v>
      </c>
    </row>
    <row r="39" customFormat="false" ht="15" hidden="false" customHeight="false" outlineLevel="0" collapsed="false">
      <c r="A39" s="23" t="s">
        <v>179</v>
      </c>
      <c r="B39" s="27" t="n">
        <f aca="false">B36*前提!$B$51</f>
        <v>173.4845</v>
      </c>
      <c r="C39" s="27" t="n">
        <f aca="false">C36*前提!$B$51</f>
        <v>476.7259</v>
      </c>
      <c r="D39" s="27" t="n">
        <f aca="false">D36*前提!$B$51</f>
        <v>930.6374</v>
      </c>
      <c r="E39" s="2" t="s">
        <v>180</v>
      </c>
    </row>
    <row r="40" customFormat="false" ht="15" hidden="false" customHeight="false" outlineLevel="0" collapsed="false">
      <c r="A40" s="21" t="s">
        <v>24</v>
      </c>
      <c r="B40" s="22" t="n">
        <f aca="false">B33-B34+B35-B39</f>
        <v>-8.48450000000003</v>
      </c>
      <c r="C40" s="22" t="n">
        <f aca="false">C33-C34+C35-C39</f>
        <v>-21.3259000000001</v>
      </c>
      <c r="D40" s="22" t="n">
        <f aca="false">D33-D34+D35-D39</f>
        <v>-46.2374000000001</v>
      </c>
      <c r="E40" s="2" t="s">
        <v>181</v>
      </c>
    </row>
    <row r="41" customFormat="false" ht="15" hidden="false" customHeight="false" outlineLevel="0" collapsed="false">
      <c r="A41" s="21" t="s">
        <v>25</v>
      </c>
      <c r="B41" s="22" t="n">
        <f aca="false">B40+B38</f>
        <v>126.5155</v>
      </c>
      <c r="C41" s="22" t="n">
        <f aca="false">C40+C38</f>
        <v>351.2741</v>
      </c>
      <c r="D41" s="22" t="n">
        <f aca="false">D40+D38</f>
        <v>677.3626</v>
      </c>
      <c r="E41" s="2" t="s">
        <v>182</v>
      </c>
    </row>
    <row r="42" customFormat="false" ht="15" hidden="false" customHeight="false" outlineLevel="0" collapsed="false">
      <c r="A42" s="21" t="s">
        <v>8</v>
      </c>
      <c r="B42" s="32" t="n">
        <f aca="false">IF(B28=0,0,B40/B28)</f>
        <v>-0.00113126666666667</v>
      </c>
      <c r="C42" s="32" t="n">
        <f aca="false">IF(C28=0,0,C40/C28)</f>
        <v>-0.00103023671497585</v>
      </c>
      <c r="D42" s="32" t="n">
        <f aca="false">IF(D28=0,0,D40/D28)</f>
        <v>-0.00115018407960199</v>
      </c>
      <c r="E42" s="2" t="s">
        <v>183</v>
      </c>
    </row>
    <row r="43" customFormat="false" ht="15" hidden="false" customHeight="false" outlineLevel="0" collapsed="false">
      <c r="A43" s="23" t="s">
        <v>9</v>
      </c>
      <c r="B43" s="24" t="n">
        <f aca="false">IF(B28=0,0,B41/B28)</f>
        <v>0.0168687333333333</v>
      </c>
      <c r="C43" s="24" t="n">
        <f aca="false">IF(C28=0,0,C41/C28)</f>
        <v>0.0169697632850242</v>
      </c>
      <c r="D43" s="24" t="n">
        <f aca="false">IF(D28=0,0,D41/D28)</f>
        <v>0.016849815920398</v>
      </c>
      <c r="E43" s="2" t="s">
        <v>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6"/>
    <col collapsed="false" customWidth="true" hidden="false" outlineLevel="0" max="9" min="4" style="0" width="13"/>
    <col collapsed="false" customWidth="true" hidden="false" outlineLevel="0" max="10" min="10" style="0" width="46"/>
  </cols>
  <sheetData>
    <row r="1" customFormat="false" ht="19.4" hidden="false" customHeight="false" outlineLevel="0" collapsed="false">
      <c r="A1" s="41" t="s">
        <v>185</v>
      </c>
    </row>
    <row r="2" customFormat="false" ht="15" hidden="false" customHeight="false" outlineLevel="0" collapsed="false">
      <c r="A2" s="26" t="s">
        <v>186</v>
      </c>
    </row>
    <row r="4" customFormat="false" ht="15" hidden="false" customHeight="false" outlineLevel="0" collapsed="false">
      <c r="A4" s="10" t="s">
        <v>187</v>
      </c>
    </row>
    <row r="5" customFormat="false" ht="15" hidden="false" customHeight="false" outlineLevel="0" collapsed="false">
      <c r="A5" s="11" t="s">
        <v>124</v>
      </c>
      <c r="B5" s="12" t="s">
        <v>16</v>
      </c>
      <c r="C5" s="12" t="s">
        <v>17</v>
      </c>
      <c r="D5" s="12" t="s">
        <v>18</v>
      </c>
      <c r="J5" s="44" t="s">
        <v>103</v>
      </c>
    </row>
    <row r="6" customFormat="false" ht="15" hidden="false" customHeight="false" outlineLevel="0" collapsed="false">
      <c r="A6" s="23" t="s">
        <v>188</v>
      </c>
      <c r="B6" s="42" t="n">
        <v>0</v>
      </c>
      <c r="C6" s="42" t="n">
        <f aca="false">B12</f>
        <v>182.5</v>
      </c>
      <c r="D6" s="42" t="n">
        <f aca="false">C12</f>
        <v>501.5</v>
      </c>
      <c r="J6" s="2" t="s">
        <v>189</v>
      </c>
    </row>
    <row r="7" customFormat="false" ht="15" hidden="false" customHeight="false" outlineLevel="0" collapsed="false">
      <c r="A7" s="21" t="s">
        <v>190</v>
      </c>
      <c r="B7" s="45" t="n">
        <f aca="false">会員・預かり資産!B36</f>
        <v>365</v>
      </c>
      <c r="C7" s="45" t="n">
        <f aca="false">会員・預かり資産!C36</f>
        <v>1003</v>
      </c>
      <c r="D7" s="45" t="n">
        <f aca="false">会員・預かり資産!D36</f>
        <v>1958</v>
      </c>
      <c r="J7" s="2" t="s">
        <v>191</v>
      </c>
    </row>
    <row r="8" customFormat="false" ht="15" hidden="false" customHeight="false" outlineLevel="0" collapsed="false">
      <c r="A8" s="23" t="s">
        <v>192</v>
      </c>
      <c r="B8" s="42" t="n">
        <f aca="false">B7*前提!$B$36</f>
        <v>182.5</v>
      </c>
      <c r="C8" s="42" t="n">
        <f aca="false">C7*前提!$B$36</f>
        <v>501.5</v>
      </c>
      <c r="D8" s="42" t="n">
        <f aca="false">D7*前提!$B$36</f>
        <v>979</v>
      </c>
      <c r="J8" s="2" t="s">
        <v>193</v>
      </c>
    </row>
    <row r="9" customFormat="false" ht="15" hidden="false" customHeight="false" outlineLevel="0" collapsed="false">
      <c r="A9" s="23" t="s">
        <v>194</v>
      </c>
      <c r="B9" s="42" t="n">
        <v>0</v>
      </c>
      <c r="C9" s="42" t="n">
        <f aca="false">B7*前提!$B$37</f>
        <v>175.2</v>
      </c>
      <c r="D9" s="42" t="n">
        <f aca="false">C7*前提!$B$37</f>
        <v>481.44</v>
      </c>
      <c r="J9" s="2" t="s">
        <v>195</v>
      </c>
    </row>
    <row r="10" customFormat="false" ht="15" hidden="false" customHeight="false" outlineLevel="0" collapsed="false">
      <c r="A10" s="21" t="s">
        <v>196</v>
      </c>
      <c r="B10" s="45" t="n">
        <f aca="false">B8+B9</f>
        <v>182.5</v>
      </c>
      <c r="C10" s="45" t="n">
        <f aca="false">C8+C9</f>
        <v>676.7</v>
      </c>
      <c r="D10" s="45" t="n">
        <f aca="false">D8+D9</f>
        <v>1460.44</v>
      </c>
      <c r="J10" s="2" t="s">
        <v>197</v>
      </c>
    </row>
    <row r="11" customFormat="false" ht="15" hidden="false" customHeight="false" outlineLevel="0" collapsed="false">
      <c r="A11" s="23" t="s">
        <v>198</v>
      </c>
      <c r="B11" s="42" t="n">
        <v>0</v>
      </c>
      <c r="C11" s="42" t="n">
        <f aca="false">B7*前提!$B$38</f>
        <v>7.3</v>
      </c>
      <c r="D11" s="42" t="n">
        <f aca="false">C7*前提!$B$38</f>
        <v>20.06</v>
      </c>
      <c r="J11" s="2" t="s">
        <v>199</v>
      </c>
    </row>
    <row r="12" customFormat="false" ht="15" hidden="false" customHeight="false" outlineLevel="0" collapsed="false">
      <c r="A12" s="23" t="s">
        <v>200</v>
      </c>
      <c r="B12" s="42" t="n">
        <f aca="false">B6+B7-B10-B11</f>
        <v>182.5</v>
      </c>
      <c r="C12" s="42" t="n">
        <f aca="false">C6+C7-C10-C11</f>
        <v>501.5</v>
      </c>
      <c r="D12" s="42" t="n">
        <f aca="false">D6+D7-D10-D11</f>
        <v>979</v>
      </c>
      <c r="J12" s="2" t="s">
        <v>201</v>
      </c>
    </row>
    <row r="13" customFormat="false" ht="15" hidden="false" customHeight="false" outlineLevel="0" collapsed="false">
      <c r="A13" s="21" t="s">
        <v>202</v>
      </c>
      <c r="B13" s="46" t="n">
        <f aca="false">B7*前提!$B$51</f>
        <v>173.4845</v>
      </c>
      <c r="C13" s="46" t="n">
        <f aca="false">C7*前提!$B$51</f>
        <v>476.7259</v>
      </c>
      <c r="D13" s="46" t="n">
        <f aca="false">D7*前提!$B$51</f>
        <v>930.6374</v>
      </c>
      <c r="J13" s="2" t="s">
        <v>203</v>
      </c>
    </row>
    <row r="14" customFormat="false" ht="15" hidden="false" customHeight="false" outlineLevel="0" collapsed="false">
      <c r="A14" s="23" t="s">
        <v>204</v>
      </c>
      <c r="B14" s="42" t="n">
        <f aca="false">B10*前提!$F$50</f>
        <v>88.5125</v>
      </c>
      <c r="C14" s="42" t="n">
        <f aca="false">C10*前提!$F$50</f>
        <v>328.1995</v>
      </c>
      <c r="D14" s="42" t="n">
        <f aca="false">D10*前提!$F$50</f>
        <v>708.3134</v>
      </c>
      <c r="J14" s="2" t="s">
        <v>205</v>
      </c>
    </row>
    <row r="15" customFormat="false" ht="15" hidden="false" customHeight="false" outlineLevel="0" collapsed="false">
      <c r="A15" s="23" t="s">
        <v>206</v>
      </c>
      <c r="B15" s="42" t="n">
        <f aca="false">B13-B14</f>
        <v>84.972</v>
      </c>
      <c r="C15" s="42" t="n">
        <f aca="false">C13-C14</f>
        <v>148.5264</v>
      </c>
      <c r="D15" s="42" t="n">
        <f aca="false">D13-D14</f>
        <v>222.324</v>
      </c>
      <c r="J15" s="26" t="s">
        <v>207</v>
      </c>
    </row>
    <row r="16" customFormat="false" ht="15" hidden="false" customHeight="false" outlineLevel="0" collapsed="false">
      <c r="A16" s="23" t="s">
        <v>208</v>
      </c>
      <c r="B16" s="42" t="n">
        <f aca="false">B15</f>
        <v>84.972</v>
      </c>
      <c r="C16" s="42" t="n">
        <f aca="false">B16+C15</f>
        <v>233.4984</v>
      </c>
      <c r="D16" s="42" t="n">
        <f aca="false">C16+D15</f>
        <v>455.8224</v>
      </c>
      <c r="J16" s="2" t="s">
        <v>209</v>
      </c>
    </row>
    <row r="17" customFormat="false" ht="15" hidden="false" customHeight="false" outlineLevel="0" collapsed="false">
      <c r="A17" s="23" t="s">
        <v>210</v>
      </c>
      <c r="B17" s="30" t="n">
        <f aca="false">前提!$B$35</f>
        <v>0.98</v>
      </c>
      <c r="C17" s="30" t="n">
        <f aca="false">前提!$B$35</f>
        <v>0.98</v>
      </c>
      <c r="D17" s="30" t="n">
        <f aca="false">前提!$B$35</f>
        <v>0.98</v>
      </c>
      <c r="J17" s="2"/>
    </row>
    <row r="19" customFormat="false" ht="15" hidden="false" customHeight="false" outlineLevel="0" collapsed="false">
      <c r="A19" s="10" t="s">
        <v>211</v>
      </c>
    </row>
    <row r="20" customFormat="false" ht="15" hidden="false" customHeight="false" outlineLevel="0" collapsed="false">
      <c r="A20" s="11" t="s">
        <v>96</v>
      </c>
      <c r="B20" s="11" t="s">
        <v>98</v>
      </c>
      <c r="C20" s="11" t="s">
        <v>212</v>
      </c>
      <c r="D20" s="12" t="s">
        <v>213</v>
      </c>
      <c r="E20" s="12" t="s">
        <v>214</v>
      </c>
      <c r="F20" s="12" t="s">
        <v>215</v>
      </c>
      <c r="G20" s="12" t="s">
        <v>216</v>
      </c>
      <c r="H20" s="12" t="s">
        <v>217</v>
      </c>
      <c r="I20" s="12" t="s">
        <v>218</v>
      </c>
      <c r="J20" s="11" t="s">
        <v>103</v>
      </c>
    </row>
    <row r="21" customFormat="false" ht="15" hidden="false" customHeight="false" outlineLevel="0" collapsed="false">
      <c r="A21" s="37" t="str">
        <f aca="false">前提!A43</f>
        <v>系列レストラン</v>
      </c>
      <c r="B21" s="34" t="n">
        <f aca="false">前提!C43</f>
        <v>0.278</v>
      </c>
      <c r="C21" s="36" t="n">
        <f aca="false">前提!F43</f>
        <v>0.9</v>
      </c>
      <c r="D21" s="47" t="n">
        <f aca="false">$B$10*$B21</f>
        <v>50.735</v>
      </c>
      <c r="E21" s="47" t="n">
        <f aca="false">D21*$C21</f>
        <v>45.6615</v>
      </c>
      <c r="F21" s="47" t="n">
        <f aca="false">$C$10*$B21</f>
        <v>188.1226</v>
      </c>
      <c r="G21" s="47" t="n">
        <f aca="false">F21*$C21</f>
        <v>169.31034</v>
      </c>
      <c r="H21" s="47" t="n">
        <f aca="false">$D$10*$B21</f>
        <v>406.00232</v>
      </c>
      <c r="I21" s="47" t="n">
        <f aca="false">H21*$C21</f>
        <v>365.402088</v>
      </c>
    </row>
    <row r="22" customFormat="false" ht="15" hidden="false" customHeight="false" outlineLevel="0" collapsed="false">
      <c r="A22" s="37" t="str">
        <f aca="false">前提!A44</f>
        <v>グランメゾン（1P=0.5円）</v>
      </c>
      <c r="B22" s="34" t="n">
        <f aca="false">前提!C44</f>
        <v>0.2</v>
      </c>
      <c r="C22" s="36" t="n">
        <f aca="false">前提!F44</f>
        <v>0.45</v>
      </c>
      <c r="D22" s="47" t="n">
        <f aca="false">$B$10*$B22</f>
        <v>36.5</v>
      </c>
      <c r="E22" s="47" t="n">
        <f aca="false">D22*$C22</f>
        <v>16.425</v>
      </c>
      <c r="F22" s="47" t="n">
        <f aca="false">$C$10*$B22</f>
        <v>135.34</v>
      </c>
      <c r="G22" s="47" t="n">
        <f aca="false">F22*$C22</f>
        <v>60.903</v>
      </c>
      <c r="H22" s="47" t="n">
        <f aca="false">$D$10*$B22</f>
        <v>292.088</v>
      </c>
      <c r="I22" s="47" t="n">
        <f aca="false">H22*$C22</f>
        <v>131.4396</v>
      </c>
    </row>
    <row r="23" customFormat="false" ht="15" hidden="false" customHeight="false" outlineLevel="0" collapsed="false">
      <c r="A23" s="37" t="str">
        <f aca="false">前提!A45</f>
        <v>WineBank CLUB 会費充当</v>
      </c>
      <c r="B23" s="34" t="n">
        <f aca="false">前提!C45</f>
        <v>0.133</v>
      </c>
      <c r="C23" s="36" t="n">
        <f aca="false">前提!F45</f>
        <v>0</v>
      </c>
      <c r="D23" s="47" t="n">
        <f aca="false">$B$10*$B23</f>
        <v>24.2725</v>
      </c>
      <c r="E23" s="47" t="n">
        <f aca="false">D23*$C23</f>
        <v>0</v>
      </c>
      <c r="F23" s="47" t="n">
        <f aca="false">$C$10*$B23</f>
        <v>90.0011</v>
      </c>
      <c r="G23" s="47" t="n">
        <f aca="false">F23*$C23</f>
        <v>0</v>
      </c>
      <c r="H23" s="47" t="n">
        <f aca="false">$D$10*$B23</f>
        <v>194.23852</v>
      </c>
      <c r="I23" s="47" t="n">
        <f aca="false">H23*$C23</f>
        <v>0</v>
      </c>
    </row>
    <row r="24" customFormat="false" ht="15" hidden="false" customHeight="false" outlineLevel="0" collapsed="false">
      <c r="A24" s="37" t="str">
        <f aca="false">前提!A46</f>
        <v>オークション参加</v>
      </c>
      <c r="B24" s="34" t="n">
        <f aca="false">前提!C46</f>
        <v>0.133</v>
      </c>
      <c r="C24" s="36" t="n">
        <f aca="false">前提!F46</f>
        <v>0</v>
      </c>
      <c r="D24" s="47" t="n">
        <f aca="false">$B$10*$B24</f>
        <v>24.2725</v>
      </c>
      <c r="E24" s="47" t="n">
        <f aca="false">D24*$C24</f>
        <v>0</v>
      </c>
      <c r="F24" s="47" t="n">
        <f aca="false">$C$10*$B24</f>
        <v>90.0011</v>
      </c>
      <c r="G24" s="47" t="n">
        <f aca="false">F24*$C24</f>
        <v>0</v>
      </c>
      <c r="H24" s="47" t="n">
        <f aca="false">$D$10*$B24</f>
        <v>194.23852</v>
      </c>
      <c r="I24" s="47" t="n">
        <f aca="false">H24*$C24</f>
        <v>0</v>
      </c>
    </row>
    <row r="25" customFormat="false" ht="15" hidden="false" customHeight="false" outlineLevel="0" collapsed="false">
      <c r="A25" s="37" t="str">
        <f aca="false">前提!A47</f>
        <v>ワインスクール</v>
      </c>
      <c r="B25" s="34" t="n">
        <f aca="false">前提!C47</f>
        <v>0.111</v>
      </c>
      <c r="C25" s="36" t="n">
        <f aca="false">前提!F47</f>
        <v>0.5</v>
      </c>
      <c r="D25" s="47" t="n">
        <f aca="false">$B$10*$B25</f>
        <v>20.2575</v>
      </c>
      <c r="E25" s="47" t="n">
        <f aca="false">D25*$C25</f>
        <v>10.12875</v>
      </c>
      <c r="F25" s="47" t="n">
        <f aca="false">$C$10*$B25</f>
        <v>75.1137</v>
      </c>
      <c r="G25" s="47" t="n">
        <f aca="false">F25*$C25</f>
        <v>37.55685</v>
      </c>
      <c r="H25" s="47" t="n">
        <f aca="false">$D$10*$B25</f>
        <v>162.10884</v>
      </c>
      <c r="I25" s="47" t="n">
        <f aca="false">H25*$C25</f>
        <v>81.05442</v>
      </c>
    </row>
    <row r="26" customFormat="false" ht="15" hidden="false" customHeight="false" outlineLevel="0" collapsed="false">
      <c r="A26" s="37" t="str">
        <f aca="false">前提!A48</f>
        <v>会員交流イベント</v>
      </c>
      <c r="B26" s="34" t="n">
        <f aca="false">前提!C48</f>
        <v>0.089</v>
      </c>
      <c r="C26" s="36" t="n">
        <f aca="false">前提!F48</f>
        <v>0.5</v>
      </c>
      <c r="D26" s="47" t="n">
        <f aca="false">$B$10*$B26</f>
        <v>16.2425</v>
      </c>
      <c r="E26" s="47" t="n">
        <f aca="false">D26*$C26</f>
        <v>8.12125</v>
      </c>
      <c r="F26" s="47" t="n">
        <f aca="false">$C$10*$B26</f>
        <v>60.2263</v>
      </c>
      <c r="G26" s="47" t="n">
        <f aca="false">F26*$C26</f>
        <v>30.11315</v>
      </c>
      <c r="H26" s="47" t="n">
        <f aca="false">$D$10*$B26</f>
        <v>129.97916</v>
      </c>
      <c r="I26" s="47" t="n">
        <f aca="false">H26*$C26</f>
        <v>64.98958</v>
      </c>
    </row>
    <row r="27" customFormat="false" ht="15" hidden="false" customHeight="false" outlineLevel="0" collapsed="false">
      <c r="A27" s="37" t="str">
        <f aca="false">前提!A49</f>
        <v>ワイン追加購入</v>
      </c>
      <c r="B27" s="34" t="n">
        <f aca="false">前提!C49</f>
        <v>0.056</v>
      </c>
      <c r="C27" s="36" t="n">
        <f aca="false">前提!F49</f>
        <v>0.8</v>
      </c>
      <c r="D27" s="47" t="n">
        <f aca="false">$B$10*$B27</f>
        <v>10.22</v>
      </c>
      <c r="E27" s="47" t="n">
        <f aca="false">D27*$C27</f>
        <v>8.176</v>
      </c>
      <c r="F27" s="47" t="n">
        <f aca="false">$C$10*$B27</f>
        <v>37.8952</v>
      </c>
      <c r="G27" s="47" t="n">
        <f aca="false">F27*$C27</f>
        <v>30.31616</v>
      </c>
      <c r="H27" s="47" t="n">
        <f aca="false">$D$10*$B27</f>
        <v>81.78464</v>
      </c>
      <c r="I27" s="47" t="n">
        <f aca="false">H27*$C27</f>
        <v>65.427712</v>
      </c>
    </row>
    <row r="28" customFormat="false" ht="15" hidden="false" customHeight="false" outlineLevel="0" collapsed="false">
      <c r="A28" s="21" t="s">
        <v>219</v>
      </c>
      <c r="B28" s="33" t="n">
        <f aca="false">SUM(B21:B27)</f>
        <v>1</v>
      </c>
      <c r="D28" s="45" t="n">
        <f aca="false">SUM(D21:D27)</f>
        <v>182.5</v>
      </c>
      <c r="E28" s="45" t="n">
        <f aca="false">SUM(E21:E27)</f>
        <v>88.5125</v>
      </c>
      <c r="F28" s="45" t="n">
        <f aca="false">SUM(F21:F27)</f>
        <v>676.7</v>
      </c>
      <c r="G28" s="45" t="n">
        <f aca="false">SUM(G21:G27)</f>
        <v>328.1995</v>
      </c>
      <c r="H28" s="45" t="n">
        <f aca="false">SUM(H21:H27)</f>
        <v>1460.44</v>
      </c>
      <c r="I28" s="45" t="n">
        <f aca="false">SUM(I21:I27)</f>
        <v>708.3134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5" min="2" style="0" width="14"/>
    <col collapsed="false" customWidth="true" hidden="false" outlineLevel="0" max="6" min="6" style="0" width="62"/>
  </cols>
  <sheetData>
    <row r="1" customFormat="false" ht="19.4" hidden="false" customHeight="false" outlineLevel="0" collapsed="false">
      <c r="A1" s="41" t="s">
        <v>220</v>
      </c>
    </row>
    <row r="2" customFormat="false" ht="15" hidden="false" customHeight="false" outlineLevel="0" collapsed="false">
      <c r="A2" s="2" t="s">
        <v>221</v>
      </c>
    </row>
    <row r="4" customFormat="false" ht="15" hidden="false" customHeight="false" outlineLevel="0" collapsed="false">
      <c r="A4" s="11"/>
      <c r="B4" s="12" t="s">
        <v>16</v>
      </c>
      <c r="C4" s="12" t="s">
        <v>17</v>
      </c>
      <c r="D4" s="12" t="s">
        <v>18</v>
      </c>
      <c r="E4" s="12" t="s">
        <v>19</v>
      </c>
      <c r="F4" s="11" t="s">
        <v>103</v>
      </c>
    </row>
    <row r="5" customFormat="false" ht="15" hidden="false" customHeight="false" outlineLevel="0" collapsed="false">
      <c r="A5" s="10" t="s">
        <v>222</v>
      </c>
    </row>
    <row r="6" customFormat="false" ht="15" hidden="false" customHeight="false" outlineLevel="0" collapsed="false">
      <c r="A6" s="23" t="s">
        <v>54</v>
      </c>
      <c r="B6" s="27" t="n">
        <f aca="false">会員・預かり資産!B15</f>
        <v>7500</v>
      </c>
      <c r="C6" s="27" t="n">
        <f aca="false">会員・預かり資産!C15</f>
        <v>13200</v>
      </c>
      <c r="D6" s="27" t="n">
        <f aca="false">会員・預かり資産!D15</f>
        <v>19500</v>
      </c>
      <c r="E6" s="27" t="n">
        <f aca="false">SUM(B6:D6)</f>
        <v>40200</v>
      </c>
      <c r="F6" s="2" t="s">
        <v>223</v>
      </c>
    </row>
    <row r="7" customFormat="false" ht="15" hidden="false" customHeight="false" outlineLevel="0" collapsed="false">
      <c r="A7" s="23" t="s">
        <v>167</v>
      </c>
      <c r="B7" s="27" t="n">
        <f aca="false">会員・預かり資産!B33</f>
        <v>206.25</v>
      </c>
      <c r="C7" s="27" t="n">
        <f aca="false">会員・預かり資産!C33</f>
        <v>569.25</v>
      </c>
      <c r="D7" s="27" t="n">
        <f aca="false">会員・預かり資産!D33</f>
        <v>1105.5</v>
      </c>
      <c r="E7" s="27" t="n">
        <f aca="false">SUM(B7:D7)</f>
        <v>1881</v>
      </c>
      <c r="F7" s="2" t="s">
        <v>168</v>
      </c>
    </row>
    <row r="8" customFormat="false" ht="15" hidden="false" customHeight="false" outlineLevel="0" collapsed="false">
      <c r="A8" s="23" t="s">
        <v>171</v>
      </c>
      <c r="B8" s="27" t="n">
        <f aca="false">会員・預かり資産!B35</f>
        <v>37.5</v>
      </c>
      <c r="C8" s="27" t="n">
        <f aca="false">会員・預かり資産!C35</f>
        <v>103.5</v>
      </c>
      <c r="D8" s="27" t="n">
        <f aca="false">会員・預かり資産!D35</f>
        <v>201</v>
      </c>
      <c r="E8" s="27" t="n">
        <f aca="false">SUM(B8:D8)</f>
        <v>342</v>
      </c>
      <c r="F8" s="2" t="s">
        <v>224</v>
      </c>
    </row>
    <row r="9" customFormat="false" ht="15" hidden="false" customHeight="false" outlineLevel="0" collapsed="false">
      <c r="A9" s="21" t="s">
        <v>225</v>
      </c>
      <c r="B9" s="22" t="n">
        <f aca="false">SUM(B6:B8)</f>
        <v>7743.75</v>
      </c>
      <c r="C9" s="22" t="n">
        <f aca="false">SUM(C6:C8)</f>
        <v>13872.75</v>
      </c>
      <c r="D9" s="22" t="n">
        <f aca="false">SUM(D6:D8)</f>
        <v>20806.5</v>
      </c>
      <c r="E9" s="22" t="n">
        <f aca="false">SUM(B9:D9)</f>
        <v>42423</v>
      </c>
      <c r="F9" s="2"/>
    </row>
    <row r="10" customFormat="false" ht="15" hidden="false" customHeight="false" outlineLevel="0" collapsed="false">
      <c r="A10" s="10" t="s">
        <v>226</v>
      </c>
    </row>
    <row r="11" customFormat="false" ht="15" hidden="false" customHeight="false" outlineLevel="0" collapsed="false">
      <c r="A11" s="23" t="s">
        <v>227</v>
      </c>
      <c r="B11" s="27" t="n">
        <f aca="false">B6*(1-前提!$B$16)</f>
        <v>5250</v>
      </c>
      <c r="C11" s="27" t="n">
        <f aca="false">C6*(1-前提!$B$16)</f>
        <v>9240</v>
      </c>
      <c r="D11" s="27" t="n">
        <f aca="false">D6*(1-前提!$B$16)</f>
        <v>13650</v>
      </c>
      <c r="E11" s="27" t="n">
        <f aca="false">SUM(B11:D11)</f>
        <v>28140</v>
      </c>
      <c r="F11" s="2" t="s">
        <v>228</v>
      </c>
    </row>
    <row r="12" customFormat="false" ht="15" hidden="false" customHeight="false" outlineLevel="0" collapsed="false">
      <c r="A12" s="21" t="s">
        <v>229</v>
      </c>
      <c r="B12" s="22" t="n">
        <f aca="false">B9-B11</f>
        <v>2493.75</v>
      </c>
      <c r="C12" s="22" t="n">
        <f aca="false">C9-C11</f>
        <v>4632.75</v>
      </c>
      <c r="D12" s="22" t="n">
        <f aca="false">D9-D11</f>
        <v>7156.5</v>
      </c>
      <c r="E12" s="22" t="n">
        <f aca="false">SUM(B12:D12)</f>
        <v>14283</v>
      </c>
      <c r="F12" s="2"/>
    </row>
    <row r="13" customFormat="false" ht="15" hidden="false" customHeight="false" outlineLevel="0" collapsed="false">
      <c r="A13" s="23" t="s">
        <v>230</v>
      </c>
      <c r="B13" s="30" t="n">
        <f aca="false">IF(B9=0,0,B12/B9)</f>
        <v>0.322033898305085</v>
      </c>
      <c r="C13" s="30" t="n">
        <f aca="false">IF(C9=0,0,C12/C9)</f>
        <v>0.333946045304644</v>
      </c>
      <c r="D13" s="30" t="n">
        <f aca="false">IF(D9=0,0,D12/D9)</f>
        <v>0.343955014058107</v>
      </c>
      <c r="E13" s="30" t="n">
        <f aca="false">IF(E9=0,0,E12/E9)</f>
        <v>0.336680574216816</v>
      </c>
    </row>
    <row r="14" customFormat="false" ht="15" hidden="false" customHeight="false" outlineLevel="0" collapsed="false">
      <c r="A14" s="10" t="s">
        <v>231</v>
      </c>
    </row>
    <row r="15" customFormat="false" ht="15" hidden="false" customHeight="false" outlineLevel="0" collapsed="false">
      <c r="A15" s="23" t="s">
        <v>179</v>
      </c>
      <c r="B15" s="27" t="n">
        <f aca="false">マイル計算!B13</f>
        <v>173.4845</v>
      </c>
      <c r="C15" s="27" t="n">
        <f aca="false">マイル計算!C13</f>
        <v>476.7259</v>
      </c>
      <c r="D15" s="27" t="n">
        <f aca="false">マイル計算!D13</f>
        <v>930.6374</v>
      </c>
      <c r="E15" s="27" t="n">
        <f aca="false">SUM(B15:D15)</f>
        <v>1580.8478</v>
      </c>
      <c r="F15" s="2" t="s">
        <v>180</v>
      </c>
    </row>
    <row r="16" customFormat="false" ht="15" hidden="false" customHeight="false" outlineLevel="0" collapsed="false">
      <c r="A16" s="23" t="s">
        <v>169</v>
      </c>
      <c r="B16" s="27" t="n">
        <f aca="false">会員・預かり資産!B34</f>
        <v>78.75</v>
      </c>
      <c r="C16" s="27" t="n">
        <f aca="false">会員・預かり資産!C34</f>
        <v>217.35</v>
      </c>
      <c r="D16" s="27" t="n">
        <f aca="false">会員・預かり資産!D34</f>
        <v>422.1</v>
      </c>
      <c r="E16" s="27" t="n">
        <f aca="false">SUM(B16:D16)</f>
        <v>718.2</v>
      </c>
      <c r="F16" s="2" t="s">
        <v>232</v>
      </c>
    </row>
    <row r="17" customFormat="false" ht="15" hidden="false" customHeight="false" outlineLevel="0" collapsed="false">
      <c r="A17" s="23" t="s">
        <v>149</v>
      </c>
      <c r="B17" s="27" t="n">
        <f aca="false">会員・預かり資産!B12</f>
        <v>185</v>
      </c>
      <c r="C17" s="27" t="n">
        <f aca="false">会員・預かり資産!C12</f>
        <v>325</v>
      </c>
      <c r="D17" s="27" t="n">
        <f aca="false">会員・預かり資産!D12</f>
        <v>450</v>
      </c>
      <c r="E17" s="27" t="n">
        <f aca="false">SUM(B17:D17)</f>
        <v>960</v>
      </c>
      <c r="F17" s="2" t="s">
        <v>233</v>
      </c>
    </row>
    <row r="18" customFormat="false" ht="15" hidden="false" customHeight="false" outlineLevel="0" collapsed="false">
      <c r="A18" s="23" t="s">
        <v>125</v>
      </c>
      <c r="B18" s="27" t="n">
        <f aca="false">前提!B57</f>
        <v>0</v>
      </c>
      <c r="C18" s="27" t="n">
        <f aca="false">前提!C57</f>
        <v>0</v>
      </c>
      <c r="D18" s="27" t="n">
        <f aca="false">前提!D57</f>
        <v>0</v>
      </c>
      <c r="E18" s="27" t="n">
        <f aca="false">SUM(B18:D18)</f>
        <v>0</v>
      </c>
      <c r="F18" s="2" t="s">
        <v>234</v>
      </c>
    </row>
    <row r="19" customFormat="false" ht="15" hidden="false" customHeight="false" outlineLevel="0" collapsed="false">
      <c r="A19" s="23" t="s">
        <v>127</v>
      </c>
      <c r="B19" s="27" t="n">
        <f aca="false">前提!B58</f>
        <v>0</v>
      </c>
      <c r="C19" s="27" t="n">
        <f aca="false">前提!C58</f>
        <v>0</v>
      </c>
      <c r="D19" s="27" t="n">
        <f aca="false">前提!D58</f>
        <v>0</v>
      </c>
      <c r="E19" s="27" t="n">
        <f aca="false">SUM(B19:D19)</f>
        <v>0</v>
      </c>
      <c r="F19" s="2" t="s">
        <v>234</v>
      </c>
    </row>
    <row r="20" customFormat="false" ht="15" hidden="false" customHeight="false" outlineLevel="0" collapsed="false">
      <c r="A20" s="23" t="s">
        <v>129</v>
      </c>
      <c r="B20" s="27" t="n">
        <f aca="false">前提!B59</f>
        <v>0</v>
      </c>
      <c r="C20" s="27" t="n">
        <f aca="false">前提!C59</f>
        <v>0</v>
      </c>
      <c r="D20" s="27" t="n">
        <f aca="false">前提!D59</f>
        <v>0</v>
      </c>
      <c r="E20" s="27" t="n">
        <f aca="false">SUM(B20:D20)</f>
        <v>0</v>
      </c>
      <c r="F20" s="2" t="s">
        <v>234</v>
      </c>
    </row>
    <row r="21" customFormat="false" ht="15" hidden="false" customHeight="false" outlineLevel="0" collapsed="false">
      <c r="A21" s="23" t="s">
        <v>131</v>
      </c>
      <c r="B21" s="27" t="n">
        <f aca="false">前提!B60</f>
        <v>0</v>
      </c>
      <c r="C21" s="27" t="n">
        <f aca="false">前提!C60</f>
        <v>0</v>
      </c>
      <c r="D21" s="27" t="n">
        <f aca="false">前提!D60</f>
        <v>0</v>
      </c>
      <c r="E21" s="27" t="n">
        <f aca="false">SUM(B21:D21)</f>
        <v>0</v>
      </c>
      <c r="F21" s="2" t="s">
        <v>234</v>
      </c>
    </row>
    <row r="22" customFormat="false" ht="15" hidden="false" customHeight="false" outlineLevel="0" collapsed="false">
      <c r="A22" s="23" t="s">
        <v>132</v>
      </c>
      <c r="B22" s="27" t="n">
        <f aca="false">前提!B61</f>
        <v>158</v>
      </c>
      <c r="C22" s="27" t="n">
        <f aca="false">前提!C61</f>
        <v>158</v>
      </c>
      <c r="D22" s="27" t="n">
        <f aca="false">前提!D61</f>
        <v>158</v>
      </c>
      <c r="E22" s="27" t="n">
        <f aca="false">SUM(B22:D22)</f>
        <v>474</v>
      </c>
      <c r="F22" s="2" t="s">
        <v>234</v>
      </c>
    </row>
    <row r="23" customFormat="false" ht="15" hidden="false" customHeight="false" outlineLevel="0" collapsed="false">
      <c r="A23" s="21" t="s">
        <v>235</v>
      </c>
      <c r="B23" s="22" t="n">
        <f aca="false">SUM(B15:B22)</f>
        <v>595.2345</v>
      </c>
      <c r="C23" s="22" t="n">
        <f aca="false">SUM(C15:C22)</f>
        <v>1177.0759</v>
      </c>
      <c r="D23" s="22" t="n">
        <f aca="false">SUM(D15:D22)</f>
        <v>1960.7374</v>
      </c>
      <c r="E23" s="22" t="n">
        <f aca="false">SUM(B23:D23)</f>
        <v>3733.0478</v>
      </c>
      <c r="F23" s="2"/>
    </row>
    <row r="24" customFormat="false" ht="15" hidden="false" customHeight="false" outlineLevel="0" collapsed="false">
      <c r="A24" s="21" t="s">
        <v>21</v>
      </c>
      <c r="B24" s="43" t="n">
        <f aca="false">B12-B23</f>
        <v>1898.5155</v>
      </c>
      <c r="C24" s="43" t="n">
        <f aca="false">C12-C23</f>
        <v>3455.6741</v>
      </c>
      <c r="D24" s="43" t="n">
        <f aca="false">D12-D23</f>
        <v>5195.7626</v>
      </c>
      <c r="E24" s="43" t="n">
        <f aca="false">SUM(B24:D24)</f>
        <v>10549.9522</v>
      </c>
      <c r="F24" s="2"/>
    </row>
    <row r="25" customFormat="false" ht="15" hidden="false" customHeight="false" outlineLevel="0" collapsed="false">
      <c r="A25" s="23" t="s">
        <v>236</v>
      </c>
      <c r="B25" s="30" t="n">
        <f aca="false">IF(B9=0,0,B24/B9)</f>
        <v>0.245167457627119</v>
      </c>
      <c r="C25" s="30" t="n">
        <f aca="false">IF(C9=0,0,C24/C9)</f>
        <v>0.249097987060965</v>
      </c>
      <c r="D25" s="30" t="n">
        <f aca="false">IF(D9=0,0,D24/D9)</f>
        <v>0.249718241895562</v>
      </c>
      <c r="E25" s="30" t="n">
        <f aca="false">IF(E9=0,0,E24/E9)</f>
        <v>0.248684727624166</v>
      </c>
    </row>
    <row r="26" customFormat="false" ht="15" hidden="false" customHeight="false" outlineLevel="0" collapsed="false">
      <c r="A26" s="10" t="s">
        <v>237</v>
      </c>
    </row>
    <row r="27" customFormat="false" ht="15" hidden="false" customHeight="false" outlineLevel="0" collapsed="false">
      <c r="A27" s="23" t="s">
        <v>134</v>
      </c>
      <c r="B27" s="27" t="n">
        <f aca="false">前提!B62</f>
        <v>360</v>
      </c>
      <c r="C27" s="27" t="n">
        <f aca="false">前提!C62</f>
        <v>360</v>
      </c>
      <c r="D27" s="27" t="n">
        <f aca="false">前提!D62</f>
        <v>360</v>
      </c>
      <c r="E27" s="27" t="n">
        <f aca="false">SUM(B27:D27)</f>
        <v>1080</v>
      </c>
      <c r="F27" s="2" t="s">
        <v>238</v>
      </c>
    </row>
    <row r="28" customFormat="false" ht="15" hidden="false" customHeight="false" outlineLevel="0" collapsed="false">
      <c r="A28" s="21" t="s">
        <v>22</v>
      </c>
      <c r="B28" s="43" t="n">
        <f aca="false">B24-B27</f>
        <v>1538.5155</v>
      </c>
      <c r="C28" s="43" t="n">
        <f aca="false">C24-C27</f>
        <v>3095.6741</v>
      </c>
      <c r="D28" s="43" t="n">
        <f aca="false">D24-D27</f>
        <v>4835.7626</v>
      </c>
      <c r="E28" s="43" t="n">
        <f aca="false">SUM(B28:D28)</f>
        <v>9469.9522</v>
      </c>
      <c r="F28" s="2"/>
    </row>
    <row r="29" customFormat="false" ht="15" hidden="false" customHeight="false" outlineLevel="0" collapsed="false">
      <c r="A29" s="23" t="s">
        <v>239</v>
      </c>
      <c r="B29" s="30" t="n">
        <f aca="false">IF(B9=0,0,B28/B9)</f>
        <v>0.198678353510896</v>
      </c>
      <c r="C29" s="30" t="n">
        <f aca="false">IF(C9=0,0,C28/C9)</f>
        <v>0.223147832981925</v>
      </c>
      <c r="D29" s="30" t="n">
        <f aca="false">IF(D9=0,0,D28/D9)</f>
        <v>0.232415956552039</v>
      </c>
      <c r="E29" s="30" t="n">
        <f aca="false">IF(E9=0,0,E28/E9)</f>
        <v>0.223226839214577</v>
      </c>
    </row>
    <row r="31" customFormat="false" ht="15" hidden="false" customHeight="false" outlineLevel="0" collapsed="false">
      <c r="A31" s="10" t="s">
        <v>240</v>
      </c>
    </row>
    <row r="32" customFormat="false" ht="15" hidden="false" customHeight="false" outlineLevel="0" collapsed="false">
      <c r="A32" s="23" t="s">
        <v>241</v>
      </c>
      <c r="B32" s="27" t="n">
        <f aca="false">会員・預かり資産!B38</f>
        <v>135</v>
      </c>
      <c r="C32" s="27" t="n">
        <f aca="false">会員・預かり資産!C38</f>
        <v>372.6</v>
      </c>
      <c r="D32" s="27" t="n">
        <f aca="false">会員・預かり資産!D38</f>
        <v>723.6</v>
      </c>
      <c r="E32" s="27" t="n">
        <f aca="false">SUM(B32:D32)</f>
        <v>1231.2</v>
      </c>
      <c r="F32" s="2" t="s">
        <v>178</v>
      </c>
    </row>
    <row r="33" customFormat="false" ht="15" hidden="false" customHeight="false" outlineLevel="0" collapsed="false">
      <c r="A33" s="21" t="s">
        <v>242</v>
      </c>
      <c r="B33" s="22" t="n">
        <f aca="false">B28+B32</f>
        <v>1673.5155</v>
      </c>
      <c r="C33" s="22" t="n">
        <f aca="false">C28+C32</f>
        <v>3468.2741</v>
      </c>
      <c r="D33" s="22" t="n">
        <f aca="false">D28+D32</f>
        <v>5559.3626</v>
      </c>
      <c r="E33" s="22" t="n">
        <f aca="false">SUM(B33:D33)</f>
        <v>10701.1522</v>
      </c>
      <c r="F33" s="2"/>
    </row>
    <row r="35" customFormat="false" ht="15" hidden="false" customHeight="false" outlineLevel="0" collapsed="false">
      <c r="A35" s="10" t="s">
        <v>243</v>
      </c>
    </row>
    <row r="36" customFormat="false" ht="15" hidden="false" customHeight="false" outlineLevel="0" collapsed="false">
      <c r="A36" s="23" t="s">
        <v>244</v>
      </c>
      <c r="B36" s="27" t="n">
        <f aca="false">B6-B11</f>
        <v>2250</v>
      </c>
      <c r="C36" s="27" t="n">
        <f aca="false">C6-C11</f>
        <v>3960</v>
      </c>
      <c r="D36" s="27" t="n">
        <f aca="false">D6-D11</f>
        <v>5850</v>
      </c>
      <c r="E36" s="27" t="n">
        <f aca="false">SUM(B36:D36)</f>
        <v>12060</v>
      </c>
      <c r="F36" s="2" t="s">
        <v>245</v>
      </c>
    </row>
    <row r="37" customFormat="false" ht="15" hidden="false" customHeight="false" outlineLevel="0" collapsed="false">
      <c r="A37" s="23" t="s">
        <v>24</v>
      </c>
      <c r="B37" s="27" t="n">
        <f aca="false">会員・預かり資産!B40</f>
        <v>-8.48450000000003</v>
      </c>
      <c r="C37" s="27" t="n">
        <f aca="false">会員・預かり資産!C40</f>
        <v>-21.3259000000001</v>
      </c>
      <c r="D37" s="27" t="n">
        <f aca="false">会員・預かり資産!D40</f>
        <v>-46.2374000000001</v>
      </c>
      <c r="E37" s="27" t="n">
        <f aca="false">SUM(B37:D37)</f>
        <v>-76.0478000000002</v>
      </c>
      <c r="F37" s="2" t="s">
        <v>246</v>
      </c>
    </row>
    <row r="38" customFormat="false" ht="15" hidden="false" customHeight="false" outlineLevel="0" collapsed="false">
      <c r="A38" s="23" t="s">
        <v>149</v>
      </c>
      <c r="B38" s="27" t="n">
        <f aca="false">-会員・預かり資産!B12</f>
        <v>-185</v>
      </c>
      <c r="C38" s="27" t="n">
        <f aca="false">-会員・預かり資産!C12</f>
        <v>-325</v>
      </c>
      <c r="D38" s="27" t="n">
        <f aca="false">-会員・預かり資産!D12</f>
        <v>-450</v>
      </c>
      <c r="E38" s="27" t="n">
        <f aca="false">SUM(B38:D38)</f>
        <v>-960</v>
      </c>
      <c r="F38" s="2"/>
    </row>
    <row r="39" customFormat="false" ht="15" hidden="false" customHeight="false" outlineLevel="0" collapsed="false">
      <c r="A39" s="23" t="s">
        <v>247</v>
      </c>
      <c r="B39" s="27" t="n">
        <f aca="false">-SUM(B18:B22)</f>
        <v>-158</v>
      </c>
      <c r="C39" s="27" t="n">
        <f aca="false">-SUM(C18:C22)</f>
        <v>-158</v>
      </c>
      <c r="D39" s="27" t="n">
        <f aca="false">-SUM(D18:D22)</f>
        <v>-158</v>
      </c>
      <c r="E39" s="27" t="n">
        <f aca="false">SUM(B39:D39)</f>
        <v>-474</v>
      </c>
      <c r="F39" s="2"/>
    </row>
    <row r="40" customFormat="false" ht="15" hidden="false" customHeight="false" outlineLevel="0" collapsed="false">
      <c r="A40" s="21" t="s">
        <v>248</v>
      </c>
      <c r="B40" s="22" t="n">
        <f aca="false">SUM(B36:B39)</f>
        <v>1898.5155</v>
      </c>
      <c r="C40" s="22" t="n">
        <f aca="false">SUM(C36:C39)</f>
        <v>3455.6741</v>
      </c>
      <c r="D40" s="22" t="n">
        <f aca="false">SUM(D36:D39)</f>
        <v>5195.7626</v>
      </c>
      <c r="E40" s="22" t="n">
        <f aca="false">SUM(B40:D40)</f>
        <v>10549.9522</v>
      </c>
      <c r="F40" s="2"/>
    </row>
    <row r="41" customFormat="false" ht="15" hidden="false" customHeight="false" outlineLevel="0" collapsed="false">
      <c r="A41" s="21" t="s">
        <v>11</v>
      </c>
      <c r="B41" s="33" t="n">
        <f aca="false">IF(B24=0,0,B36/B24)</f>
        <v>1.1851364921698</v>
      </c>
      <c r="C41" s="33" t="n">
        <f aca="false">IF(C24=0,0,C36/C24)</f>
        <v>1.14594139534165</v>
      </c>
      <c r="D41" s="33" t="n">
        <f aca="false">IF(D24=0,0,D36/D24)</f>
        <v>1.12591749284311</v>
      </c>
      <c r="E41" s="33" t="n">
        <f aca="false">IF(E24=0,0,E36/E24)</f>
        <v>1.14313314139945</v>
      </c>
      <c r="F41" s="26" t="s">
        <v>249</v>
      </c>
    </row>
    <row r="43" customFormat="false" ht="15" hidden="false" customHeight="false" outlineLevel="0" collapsed="false">
      <c r="A43" s="10" t="s">
        <v>250</v>
      </c>
    </row>
    <row r="44" customFormat="false" ht="15" hidden="false" customHeight="false" outlineLevel="0" collapsed="false">
      <c r="A44" s="21" t="s">
        <v>24</v>
      </c>
      <c r="B44" s="22" t="n">
        <f aca="false">会員・預かり資産!B40</f>
        <v>-8.48450000000003</v>
      </c>
      <c r="C44" s="22" t="n">
        <f aca="false">会員・預かり資産!C40</f>
        <v>-21.3259000000001</v>
      </c>
      <c r="D44" s="22" t="n">
        <f aca="false">会員・預かり資産!D40</f>
        <v>-46.2374000000001</v>
      </c>
      <c r="E44" s="22" t="n">
        <f aca="false">SUM(B44:D44)</f>
        <v>-76.0478000000002</v>
      </c>
      <c r="F44" s="2"/>
    </row>
    <row r="45" customFormat="false" ht="15" hidden="false" customHeight="false" outlineLevel="0" collapsed="false">
      <c r="A45" s="21" t="s">
        <v>25</v>
      </c>
      <c r="B45" s="22" t="n">
        <f aca="false">会員・預かり資産!B41</f>
        <v>126.5155</v>
      </c>
      <c r="C45" s="22" t="n">
        <f aca="false">会員・預かり資産!C41</f>
        <v>351.2741</v>
      </c>
      <c r="D45" s="22" t="n">
        <f aca="false">会員・預かり資産!D41</f>
        <v>677.3626</v>
      </c>
      <c r="E45" s="22" t="n">
        <f aca="false">SUM(B45:D45)</f>
        <v>1155.1522</v>
      </c>
      <c r="F45" s="2"/>
    </row>
    <row r="46" customFormat="false" ht="15" hidden="false" customHeight="false" outlineLevel="0" collapsed="false">
      <c r="A46" s="23" t="s">
        <v>8</v>
      </c>
      <c r="B46" s="24" t="n">
        <f aca="false">会員・預かり資産!B42</f>
        <v>-0.00113126666666667</v>
      </c>
      <c r="C46" s="24" t="n">
        <f aca="false">会員・預かり資産!C42</f>
        <v>-0.00103023671497585</v>
      </c>
      <c r="D46" s="24" t="n">
        <f aca="false">会員・預かり資産!D42</f>
        <v>-0.00115018407960199</v>
      </c>
    </row>
    <row r="47" customFormat="false" ht="15" hidden="false" customHeight="false" outlineLevel="0" collapsed="false">
      <c r="A47" s="23" t="s">
        <v>9</v>
      </c>
      <c r="B47" s="24" t="n">
        <f aca="false">会員・預かり資産!B43</f>
        <v>0.0168687333333333</v>
      </c>
      <c r="C47" s="24" t="n">
        <f aca="false">会員・預かり資産!C43</f>
        <v>0.0169697632850242</v>
      </c>
      <c r="D47" s="24" t="n">
        <f aca="false">会員・預かり資産!D43</f>
        <v>0.016849815920398</v>
      </c>
    </row>
    <row r="48" customFormat="false" ht="15" hidden="false" customHeight="false" outlineLevel="0" collapsed="false">
      <c r="A48" s="21" t="s">
        <v>251</v>
      </c>
      <c r="B48" s="39" t="n">
        <f aca="false">IF(会員・預かり資産!B37=0,0,(前提!$C$6-前提!$B$19+前提!$B$32)/会員・預かり資産!B37)</f>
        <v>0.452054794520548</v>
      </c>
      <c r="C48" s="39" t="n">
        <f aca="false">IF(会員・預かり資産!C37=0,0,(前提!$C$6-前提!$B$19+前提!$B$32)/会員・預かり資産!C37)</f>
        <v>0.454037886340977</v>
      </c>
      <c r="D48" s="39" t="n">
        <f aca="false">IF(会員・預かり資産!D37=0,0,(前提!$C$6-前提!$B$19+前提!$B$32)/会員・預かり資産!D37)</f>
        <v>0.451685393258427</v>
      </c>
    </row>
    <row r="49" customFormat="false" ht="15" hidden="false" customHeight="false" outlineLevel="0" collapsed="false">
      <c r="A49" s="21" t="s">
        <v>252</v>
      </c>
      <c r="B49" s="39" t="n">
        <f aca="false">前提!$B$51</f>
        <v>0.4753</v>
      </c>
      <c r="C49" s="39" t="n">
        <f aca="false">前提!$B$51</f>
        <v>0.4753</v>
      </c>
      <c r="D49" s="39" t="n">
        <f aca="false">前提!$B$51</f>
        <v>0.4753</v>
      </c>
    </row>
    <row r="50" customFormat="false" ht="15" hidden="false" customHeight="false" outlineLevel="0" collapsed="false">
      <c r="A50" s="21" t="s">
        <v>253</v>
      </c>
      <c r="B50" s="48" t="str">
        <f aca="false">IF(B49&lt;=B48,"OK：ストック単体で黒字","要改善：成功報酬前は赤字")</f>
        <v>要改善：成功報酬前は赤字</v>
      </c>
      <c r="C50" s="48" t="str">
        <f aca="false">IF(C49&lt;=C48,"OK：ストック単体で黒字","要改善：成功報酬前は赤字")</f>
        <v>要改善：成功報酬前は赤字</v>
      </c>
      <c r="D50" s="48" t="str">
        <f aca="false">IF(D49&lt;=D48,"OK：ストック単体で黒字","要改善：成功報酬前は赤字")</f>
        <v>要改善：成功報酬前は赤字</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4"/>
    <col collapsed="false" customWidth="true" hidden="false" outlineLevel="0" max="6" min="6" style="0" width="52"/>
  </cols>
  <sheetData>
    <row r="1" customFormat="false" ht="19.4" hidden="false" customHeight="false" outlineLevel="0" collapsed="false">
      <c r="A1" s="41" t="s">
        <v>254</v>
      </c>
    </row>
    <row r="2" customFormat="false" ht="15" hidden="false" customHeight="false" outlineLevel="0" collapsed="false">
      <c r="A2" s="2" t="s">
        <v>255</v>
      </c>
    </row>
    <row r="4" customFormat="false" ht="15" hidden="false" customHeight="false" outlineLevel="0" collapsed="false">
      <c r="A4" s="11" t="s">
        <v>124</v>
      </c>
      <c r="B4" s="12" t="s">
        <v>16</v>
      </c>
      <c r="C4" s="12" t="s">
        <v>17</v>
      </c>
      <c r="D4" s="12" t="s">
        <v>18</v>
      </c>
      <c r="E4" s="12" t="s">
        <v>19</v>
      </c>
      <c r="F4" s="11" t="s">
        <v>103</v>
      </c>
    </row>
    <row r="5" customFormat="false" ht="15" hidden="false" customHeight="false" outlineLevel="0" collapsed="false">
      <c r="A5" s="23" t="s">
        <v>21</v>
      </c>
      <c r="B5" s="27" t="n">
        <f aca="false">損益計算書!B24</f>
        <v>1898.5155</v>
      </c>
      <c r="C5" s="27" t="n">
        <f aca="false">損益計算書!C24</f>
        <v>3455.6741</v>
      </c>
      <c r="D5" s="27" t="n">
        <f aca="false">損益計算書!D24</f>
        <v>5195.7626</v>
      </c>
      <c r="E5" s="27" t="n">
        <f aca="false">SUM(B5:D5)</f>
        <v>10549.9522</v>
      </c>
      <c r="F5" s="26" t="s">
        <v>256</v>
      </c>
    </row>
    <row r="6" customFormat="false" ht="15" hidden="false" customHeight="false" outlineLevel="0" collapsed="false">
      <c r="A6" s="23" t="s">
        <v>257</v>
      </c>
      <c r="B6" s="27" t="n">
        <f aca="false">マイル計算!B13</f>
        <v>173.4845</v>
      </c>
      <c r="C6" s="27" t="n">
        <f aca="false">マイル計算!C13</f>
        <v>476.7259</v>
      </c>
      <c r="D6" s="27" t="n">
        <f aca="false">マイル計算!D13</f>
        <v>930.6374</v>
      </c>
      <c r="E6" s="27" t="n">
        <f aca="false">SUM(B6:D6)</f>
        <v>1580.8478</v>
      </c>
      <c r="F6" s="2" t="s">
        <v>258</v>
      </c>
    </row>
    <row r="7" customFormat="false" ht="15" hidden="false" customHeight="false" outlineLevel="0" collapsed="false">
      <c r="A7" s="23" t="s">
        <v>259</v>
      </c>
      <c r="B7" s="27" t="n">
        <f aca="false">-マイル計算!B14</f>
        <v>-88.5125</v>
      </c>
      <c r="C7" s="27" t="n">
        <f aca="false">-マイル計算!C14</f>
        <v>-328.1995</v>
      </c>
      <c r="D7" s="27" t="n">
        <f aca="false">-マイル計算!D14</f>
        <v>-708.3134</v>
      </c>
      <c r="E7" s="27" t="n">
        <f aca="false">SUM(B7:D7)</f>
        <v>-1125.0254</v>
      </c>
      <c r="F7" s="2" t="s">
        <v>260</v>
      </c>
    </row>
    <row r="8" customFormat="false" ht="15" hidden="false" customHeight="false" outlineLevel="0" collapsed="false">
      <c r="A8" s="21" t="s">
        <v>261</v>
      </c>
      <c r="B8" s="43" t="n">
        <f aca="false">SUM(B5:B7)</f>
        <v>1983.4875</v>
      </c>
      <c r="C8" s="43" t="n">
        <f aca="false">SUM(C5:C7)</f>
        <v>3604.2005</v>
      </c>
      <c r="D8" s="43" t="n">
        <f aca="false">SUM(D5:D7)</f>
        <v>5418.0866</v>
      </c>
      <c r="E8" s="43" t="n">
        <f aca="false">SUM(B8:D8)</f>
        <v>11005.7746</v>
      </c>
      <c r="F8" s="2"/>
    </row>
    <row r="9" customFormat="false" ht="15" hidden="false" customHeight="false" outlineLevel="0" collapsed="false">
      <c r="A9" s="23" t="s">
        <v>262</v>
      </c>
      <c r="B9" s="27" t="n">
        <f aca="false">-前提!B65</f>
        <v>-12000</v>
      </c>
      <c r="C9" s="27" t="n">
        <f aca="false">-前提!C65</f>
        <v>-0</v>
      </c>
      <c r="D9" s="27" t="n">
        <f aca="false">-前提!D65</f>
        <v>-0</v>
      </c>
      <c r="E9" s="27" t="n">
        <f aca="false">SUM(B9:D9)</f>
        <v>-12000</v>
      </c>
      <c r="F9" s="26" t="s">
        <v>263</v>
      </c>
    </row>
    <row r="10" customFormat="false" ht="15" hidden="false" customHeight="false" outlineLevel="0" collapsed="false">
      <c r="A10" s="23" t="s">
        <v>264</v>
      </c>
      <c r="B10" s="27" t="n">
        <f aca="false">-損益計算書!B27</f>
        <v>-360</v>
      </c>
      <c r="C10" s="27" t="n">
        <f aca="false">-損益計算書!C27</f>
        <v>-360</v>
      </c>
      <c r="D10" s="27" t="n">
        <f aca="false">-損益計算書!D27</f>
        <v>-360</v>
      </c>
      <c r="E10" s="27" t="n">
        <f aca="false">SUM(B10:D10)</f>
        <v>-1080</v>
      </c>
      <c r="F10" s="2"/>
    </row>
    <row r="11" customFormat="false" ht="15" hidden="false" customHeight="false" outlineLevel="0" collapsed="false">
      <c r="A11" s="21" t="s">
        <v>28</v>
      </c>
      <c r="B11" s="43" t="n">
        <f aca="false">B8+B9+B10</f>
        <v>-10376.5125</v>
      </c>
      <c r="C11" s="43" t="n">
        <f aca="false">C8+C9+C10</f>
        <v>3244.2005</v>
      </c>
      <c r="D11" s="43" t="n">
        <f aca="false">D8+D9+D10</f>
        <v>5058.0866</v>
      </c>
      <c r="E11" s="43" t="n">
        <f aca="false">SUM(B11:D11)</f>
        <v>-2074.2254</v>
      </c>
      <c r="F11" s="2"/>
    </row>
    <row r="12" customFormat="false" ht="15" hidden="false" customHeight="false" outlineLevel="0" collapsed="false">
      <c r="A12" s="21" t="s">
        <v>265</v>
      </c>
      <c r="B12" s="22" t="n">
        <f aca="false">B11</f>
        <v>-10376.5125</v>
      </c>
      <c r="C12" s="22" t="n">
        <f aca="false">B12+C11</f>
        <v>-7132.312</v>
      </c>
      <c r="D12" s="22" t="n">
        <f aca="false">C12+D11</f>
        <v>-2074.2254</v>
      </c>
    </row>
    <row r="14" customFormat="false" ht="15" hidden="false" customHeight="false" outlineLevel="0" collapsed="false">
      <c r="A14" s="10" t="s">
        <v>266</v>
      </c>
    </row>
    <row r="15" customFormat="false" ht="15" hidden="false" customHeight="false" outlineLevel="0" collapsed="false">
      <c r="A15" s="23" t="s">
        <v>267</v>
      </c>
      <c r="B15" s="27" t="n">
        <f aca="false">損益計算書!B32</f>
        <v>135</v>
      </c>
      <c r="C15" s="27" t="n">
        <f aca="false">B15+損益計算書!C32</f>
        <v>507.6</v>
      </c>
      <c r="D15" s="27" t="n">
        <f aca="false">C15+損益計算書!D32</f>
        <v>1231.2</v>
      </c>
      <c r="F15" s="2" t="s">
        <v>268</v>
      </c>
    </row>
    <row r="16" customFormat="false" ht="15" hidden="false" customHeight="false" outlineLevel="0" collapsed="false">
      <c r="A16" s="23" t="s">
        <v>269</v>
      </c>
      <c r="B16" s="27" t="n">
        <f aca="false">マイル計算!B16</f>
        <v>84.972</v>
      </c>
      <c r="C16" s="27" t="n">
        <f aca="false">マイル計算!C16</f>
        <v>233.4984</v>
      </c>
      <c r="D16" s="27" t="n">
        <f aca="false">マイル計算!D16</f>
        <v>455.8224</v>
      </c>
      <c r="F16" s="2" t="s">
        <v>270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4" min="3" style="0" width="24"/>
    <col collapsed="false" customWidth="true" hidden="false" outlineLevel="0" max="5" min="5" style="0" width="26"/>
    <col collapsed="false" customWidth="true" hidden="false" outlineLevel="0" max="6" min="6" style="0" width="28"/>
    <col collapsed="false" customWidth="true" hidden="false" outlineLevel="0" max="7" min="7" style="0" width="3"/>
    <col collapsed="false" customWidth="true" hidden="false" outlineLevel="0" max="8" min="8" style="0" width="58"/>
  </cols>
  <sheetData>
    <row r="1" customFormat="false" ht="17.35" hidden="false" customHeight="false" outlineLevel="0" collapsed="false">
      <c r="A1" s="41" t="s">
        <v>271</v>
      </c>
    </row>
    <row r="2" customFormat="false" ht="15" hidden="false" customHeight="false" outlineLevel="0" collapsed="false">
      <c r="A2" s="2" t="s">
        <v>272</v>
      </c>
    </row>
    <row r="4" customFormat="false" ht="15" hidden="false" customHeight="false" outlineLevel="0" collapsed="false">
      <c r="A4" s="49" t="s">
        <v>273</v>
      </c>
    </row>
    <row r="5" customFormat="false" ht="15" hidden="false" customHeight="false" outlineLevel="0" collapsed="false">
      <c r="A5" s="11" t="s">
        <v>99</v>
      </c>
      <c r="B5" s="11" t="s">
        <v>274</v>
      </c>
      <c r="C5" s="11" t="s">
        <v>8</v>
      </c>
      <c r="D5" s="11" t="s">
        <v>9</v>
      </c>
      <c r="E5" s="12" t="s">
        <v>275</v>
      </c>
      <c r="F5" s="12" t="s">
        <v>276</v>
      </c>
    </row>
    <row r="6" customFormat="false" ht="15" hidden="false" customHeight="false" outlineLevel="0" collapsed="false">
      <c r="A6" s="35" t="n">
        <v>1</v>
      </c>
      <c r="B6" s="36" t="n">
        <f aca="false">前提!$B$35*(前提!C43*$A6*前提!E43+SUMPRODUCT(前提!C44:C49,前提!D44:D49,前提!E44:E49))</f>
        <v>0.4753</v>
      </c>
      <c r="C6" s="50" t="n">
        <f aca="false">前提!$C$6-前提!$B$19+前提!$B$32-会員・預かり資産!$B$37*B6</f>
        <v>-0.00113126666666667</v>
      </c>
      <c r="D6" s="50" t="n">
        <f aca="false">C6+前提!$B$17*前提!$B$18</f>
        <v>0.0168687333333333</v>
      </c>
      <c r="E6" s="50" t="n">
        <f aca="false">前提!$D$6*(前提!$B$35*(前提!C43*$A6+SUMPRODUCT(前提!C44:C49,前提!D44:D49)))-前提!$C$6</f>
        <v>0.00778</v>
      </c>
      <c r="F6" s="14" t="n">
        <f aca="false">E6*前提!$B$6*10000</f>
        <v>7780</v>
      </c>
      <c r="H6" s="2" t="s">
        <v>277</v>
      </c>
    </row>
    <row r="7" customFormat="false" ht="15" hidden="false" customHeight="false" outlineLevel="0" collapsed="false">
      <c r="A7" s="35" t="n">
        <v>0.9</v>
      </c>
      <c r="B7" s="36" t="n">
        <f aca="false">前提!$B$35*(前提!C43*$A7*前提!E43+SUMPRODUCT(前提!C44:C49,前提!D44:D49,前提!E44:E49))</f>
        <v>0.4507804</v>
      </c>
      <c r="C7" s="50" t="n">
        <f aca="false">前提!$C$6-前提!$B$19+前提!$B$32-会員・預かり資産!$B$37*B7</f>
        <v>6.20205333333353E-005</v>
      </c>
      <c r="D7" s="50" t="n">
        <f aca="false">C7+前提!$B$17*前提!$B$18</f>
        <v>0.0180620205333333</v>
      </c>
      <c r="E7" s="50" t="n">
        <f aca="false">前提!$D$6*(前提!$B$35*(前提!C43*$A7+SUMPRODUCT(前提!C44:C49,前提!D44:D49)))-前提!$C$6</f>
        <v>0.00669024</v>
      </c>
      <c r="F7" s="14" t="n">
        <f aca="false">E7*前提!$B$6*10000</f>
        <v>6690.24</v>
      </c>
      <c r="H7" s="2" t="s">
        <v>278</v>
      </c>
    </row>
    <row r="8" customFormat="false" ht="15" hidden="false" customHeight="false" outlineLevel="0" collapsed="false">
      <c r="A8" s="35" t="n">
        <v>0.8</v>
      </c>
      <c r="B8" s="36" t="n">
        <f aca="false">前提!$B$35*(前提!C43*$A8*前提!E43+SUMPRODUCT(前提!C44:C49,前提!D44:D49,前提!E44:E49))</f>
        <v>0.4262608</v>
      </c>
      <c r="C8" s="50" t="n">
        <f aca="false">前提!$C$6-前提!$B$19+前提!$B$32-会員・預かり資産!$B$37*B8</f>
        <v>0.00125530773333334</v>
      </c>
      <c r="D8" s="50" t="n">
        <f aca="false">C8+前提!$B$17*前提!$B$18</f>
        <v>0.0192553077333333</v>
      </c>
      <c r="E8" s="50" t="n">
        <f aca="false">前提!$D$6*(前提!$B$35*(前提!C43*$A8+SUMPRODUCT(前提!C44:C49,前提!D44:D49)))-前提!$C$6</f>
        <v>0.00560048</v>
      </c>
      <c r="F8" s="14" t="n">
        <f aca="false">E8*前提!$B$6*10000</f>
        <v>5600.48</v>
      </c>
      <c r="H8" s="2" t="s">
        <v>279</v>
      </c>
    </row>
    <row r="9" customFormat="false" ht="15" hidden="false" customHeight="false" outlineLevel="0" collapsed="false">
      <c r="A9" s="35" t="n">
        <v>0.7</v>
      </c>
      <c r="B9" s="36" t="n">
        <f aca="false">前提!$B$35*(前提!C43*$A9*前提!E43+SUMPRODUCT(前提!C44:C49,前提!D44:D49,前提!E44:E49))</f>
        <v>0.4017412</v>
      </c>
      <c r="C9" s="50" t="n">
        <f aca="false">前提!$C$6-前提!$B$19+前提!$B$32-会員・預かり資産!$B$37*B9</f>
        <v>0.00244859493333334</v>
      </c>
      <c r="D9" s="50" t="n">
        <f aca="false">C9+前提!$B$17*前提!$B$18</f>
        <v>0.0204485949333333</v>
      </c>
      <c r="E9" s="50" t="n">
        <f aca="false">前提!$D$6*(前提!$B$35*(前提!C43*$A9+SUMPRODUCT(前提!C44:C49,前提!D44:D49)))-前提!$C$6</f>
        <v>0.00451072</v>
      </c>
      <c r="F9" s="14" t="n">
        <f aca="false">E9*前提!$B$6*10000</f>
        <v>4510.72</v>
      </c>
    </row>
    <row r="11" customFormat="false" ht="15" hidden="false" customHeight="false" outlineLevel="0" collapsed="false">
      <c r="A11" s="49" t="s">
        <v>280</v>
      </c>
    </row>
    <row r="12" customFormat="false" ht="15" hidden="false" customHeight="false" outlineLevel="0" collapsed="false">
      <c r="A12" s="11" t="s">
        <v>100</v>
      </c>
      <c r="B12" s="11" t="s">
        <v>274</v>
      </c>
      <c r="C12" s="11" t="s">
        <v>8</v>
      </c>
      <c r="D12" s="11" t="s">
        <v>9</v>
      </c>
      <c r="E12" s="12" t="s">
        <v>275</v>
      </c>
      <c r="F12" s="12" t="s">
        <v>276</v>
      </c>
    </row>
    <row r="13" customFormat="false" ht="15" hidden="false" customHeight="false" outlineLevel="0" collapsed="false">
      <c r="A13" s="28" t="n">
        <v>0.9</v>
      </c>
      <c r="B13" s="36" t="n">
        <f aca="false">前提!$B$35*(前提!C43*前提!D43*$A13+SUMPRODUCT(前提!C44:C49,前提!D44:D49,前提!E44:E49))</f>
        <v>0.4753</v>
      </c>
      <c r="C13" s="50" t="n">
        <f aca="false">前提!$C$6-前提!$B$19+前提!$B$32-会員・預かり資産!$B$37*B13</f>
        <v>-0.00113126666666667</v>
      </c>
      <c r="D13" s="50" t="n">
        <f aca="false">C13+前提!$B$17*前提!$B$18</f>
        <v>0.0168687333333333</v>
      </c>
      <c r="E13" s="50" t="n">
        <f aca="false">前提!$D$6*(前提!$B$35*(前提!C43*前提!D43+SUMPRODUCT(前提!C44:C49,前提!D44:D49)))-前提!$C$6</f>
        <v>0.00778</v>
      </c>
      <c r="F13" s="14" t="n">
        <f aca="false">E13*前提!$B$6*10000</f>
        <v>7780</v>
      </c>
      <c r="H13" s="2" t="s">
        <v>281</v>
      </c>
    </row>
    <row r="14" customFormat="false" ht="15" hidden="false" customHeight="false" outlineLevel="0" collapsed="false">
      <c r="A14" s="28" t="n">
        <v>0.7</v>
      </c>
      <c r="B14" s="36" t="n">
        <f aca="false">前提!$B$35*(前提!C43*前提!D43*$A14+SUMPRODUCT(前提!C44:C49,前提!D44:D49,前提!E44:E49))</f>
        <v>0.420812</v>
      </c>
      <c r="C14" s="50" t="n">
        <f aca="false">前提!$C$6-前提!$B$19+前提!$B$32-会員・預かり資産!$B$37*B14</f>
        <v>0.00152048266666667</v>
      </c>
      <c r="D14" s="50" t="n">
        <f aca="false">C14+前提!$B$17*前提!$B$18</f>
        <v>0.0195204826666667</v>
      </c>
      <c r="E14" s="50" t="n">
        <f aca="false">前提!$D$6*(前提!$B$35*(前提!C43*前提!D43+SUMPRODUCT(前提!C44:C49,前提!D44:D49)))-前提!$C$6</f>
        <v>0.00778</v>
      </c>
      <c r="F14" s="14" t="n">
        <f aca="false">E14*前提!$B$6*10000</f>
        <v>7780</v>
      </c>
      <c r="H14" s="2" t="s">
        <v>282</v>
      </c>
    </row>
    <row r="15" customFormat="false" ht="15" hidden="false" customHeight="false" outlineLevel="0" collapsed="false">
      <c r="A15" s="28" t="n">
        <v>0.55</v>
      </c>
      <c r="B15" s="36" t="n">
        <f aca="false">前提!$B$35*(前提!C43*前提!D43*$A15+SUMPRODUCT(前提!C44:C49,前提!D44:D49,前提!E44:E49))</f>
        <v>0.379946</v>
      </c>
      <c r="C15" s="50" t="n">
        <f aca="false">前提!$C$6-前提!$B$19+前提!$B$32-会員・預かり資産!$B$37*B15</f>
        <v>0.00350929466666667</v>
      </c>
      <c r="D15" s="50" t="n">
        <f aca="false">C15+前提!$B$17*前提!$B$18</f>
        <v>0.0215092946666667</v>
      </c>
      <c r="E15" s="50" t="n">
        <f aca="false">前提!$D$6*(前提!$B$35*(前提!C43*前提!D43+SUMPRODUCT(前提!C44:C49,前提!D44:D49)))-前提!$C$6</f>
        <v>0.00778</v>
      </c>
      <c r="F15" s="14" t="n">
        <f aca="false">E15*前提!$B$6*10000</f>
        <v>7780</v>
      </c>
      <c r="H15" s="2" t="s">
        <v>283</v>
      </c>
    </row>
    <row r="16" customFormat="false" ht="15" hidden="false" customHeight="false" outlineLevel="0" collapsed="false">
      <c r="A16" s="28" t="n">
        <v>0.4</v>
      </c>
      <c r="B16" s="36" t="n">
        <f aca="false">前提!$B$35*(前提!C43*前提!D43*$A16+SUMPRODUCT(前提!C44:C49,前提!D44:D49,前提!E44:E49))</f>
        <v>0.33908</v>
      </c>
      <c r="C16" s="50" t="n">
        <f aca="false">前提!$C$6-前提!$B$19+前提!$B$32-会員・預かり資産!$B$37*B16</f>
        <v>0.00549810666666667</v>
      </c>
      <c r="D16" s="50" t="n">
        <f aca="false">C16+前提!$B$17*前提!$B$18</f>
        <v>0.0234981066666667</v>
      </c>
      <c r="E16" s="50" t="n">
        <f aca="false">前提!$D$6*(前提!$B$35*(前提!C43*前提!D43+SUMPRODUCT(前提!C44:C49,前提!D44:D49)))-前提!$C$6</f>
        <v>0.00778</v>
      </c>
      <c r="F16" s="14" t="n">
        <f aca="false">E16*前提!$B$6*10000</f>
        <v>7780</v>
      </c>
      <c r="H16" s="26" t="s">
        <v>284</v>
      </c>
    </row>
    <row r="17" customFormat="false" ht="15" hidden="false" customHeight="false" outlineLevel="0" collapsed="false">
      <c r="H17" s="51" t="s">
        <v>285</v>
      </c>
    </row>
    <row r="19" customFormat="false" ht="15" hidden="false" customHeight="false" outlineLevel="0" collapsed="false">
      <c r="A19" s="49" t="s">
        <v>286</v>
      </c>
    </row>
    <row r="20" customFormat="false" ht="15" hidden="false" customHeight="false" outlineLevel="0" collapsed="false">
      <c r="A20" s="11" t="s">
        <v>287</v>
      </c>
      <c r="B20" s="11" t="s">
        <v>274</v>
      </c>
      <c r="C20" s="11" t="s">
        <v>8</v>
      </c>
      <c r="D20" s="11" t="s">
        <v>9</v>
      </c>
      <c r="E20" s="12" t="s">
        <v>275</v>
      </c>
      <c r="F20" s="11"/>
    </row>
    <row r="21" customFormat="false" ht="15" hidden="false" customHeight="false" outlineLevel="0" collapsed="false">
      <c r="A21" s="28" t="n">
        <v>0.9</v>
      </c>
      <c r="B21" s="36" t="n">
        <f aca="false">$A21*前提!$F$50</f>
        <v>0.4365</v>
      </c>
      <c r="C21" s="50" t="n">
        <f aca="false">前提!$C$6-前提!$B$19+前提!$B$32-会員・預かり資産!$B$37*B21</f>
        <v>0.000757000000000001</v>
      </c>
      <c r="D21" s="50" t="n">
        <f aca="false">C21+前提!$B$17*前提!$B$18</f>
        <v>0.018757</v>
      </c>
      <c r="E21" s="50" t="n">
        <f aca="false">前提!$D$6*($A21*前提!$G$50)-前提!$C$6</f>
        <v>0.00490000000000001</v>
      </c>
      <c r="H21" s="2" t="s">
        <v>288</v>
      </c>
    </row>
    <row r="22" customFormat="false" ht="15" hidden="false" customHeight="false" outlineLevel="0" collapsed="false">
      <c r="A22" s="28" t="n">
        <v>0.95</v>
      </c>
      <c r="B22" s="36" t="n">
        <f aca="false">$A22*前提!$F$50</f>
        <v>0.46075</v>
      </c>
      <c r="C22" s="50" t="n">
        <f aca="false">前提!$C$6-前提!$B$19+前提!$B$32-会員・預かり資産!$B$37*B22</f>
        <v>-0.000423166666666662</v>
      </c>
      <c r="D22" s="50" t="n">
        <f aca="false">C22+前提!$B$17*前提!$B$18</f>
        <v>0.0175768333333333</v>
      </c>
      <c r="E22" s="50" t="n">
        <f aca="false">前提!$D$6*($A22*前提!$G$50)-前提!$C$6</f>
        <v>0.0067</v>
      </c>
      <c r="H22" s="2" t="s">
        <v>289</v>
      </c>
    </row>
    <row r="23" customFormat="false" ht="15" hidden="false" customHeight="false" outlineLevel="0" collapsed="false">
      <c r="A23" s="28" t="n">
        <v>0.98</v>
      </c>
      <c r="B23" s="36" t="n">
        <f aca="false">$A23*前提!$F$50</f>
        <v>0.4753</v>
      </c>
      <c r="C23" s="50" t="n">
        <f aca="false">前提!$C$6-前提!$B$19+前提!$B$32-会員・預かり資産!$B$37*B23</f>
        <v>-0.00113126666666667</v>
      </c>
      <c r="D23" s="50" t="n">
        <f aca="false">C23+前提!$B$17*前提!$B$18</f>
        <v>0.0168687333333333</v>
      </c>
      <c r="E23" s="50" t="n">
        <f aca="false">前提!$D$6*($A23*前提!$G$50)-前提!$C$6</f>
        <v>0.00778</v>
      </c>
    </row>
    <row r="24" customFormat="false" ht="15" hidden="false" customHeight="false" outlineLevel="0" collapsed="false">
      <c r="A24" s="28" t="n">
        <v>1</v>
      </c>
      <c r="B24" s="36" t="n">
        <f aca="false">$A24*前提!$F$50</f>
        <v>0.485</v>
      </c>
      <c r="C24" s="50" t="n">
        <f aca="false">前提!$C$6-前提!$B$19+前提!$B$32-会員・預かり資産!$B$37*B24</f>
        <v>-0.00160333333333333</v>
      </c>
      <c r="D24" s="50" t="n">
        <f aca="false">C24+前提!$B$17*前提!$B$18</f>
        <v>0.0163966666666667</v>
      </c>
      <c r="E24" s="50" t="n">
        <f aca="false">前提!$D$6*($A24*前提!$G$50)-前提!$C$6</f>
        <v>0.0085</v>
      </c>
    </row>
    <row r="26" customFormat="false" ht="15" hidden="false" customHeight="false" outlineLevel="0" collapsed="false">
      <c r="A26" s="49" t="s">
        <v>290</v>
      </c>
    </row>
    <row r="27" customFormat="false" ht="15" hidden="false" customHeight="false" outlineLevel="0" collapsed="false">
      <c r="A27" s="11" t="s">
        <v>291</v>
      </c>
      <c r="B27" s="12" t="s">
        <v>16</v>
      </c>
      <c r="C27" s="12" t="s">
        <v>17</v>
      </c>
      <c r="D27" s="12" t="s">
        <v>18</v>
      </c>
      <c r="E27" s="12" t="s">
        <v>19</v>
      </c>
      <c r="F27" s="11" t="s">
        <v>292</v>
      </c>
    </row>
    <row r="28" customFormat="false" ht="15" hidden="false" customHeight="false" outlineLevel="0" collapsed="false">
      <c r="A28" s="28" t="n">
        <v>0</v>
      </c>
      <c r="B28" s="14" t="n">
        <f aca="false">会員・預かり資産!B13*$A28*前提!$B$16+会員・預かり資産!B33+会員・預かり資産!B35-損益計算書!B23</f>
        <v>-351.4845</v>
      </c>
      <c r="C28" s="14" t="n">
        <f aca="false">会員・預かり資産!C13*$A28*前提!$B$16+会員・預かり資産!C33+会員・預かり資産!C35-損益計算書!C23</f>
        <v>-504.3259</v>
      </c>
      <c r="D28" s="14" t="n">
        <f aca="false">会員・預かり資産!D13*$A28*前提!$B$16+会員・預かり資産!D33+会員・預かり資産!D35-損益計算書!D23</f>
        <v>-654.2374</v>
      </c>
      <c r="E28" s="14" t="n">
        <f aca="false">SUM(B28:D28)</f>
        <v>-1510.0478</v>
      </c>
      <c r="F28" s="2" t="s">
        <v>293</v>
      </c>
    </row>
    <row r="29" customFormat="false" ht="15" hidden="false" customHeight="false" outlineLevel="0" collapsed="false">
      <c r="A29" s="28" t="n">
        <v>0.25</v>
      </c>
      <c r="B29" s="14" t="n">
        <f aca="false">会員・預かり資産!B13*$A29*前提!$B$16+会員・預かり資産!B33+会員・預かり資産!B35-損益計算書!B23</f>
        <v>211.0155</v>
      </c>
      <c r="C29" s="14" t="n">
        <f aca="false">会員・預かり資産!C13*$A29*前提!$B$16+会員・預かり資産!C33+会員・預かり資産!C35-損益計算書!C23</f>
        <v>485.6741</v>
      </c>
      <c r="D29" s="14" t="n">
        <f aca="false">会員・預かり資産!D13*$A29*前提!$B$16+会員・預かり資産!D33+会員・預かり資産!D35-損益計算書!D23</f>
        <v>808.2626</v>
      </c>
      <c r="E29" s="14" t="n">
        <f aca="false">SUM(B29:D29)</f>
        <v>1504.9522</v>
      </c>
      <c r="F29" s="2" t="s">
        <v>294</v>
      </c>
    </row>
    <row r="30" customFormat="false" ht="15" hidden="false" customHeight="false" outlineLevel="0" collapsed="false">
      <c r="A30" s="28" t="n">
        <v>0.5</v>
      </c>
      <c r="B30" s="14" t="n">
        <f aca="false">会員・預かり資産!B13*$A30*前提!$B$16+会員・預かり資産!B33+会員・預かり資産!B35-損益計算書!B23</f>
        <v>773.5155</v>
      </c>
      <c r="C30" s="14" t="n">
        <f aca="false">会員・預かり資産!C13*$A30*前提!$B$16+会員・預かり資産!C33+会員・預かり資産!C35-損益計算書!C23</f>
        <v>1475.6741</v>
      </c>
      <c r="D30" s="14" t="n">
        <f aca="false">会員・預かり資産!D13*$A30*前提!$B$16+会員・預かり資産!D33+会員・預かり資産!D35-損益計算書!D23</f>
        <v>2270.7626</v>
      </c>
      <c r="E30" s="14" t="n">
        <f aca="false">SUM(B30:D30)</f>
        <v>4519.9522</v>
      </c>
      <c r="F30" s="2" t="s">
        <v>295</v>
      </c>
    </row>
    <row r="31" customFormat="false" ht="15" hidden="false" customHeight="false" outlineLevel="0" collapsed="false">
      <c r="A31" s="28" t="n">
        <v>0.75</v>
      </c>
      <c r="B31" s="14" t="n">
        <f aca="false">会員・預かり資産!B13*$A31*前提!$B$16+会員・預かり資産!B33+会員・預かり資産!B35-損益計算書!B23</f>
        <v>1336.0155</v>
      </c>
      <c r="C31" s="14" t="n">
        <f aca="false">会員・預かり資産!C13*$A31*前提!$B$16+会員・預かり資産!C33+会員・預かり資産!C35-損益計算書!C23</f>
        <v>2465.6741</v>
      </c>
      <c r="D31" s="14" t="n">
        <f aca="false">会員・預かり資産!D13*$A31*前提!$B$16+会員・預かり資産!D33+会員・預かり資産!D35-損益計算書!D23</f>
        <v>3733.2626</v>
      </c>
      <c r="E31" s="14" t="n">
        <f aca="false">SUM(B31:D31)</f>
        <v>7534.9522</v>
      </c>
      <c r="F31" s="2" t="s">
        <v>296</v>
      </c>
    </row>
    <row r="32" customFormat="false" ht="15" hidden="false" customHeight="false" outlineLevel="0" collapsed="false">
      <c r="A32" s="28" t="n">
        <v>1</v>
      </c>
      <c r="B32" s="14" t="n">
        <f aca="false">会員・預かり資産!B13*$A32*前提!$B$16+会員・預かり資産!B33+会員・預かり資産!B35-損益計算書!B23</f>
        <v>1898.5155</v>
      </c>
      <c r="C32" s="14" t="n">
        <f aca="false">会員・預かり資産!C13*$A32*前提!$B$16+会員・預かり資産!C33+会員・預かり資産!C35-損益計算書!C23</f>
        <v>3455.6741</v>
      </c>
      <c r="D32" s="14" t="n">
        <f aca="false">会員・預かり資産!D13*$A32*前提!$B$16+会員・預かり資産!D33+会員・預かり資産!D35-損益計算書!D23</f>
        <v>5195.7626</v>
      </c>
      <c r="E32" s="14" t="n">
        <f aca="false">SUM(B32:D32)</f>
        <v>10549.9522</v>
      </c>
      <c r="F32" s="2" t="s">
        <v>297</v>
      </c>
    </row>
    <row r="34" customFormat="false" ht="15" hidden="false" customHeight="false" outlineLevel="0" collapsed="false">
      <c r="A34" s="21" t="s">
        <v>298</v>
      </c>
      <c r="B34" s="52" t="n">
        <f aca="false">IF(SUM(会員・預かり資産!B13:D13)*前提!$B$16=0,0,MAX(0,(SUM(損益計算書!B23:D23)-SUM(会員・預かり資産!B33:D33)-SUM(会員・預かり資産!B35:D35))/(SUM(会員・預かり資産!B13:D13)*前提!$B$16)))</f>
        <v>0.125211260364842</v>
      </c>
    </row>
    <row r="36" customFormat="false" ht="15" hidden="false" customHeight="false" outlineLevel="0" collapsed="false">
      <c r="A36" s="49" t="s">
        <v>299</v>
      </c>
    </row>
    <row r="37" customFormat="false" ht="15" hidden="false" customHeight="false" outlineLevel="0" collapsed="false">
      <c r="A37" s="11" t="s">
        <v>37</v>
      </c>
      <c r="B37" s="11" t="s">
        <v>40</v>
      </c>
      <c r="C37" s="11" t="s">
        <v>300</v>
      </c>
      <c r="D37" s="11" t="s">
        <v>8</v>
      </c>
      <c r="E37" s="11" t="s">
        <v>9</v>
      </c>
      <c r="F37" s="11" t="s">
        <v>301</v>
      </c>
    </row>
    <row r="38" customFormat="false" ht="15" hidden="false" customHeight="false" outlineLevel="0" collapsed="false">
      <c r="A38" s="37" t="str">
        <f aca="false">前提!A6</f>
        <v>PRESTIGE</v>
      </c>
      <c r="B38" s="34" t="n">
        <f aca="false">前提!D6</f>
        <v>0.04</v>
      </c>
      <c r="C38" s="50" t="n">
        <f aca="false">前提!D6*前提!$B$51</f>
        <v>0.019012</v>
      </c>
      <c r="D38" s="50" t="n">
        <f aca="false">前提!C6-前提!$B$19+前提!$B$32-C38</f>
        <v>0.002988</v>
      </c>
      <c r="E38" s="50" t="n">
        <f aca="false">D38+前提!$B$17*前提!$B$18</f>
        <v>0.020988</v>
      </c>
      <c r="F38" s="37" t="str">
        <f aca="false">IF(D38&gt;=0,"ストック単体で黒字","成功報酬前は赤字")</f>
        <v>ストック単体で黒字</v>
      </c>
      <c r="H38" s="2" t="s">
        <v>302</v>
      </c>
    </row>
    <row r="39" customFormat="false" ht="15" hidden="false" customHeight="false" outlineLevel="0" collapsed="false">
      <c r="A39" s="37" t="str">
        <f aca="false">前提!A7</f>
        <v>GOLD</v>
      </c>
      <c r="B39" s="34" t="n">
        <f aca="false">前提!D7</f>
        <v>0.05</v>
      </c>
      <c r="C39" s="50" t="n">
        <f aca="false">前提!D7*前提!$B$51</f>
        <v>0.023765</v>
      </c>
      <c r="D39" s="50" t="n">
        <f aca="false">前提!C7-前提!$B$19+前提!$B$32-C39</f>
        <v>-0.001765</v>
      </c>
      <c r="E39" s="50" t="n">
        <f aca="false">D39+前提!$B$17*前提!$B$18</f>
        <v>0.016235</v>
      </c>
      <c r="F39" s="37" t="str">
        <f aca="false">IF(D39&gt;=0,"ストック単体で黒字","成功報酬前は赤字")</f>
        <v>成功報酬前は赤字</v>
      </c>
      <c r="H39" s="2" t="s">
        <v>303</v>
      </c>
    </row>
    <row r="40" customFormat="false" ht="15" hidden="false" customHeight="false" outlineLevel="0" collapsed="false">
      <c r="A40" s="37" t="str">
        <f aca="false">前提!A8</f>
        <v>SIGNATURE</v>
      </c>
      <c r="B40" s="34" t="n">
        <f aca="false">前提!D8</f>
        <v>0.06</v>
      </c>
      <c r="C40" s="50" t="n">
        <f aca="false">前提!D8*前提!$B$51</f>
        <v>0.028518</v>
      </c>
      <c r="D40" s="50" t="n">
        <f aca="false">前提!C8-前提!$B$19+前提!$B$32-C40</f>
        <v>-0.006518</v>
      </c>
      <c r="E40" s="50" t="n">
        <f aca="false">D40+前提!$B$17*前提!$B$18</f>
        <v>0.011482</v>
      </c>
      <c r="F40" s="37" t="str">
        <f aca="false">IF(D40&gt;=0,"ストック単体で黒字","成功報酬前は赤字")</f>
        <v>成功報酬前は赤字</v>
      </c>
      <c r="H40" s="2" t="s">
        <v>304</v>
      </c>
    </row>
    <row r="41" customFormat="false" ht="15" hidden="false" customHeight="false" outlineLevel="0" collapsed="false">
      <c r="H41" s="53" t="s">
        <v>305</v>
      </c>
    </row>
    <row r="42" customFormat="false" ht="15" hidden="false" customHeight="false" outlineLevel="0" collapsed="false">
      <c r="A42" s="21" t="s">
        <v>306</v>
      </c>
      <c r="B42" s="40" t="n">
        <f aca="false">IF(前提!$D$8=0,0,(前提!$C$8-前提!$B$19+前提!$B$32)/前提!$D$8)</f>
        <v>0.366666666666667</v>
      </c>
      <c r="C42" s="21" t="str">
        <f aca="false">"現在は "&amp;TEXT(前提!$B$51,"0.000")</f>
        <v>現在は 0.475</v>
      </c>
      <c r="H42" s="51" t="s">
        <v>307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18"/>
    <col collapsed="false" customWidth="true" hidden="false" outlineLevel="0" max="4" min="4" style="0" width="20"/>
    <col collapsed="false" customWidth="true" hidden="false" outlineLevel="0" max="5" min="5" style="0" width="60"/>
  </cols>
  <sheetData>
    <row r="1" customFormat="false" ht="17.35" hidden="false" customHeight="false" outlineLevel="0" collapsed="false">
      <c r="A1" s="41" t="s">
        <v>308</v>
      </c>
    </row>
    <row r="2" customFormat="false" ht="15" hidden="false" customHeight="false" outlineLevel="0" collapsed="false">
      <c r="A2" s="2" t="s">
        <v>309</v>
      </c>
    </row>
    <row r="4" customFormat="false" ht="15" hidden="false" customHeight="false" outlineLevel="0" collapsed="false">
      <c r="A4" s="10" t="s">
        <v>310</v>
      </c>
    </row>
    <row r="5" customFormat="false" ht="15" hidden="false" customHeight="false" outlineLevel="0" collapsed="false">
      <c r="A5" s="11" t="s">
        <v>124</v>
      </c>
      <c r="B5" s="12" t="s">
        <v>45</v>
      </c>
      <c r="C5" s="12" t="s">
        <v>47</v>
      </c>
      <c r="D5" s="12" t="s">
        <v>48</v>
      </c>
      <c r="E5" s="11" t="s">
        <v>311</v>
      </c>
    </row>
    <row r="6" customFormat="false" ht="15" hidden="false" customHeight="false" outlineLevel="0" collapsed="false">
      <c r="A6" s="23" t="s">
        <v>312</v>
      </c>
      <c r="B6" s="22" t="n">
        <f aca="false">前提!$B$6*10000</f>
        <v>1000000</v>
      </c>
      <c r="C6" s="22" t="n">
        <f aca="false">前提!$B$7*10000</f>
        <v>5000000</v>
      </c>
      <c r="D6" s="22" t="n">
        <f aca="false">前提!$B$8*10000</f>
        <v>10000000</v>
      </c>
      <c r="E6" s="2"/>
    </row>
    <row r="7" customFormat="false" ht="15" hidden="false" customHeight="false" outlineLevel="0" collapsed="false">
      <c r="A7" s="23" t="s">
        <v>39</v>
      </c>
      <c r="B7" s="30" t="n">
        <f aca="false">前提!$C$6</f>
        <v>0.0275</v>
      </c>
      <c r="C7" s="30" t="n">
        <f aca="false">前提!$C$7</f>
        <v>0.0275</v>
      </c>
      <c r="D7" s="30" t="n">
        <f aca="false">前提!$C$8</f>
        <v>0.0275</v>
      </c>
      <c r="E7" s="2"/>
    </row>
    <row r="8" customFormat="false" ht="15" hidden="false" customHeight="false" outlineLevel="0" collapsed="false">
      <c r="A8" s="23" t="s">
        <v>313</v>
      </c>
      <c r="B8" s="27" t="n">
        <f aca="false">B6*B7</f>
        <v>27500</v>
      </c>
      <c r="C8" s="27" t="n">
        <f aca="false">C6*C7</f>
        <v>137500</v>
      </c>
      <c r="D8" s="27" t="n">
        <f aca="false">D6*D7</f>
        <v>275000</v>
      </c>
      <c r="E8" s="2"/>
    </row>
    <row r="9" customFormat="false" ht="15" hidden="false" customHeight="false" outlineLevel="0" collapsed="false">
      <c r="A9" s="23" t="s">
        <v>40</v>
      </c>
      <c r="B9" s="30" t="n">
        <f aca="false">前提!$D$6</f>
        <v>0.04</v>
      </c>
      <c r="C9" s="30" t="n">
        <f aca="false">前提!$D$7</f>
        <v>0.05</v>
      </c>
      <c r="D9" s="30" t="n">
        <f aca="false">前提!$D$8</f>
        <v>0.06</v>
      </c>
      <c r="E9" s="26" t="s">
        <v>314</v>
      </c>
    </row>
    <row r="10" customFormat="false" ht="15" hidden="false" customHeight="false" outlineLevel="0" collapsed="false">
      <c r="A10" s="23" t="s">
        <v>315</v>
      </c>
      <c r="B10" s="27" t="n">
        <f aca="false">B6*B9</f>
        <v>40000</v>
      </c>
      <c r="C10" s="27" t="n">
        <f aca="false">C6*C9</f>
        <v>250000</v>
      </c>
      <c r="D10" s="27" t="n">
        <f aca="false">D6*D9</f>
        <v>600000</v>
      </c>
      <c r="E10" s="2"/>
    </row>
    <row r="11" customFormat="false" ht="15" hidden="false" customHeight="false" outlineLevel="0" collapsed="false">
      <c r="A11" s="23" t="s">
        <v>86</v>
      </c>
      <c r="B11" s="30" t="n">
        <f aca="false">前提!$B$35</f>
        <v>0.98</v>
      </c>
      <c r="C11" s="30" t="n">
        <f aca="false">前提!$B$35</f>
        <v>0.98</v>
      </c>
      <c r="D11" s="30" t="n">
        <f aca="false">前提!$B$35</f>
        <v>0.98</v>
      </c>
      <c r="E11" s="2"/>
    </row>
    <row r="12" customFormat="false" ht="15" hidden="false" customHeight="false" outlineLevel="0" collapsed="false">
      <c r="A12" s="23" t="s">
        <v>316</v>
      </c>
      <c r="B12" s="54" t="n">
        <f aca="false">前提!$G$50</f>
        <v>0.9</v>
      </c>
      <c r="C12" s="54" t="n">
        <f aca="false">前提!$G$50</f>
        <v>0.9</v>
      </c>
      <c r="D12" s="54" t="n">
        <f aca="false">前提!$G$50</f>
        <v>0.9</v>
      </c>
      <c r="E12" s="2" t="s">
        <v>317</v>
      </c>
    </row>
    <row r="13" customFormat="false" ht="15" hidden="false" customHeight="false" outlineLevel="0" collapsed="false">
      <c r="A13" s="23" t="s">
        <v>318</v>
      </c>
      <c r="B13" s="54" t="n">
        <f aca="false">前提!$B$52</f>
        <v>0.882</v>
      </c>
      <c r="C13" s="54" t="n">
        <f aca="false">前提!$B$52</f>
        <v>0.882</v>
      </c>
      <c r="D13" s="54" t="n">
        <f aca="false">前提!$B$52</f>
        <v>0.882</v>
      </c>
      <c r="E13" s="2" t="s">
        <v>319</v>
      </c>
    </row>
    <row r="14" customFormat="false" ht="15" hidden="false" customHeight="false" outlineLevel="0" collapsed="false">
      <c r="A14" s="23" t="s">
        <v>320</v>
      </c>
      <c r="B14" s="22" t="n">
        <f aca="false">B10*B13</f>
        <v>35280</v>
      </c>
      <c r="C14" s="22" t="n">
        <f aca="false">C10*C13</f>
        <v>220500</v>
      </c>
      <c r="D14" s="22" t="n">
        <f aca="false">D10*D13</f>
        <v>529200</v>
      </c>
      <c r="E14" s="2"/>
    </row>
    <row r="15" customFormat="false" ht="15" hidden="false" customHeight="false" outlineLevel="0" collapsed="false">
      <c r="A15" s="23" t="s">
        <v>321</v>
      </c>
      <c r="B15" s="27" t="n">
        <f aca="false">B10-B8</f>
        <v>12500</v>
      </c>
      <c r="C15" s="27" t="n">
        <f aca="false">C10-C8</f>
        <v>112500</v>
      </c>
      <c r="D15" s="27" t="n">
        <f aca="false">D10-D8</f>
        <v>325000</v>
      </c>
      <c r="E15" s="2" t="s">
        <v>322</v>
      </c>
    </row>
    <row r="16" customFormat="false" ht="15" hidden="false" customHeight="false" outlineLevel="0" collapsed="false">
      <c r="A16" s="21" t="s">
        <v>323</v>
      </c>
      <c r="B16" s="43" t="n">
        <f aca="false">B14-B8</f>
        <v>7780</v>
      </c>
      <c r="C16" s="43" t="n">
        <f aca="false">C14-C8</f>
        <v>83000</v>
      </c>
      <c r="D16" s="43" t="n">
        <f aca="false">D14-D8</f>
        <v>254200</v>
      </c>
      <c r="E16" s="2" t="s">
        <v>324</v>
      </c>
    </row>
    <row r="17" customFormat="false" ht="15" hidden="false" customHeight="false" outlineLevel="0" collapsed="false">
      <c r="A17" s="21" t="s">
        <v>325</v>
      </c>
      <c r="B17" s="55" t="n">
        <f aca="false">IF(B6=0,0,B16/B6)</f>
        <v>0.00778</v>
      </c>
      <c r="C17" s="55" t="n">
        <f aca="false">IF(C6=0,0,C16/C6)</f>
        <v>0.0166</v>
      </c>
      <c r="D17" s="55" t="n">
        <f aca="false">IF(D6=0,0,D16/D6)</f>
        <v>0.02542</v>
      </c>
      <c r="E17" s="2"/>
    </row>
    <row r="18" customFormat="false" ht="15" hidden="false" customHeight="false" outlineLevel="0" collapsed="false">
      <c r="A18" s="0" t="s">
        <v>326</v>
      </c>
      <c r="B18" s="27" t="n">
        <f aca="false">B10*B11-B8</f>
        <v>11700</v>
      </c>
      <c r="C18" s="27" t="n">
        <f aca="false">C10*C11-C8</f>
        <v>107500</v>
      </c>
      <c r="D18" s="27" t="n">
        <f aca="false">D10*D11-D8</f>
        <v>313000</v>
      </c>
      <c r="E18" s="2" t="s">
        <v>327</v>
      </c>
    </row>
    <row r="19" customFormat="false" ht="15" hidden="false" customHeight="false" outlineLevel="0" collapsed="false">
      <c r="A19" s="23" t="s">
        <v>328</v>
      </c>
      <c r="B19" s="54" t="n">
        <f aca="false">IF(B10*B11=0,0,B8/(B10*B11))</f>
        <v>0.701530612244898</v>
      </c>
      <c r="C19" s="54" t="n">
        <f aca="false">IF(C10*C11=0,0,C8/(C10*C11))</f>
        <v>0.561224489795918</v>
      </c>
      <c r="D19" s="54" t="n">
        <f aca="false">IF(D10*D11=0,0,D8/(D10*D11))</f>
        <v>0.467687074829932</v>
      </c>
      <c r="E19" s="2" t="s">
        <v>329</v>
      </c>
    </row>
    <row r="21" customFormat="false" ht="15" hidden="false" customHeight="false" outlineLevel="0" collapsed="false">
      <c r="A21" s="49" t="s">
        <v>330</v>
      </c>
    </row>
    <row r="22" customFormat="false" ht="15" hidden="false" customHeight="false" outlineLevel="0" collapsed="false">
      <c r="A22" s="11" t="s">
        <v>124</v>
      </c>
      <c r="B22" s="12" t="s">
        <v>45</v>
      </c>
      <c r="C22" s="12" t="s">
        <v>47</v>
      </c>
      <c r="D22" s="12" t="s">
        <v>48</v>
      </c>
      <c r="E22" s="11" t="s">
        <v>311</v>
      </c>
    </row>
    <row r="23" customFormat="false" ht="15" hidden="false" customHeight="false" outlineLevel="0" collapsed="false">
      <c r="A23" s="0" t="s">
        <v>331</v>
      </c>
      <c r="B23" s="27" t="n">
        <f aca="false">B6*(1+前提!$B$17)^3</f>
        <v>1191016</v>
      </c>
      <c r="C23" s="27" t="n">
        <f aca="false">C6*(1+前提!$B$17)^3</f>
        <v>5955080</v>
      </c>
      <c r="D23" s="27" t="n">
        <f aca="false">D6*(1+前提!$B$17)^3</f>
        <v>11910160</v>
      </c>
      <c r="E23" s="2" t="s">
        <v>332</v>
      </c>
    </row>
    <row r="24" customFormat="false" ht="15" hidden="false" customHeight="false" outlineLevel="0" collapsed="false">
      <c r="A24" s="0" t="s">
        <v>333</v>
      </c>
      <c r="B24" s="27" t="n">
        <f aca="false">B23-B6</f>
        <v>191016</v>
      </c>
      <c r="C24" s="27" t="n">
        <f aca="false">C23-C6</f>
        <v>955080</v>
      </c>
      <c r="D24" s="27" t="n">
        <f aca="false">D23-D6</f>
        <v>1910160</v>
      </c>
      <c r="E24" s="2"/>
    </row>
    <row r="25" customFormat="false" ht="15" hidden="false" customHeight="false" outlineLevel="0" collapsed="false">
      <c r="A25" s="23" t="s">
        <v>60</v>
      </c>
      <c r="B25" s="30" t="n">
        <f aca="false">前提!$B$18</f>
        <v>0.3</v>
      </c>
      <c r="C25" s="30" t="n">
        <f aca="false">前提!$B$18</f>
        <v>0.3</v>
      </c>
      <c r="D25" s="30" t="n">
        <f aca="false">前提!$B$18</f>
        <v>0.3</v>
      </c>
      <c r="E25" s="26" t="s">
        <v>334</v>
      </c>
    </row>
    <row r="26" customFormat="false" ht="15" hidden="false" customHeight="false" outlineLevel="0" collapsed="false">
      <c r="A26" s="23" t="s">
        <v>335</v>
      </c>
      <c r="B26" s="27" t="n">
        <f aca="false">B24*B25</f>
        <v>57304.8</v>
      </c>
      <c r="C26" s="27" t="n">
        <f aca="false">C24*C25</f>
        <v>286524</v>
      </c>
      <c r="D26" s="27" t="n">
        <f aca="false">D24*D25</f>
        <v>573048</v>
      </c>
      <c r="E26" s="2"/>
    </row>
    <row r="27" customFormat="false" ht="15" hidden="false" customHeight="false" outlineLevel="0" collapsed="false">
      <c r="A27" s="23" t="s">
        <v>336</v>
      </c>
      <c r="B27" s="22" t="n">
        <f aca="false">B24-B26</f>
        <v>133711.2</v>
      </c>
      <c r="C27" s="22" t="n">
        <f aca="false">C24-C26</f>
        <v>668556</v>
      </c>
      <c r="D27" s="22" t="n">
        <f aca="false">D24-D26</f>
        <v>1337112</v>
      </c>
      <c r="E27" s="2"/>
    </row>
    <row r="28" customFormat="false" ht="15" hidden="false" customHeight="false" outlineLevel="0" collapsed="false">
      <c r="A28" s="0" t="s">
        <v>337</v>
      </c>
      <c r="B28" s="27" t="n">
        <f aca="false">B14*3</f>
        <v>105840</v>
      </c>
      <c r="C28" s="27" t="n">
        <f aca="false">C14*3</f>
        <v>661500</v>
      </c>
      <c r="D28" s="27" t="n">
        <f aca="false">D14*3</f>
        <v>1587600</v>
      </c>
      <c r="E28" s="2"/>
    </row>
    <row r="29" customFormat="false" ht="15" hidden="false" customHeight="false" outlineLevel="0" collapsed="false">
      <c r="A29" s="0" t="s">
        <v>338</v>
      </c>
      <c r="B29" s="27" t="n">
        <f aca="false">B8*3</f>
        <v>82500</v>
      </c>
      <c r="C29" s="27" t="n">
        <f aca="false">C8*3</f>
        <v>412500</v>
      </c>
      <c r="D29" s="27" t="n">
        <f aca="false">D8*3</f>
        <v>825000</v>
      </c>
      <c r="E29" s="2"/>
    </row>
    <row r="30" customFormat="false" ht="15" hidden="false" customHeight="false" outlineLevel="0" collapsed="false">
      <c r="A30" s="0" t="s">
        <v>339</v>
      </c>
      <c r="B30" s="27" t="n">
        <f aca="false">B28-B29</f>
        <v>23340</v>
      </c>
      <c r="C30" s="27" t="n">
        <f aca="false">C28-C29</f>
        <v>249000</v>
      </c>
      <c r="D30" s="27" t="n">
        <f aca="false">D28-D29</f>
        <v>762600</v>
      </c>
      <c r="E30" s="2"/>
    </row>
    <row r="31" customFormat="false" ht="15" hidden="false" customHeight="false" outlineLevel="0" collapsed="false">
      <c r="A31" s="56" t="s">
        <v>340</v>
      </c>
      <c r="B31" s="43" t="n">
        <f aca="false">B27+B30</f>
        <v>157051.2</v>
      </c>
      <c r="C31" s="43" t="n">
        <f aca="false">C27+C30</f>
        <v>917556</v>
      </c>
      <c r="D31" s="43" t="n">
        <f aca="false">D27+D30</f>
        <v>2099712</v>
      </c>
      <c r="E31" s="2" t="s">
        <v>341</v>
      </c>
    </row>
    <row r="32" customFormat="false" ht="15" hidden="false" customHeight="false" outlineLevel="0" collapsed="false">
      <c r="A32" s="21" t="s">
        <v>342</v>
      </c>
      <c r="B32" s="52" t="n">
        <f aca="false">IF(B6=0,0,B31/B6)</f>
        <v>0.1570512</v>
      </c>
      <c r="C32" s="52" t="n">
        <f aca="false">IF(C6=0,0,C31/C6)</f>
        <v>0.1835112</v>
      </c>
      <c r="D32" s="52" t="n">
        <f aca="false">IF(D6=0,0,D31/D6)</f>
        <v>0.2099712</v>
      </c>
      <c r="E32" s="2"/>
    </row>
    <row r="33" customFormat="false" ht="15" hidden="false" customHeight="false" outlineLevel="0" collapsed="false">
      <c r="A33" s="0" t="s">
        <v>343</v>
      </c>
      <c r="B33" s="27" t="n">
        <f aca="false">B6+B31</f>
        <v>1157051.2</v>
      </c>
      <c r="C33" s="27" t="n">
        <f aca="false">C6+C31</f>
        <v>5917556</v>
      </c>
      <c r="D33" s="27" t="n">
        <f aca="false">D6+D31</f>
        <v>12099712</v>
      </c>
      <c r="E33" s="2"/>
    </row>
    <row r="34" customFormat="false" ht="15" hidden="false" customHeight="false" outlineLevel="0" collapsed="false">
      <c r="A34" s="23" t="s">
        <v>344</v>
      </c>
      <c r="B34" s="32" t="n">
        <f aca="false">IF(B6=0,0,(B33/B6)^(1/3)-1)</f>
        <v>0.0498264868235021</v>
      </c>
      <c r="C34" s="32" t="n">
        <f aca="false">IF(C6=0,0,(C33/C6)^(1/3)-1)</f>
        <v>0.0577688921227599</v>
      </c>
      <c r="D34" s="32" t="n">
        <f aca="false">IF(D6=0,0,(D33/D6)^(1/3)-1)</f>
        <v>0.0655937823346802</v>
      </c>
      <c r="E34" s="2"/>
    </row>
    <row r="36" customFormat="false" ht="15" hidden="false" customHeight="false" outlineLevel="0" collapsed="false">
      <c r="A36" s="10" t="s">
        <v>345</v>
      </c>
    </row>
    <row r="37" customFormat="false" ht="15" hidden="false" customHeight="false" outlineLevel="0" collapsed="false">
      <c r="A37" s="11" t="s">
        <v>96</v>
      </c>
      <c r="B37" s="11" t="s">
        <v>98</v>
      </c>
      <c r="C37" s="11" t="s">
        <v>99</v>
      </c>
      <c r="D37" s="12" t="s">
        <v>346</v>
      </c>
      <c r="E37" s="11" t="s">
        <v>347</v>
      </c>
    </row>
    <row r="38" customFormat="false" ht="15" hidden="false" customHeight="false" outlineLevel="0" collapsed="false">
      <c r="A38" s="37" t="str">
        <f aca="false">前提!A43</f>
        <v>系列レストラン</v>
      </c>
      <c r="B38" s="34" t="n">
        <f aca="false">前提!C43</f>
        <v>0.278</v>
      </c>
      <c r="C38" s="57" t="n">
        <f aca="false">前提!D43</f>
        <v>1</v>
      </c>
      <c r="D38" s="14" t="n">
        <f aca="false">10000*C38</f>
        <v>10000</v>
      </c>
      <c r="E38" s="14" t="n">
        <f aca="false">10000*B38*C38</f>
        <v>2780</v>
      </c>
    </row>
    <row r="39" customFormat="false" ht="15" hidden="false" customHeight="false" outlineLevel="0" collapsed="false">
      <c r="A39" s="37" t="str">
        <f aca="false">前提!A44</f>
        <v>グランメゾン（1P=0.5円）</v>
      </c>
      <c r="B39" s="34" t="n">
        <f aca="false">前提!C44</f>
        <v>0.2</v>
      </c>
      <c r="C39" s="57" t="n">
        <f aca="false">前提!D44</f>
        <v>0.5</v>
      </c>
      <c r="D39" s="14" t="n">
        <f aca="false">10000*C39</f>
        <v>5000</v>
      </c>
      <c r="E39" s="14" t="n">
        <f aca="false">10000*B39*C39</f>
        <v>1000</v>
      </c>
    </row>
    <row r="40" customFormat="false" ht="15" hidden="false" customHeight="false" outlineLevel="0" collapsed="false">
      <c r="A40" s="37" t="str">
        <f aca="false">前提!A45</f>
        <v>WineBank CLUB 会費充当</v>
      </c>
      <c r="B40" s="34" t="n">
        <f aca="false">前提!C45</f>
        <v>0.133</v>
      </c>
      <c r="C40" s="57" t="n">
        <f aca="false">前提!D45</f>
        <v>1</v>
      </c>
      <c r="D40" s="14" t="n">
        <f aca="false">10000*C40</f>
        <v>10000</v>
      </c>
      <c r="E40" s="14" t="n">
        <f aca="false">10000*B40*C40</f>
        <v>1330</v>
      </c>
    </row>
    <row r="41" customFormat="false" ht="15" hidden="false" customHeight="false" outlineLevel="0" collapsed="false">
      <c r="A41" s="37" t="str">
        <f aca="false">前提!A46</f>
        <v>オークション参加</v>
      </c>
      <c r="B41" s="34" t="n">
        <f aca="false">前提!C46</f>
        <v>0.133</v>
      </c>
      <c r="C41" s="57" t="n">
        <f aca="false">前提!D46</f>
        <v>1</v>
      </c>
      <c r="D41" s="14" t="n">
        <f aca="false">10000*C41</f>
        <v>10000</v>
      </c>
      <c r="E41" s="14" t="n">
        <f aca="false">10000*B41*C41</f>
        <v>1330</v>
      </c>
    </row>
    <row r="42" customFormat="false" ht="15" hidden="false" customHeight="false" outlineLevel="0" collapsed="false">
      <c r="A42" s="37" t="str">
        <f aca="false">前提!A47</f>
        <v>ワインスクール</v>
      </c>
      <c r="B42" s="34" t="n">
        <f aca="false">前提!C47</f>
        <v>0.111</v>
      </c>
      <c r="C42" s="57" t="n">
        <f aca="false">前提!D47</f>
        <v>1</v>
      </c>
      <c r="D42" s="14" t="n">
        <f aca="false">10000*C42</f>
        <v>10000</v>
      </c>
      <c r="E42" s="14" t="n">
        <f aca="false">10000*B42*C42</f>
        <v>1110</v>
      </c>
    </row>
    <row r="43" customFormat="false" ht="15" hidden="false" customHeight="false" outlineLevel="0" collapsed="false">
      <c r="A43" s="37" t="str">
        <f aca="false">前提!A48</f>
        <v>会員交流イベント</v>
      </c>
      <c r="B43" s="34" t="n">
        <f aca="false">前提!C48</f>
        <v>0.089</v>
      </c>
      <c r="C43" s="57" t="n">
        <f aca="false">前提!D48</f>
        <v>1</v>
      </c>
      <c r="D43" s="14" t="n">
        <f aca="false">10000*C43</f>
        <v>10000</v>
      </c>
      <c r="E43" s="14" t="n">
        <f aca="false">10000*B43*C43</f>
        <v>890</v>
      </c>
    </row>
    <row r="44" customFormat="false" ht="15" hidden="false" customHeight="false" outlineLevel="0" collapsed="false">
      <c r="A44" s="37" t="str">
        <f aca="false">前提!A49</f>
        <v>ワイン追加購入</v>
      </c>
      <c r="B44" s="34" t="n">
        <f aca="false">前提!C49</f>
        <v>0.056</v>
      </c>
      <c r="C44" s="57" t="n">
        <f aca="false">前提!D49</f>
        <v>1</v>
      </c>
      <c r="D44" s="14" t="n">
        <f aca="false">10000*C44</f>
        <v>10000</v>
      </c>
      <c r="E44" s="14" t="n">
        <f aca="false">10000*B44*C44</f>
        <v>560</v>
      </c>
    </row>
    <row r="45" customFormat="false" ht="15" hidden="false" customHeight="false" outlineLevel="0" collapsed="false">
      <c r="A45" s="21" t="s">
        <v>348</v>
      </c>
      <c r="B45" s="33" t="n">
        <f aca="false">SUM(B38:B44)</f>
        <v>1</v>
      </c>
      <c r="C45" s="39" t="n">
        <f aca="false">SUM(E38:E44)/10000</f>
        <v>0.9</v>
      </c>
      <c r="D45" s="22" t="n">
        <f aca="false">10000*C45</f>
        <v>9000</v>
      </c>
      <c r="E45" s="22" t="n">
        <f aca="false">SUM(E38:E44)</f>
        <v>9000</v>
      </c>
    </row>
    <row r="46" customFormat="false" ht="15" hidden="false" customHeight="false" outlineLevel="0" collapsed="false">
      <c r="A46" s="21" t="s">
        <v>349</v>
      </c>
      <c r="D46" s="43" t="n">
        <f aca="false">10000*前提!$B$52</f>
        <v>8820</v>
      </c>
    </row>
    <row r="48" customFormat="false" ht="15" hidden="false" customHeight="false" outlineLevel="0" collapsed="false">
      <c r="A48" s="10" t="s">
        <v>350</v>
      </c>
    </row>
    <row r="49" customFormat="false" ht="15" hidden="false" customHeight="false" outlineLevel="0" collapsed="false">
      <c r="A49" s="2" t="str">
        <f aca="false">"・実利用ベースは、最終利用率 "&amp;TEXT(前提!$B$35,"0.0%")&amp;" と交換先別レートの加重平均を反映しています。"</f>
        <v>・実利用ベースは、最終利用率 98.0% と交換先別レートの加重平均を反映しています。</v>
      </c>
    </row>
    <row r="50" customFormat="false" ht="15" hidden="false" customHeight="false" outlineLevel="0" collapsed="false">
      <c r="A50" s="2" t="str">
        <f aca="false">"・3年試算は預かり額を一定とし、ワイン時価のみ年 "&amp;TEXT(前提!$B$17,"0.0%")&amp;" で複利成長。値上がり益の "&amp;TEXT(前提!$B$18,"0.0%")&amp;" を成功報酬として控除しています。"</f>
        <v>・3年試算は預かり額を一定とし、ワイン時価のみ年 6.0% で複利成長。値上がり益の 30.0% を成功報酬として控除しています。</v>
      </c>
    </row>
    <row r="51" customFormat="false" ht="15" hidden="false" customHeight="false" outlineLevel="0" collapsed="false">
      <c r="A51" s="2" t="s">
        <v>351</v>
      </c>
    </row>
    <row r="52" customFormat="false" ht="15" hidden="false" customHeight="false" outlineLevel="0" collapsed="false">
      <c r="A52" s="2" t="s">
        <v>352</v>
      </c>
    </row>
    <row r="53" customFormat="false" ht="15" hidden="false" customHeight="false" outlineLevel="0" collapsed="false">
      <c r="A53" s="2" t="s">
        <v>353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2026-09-02T16:53:58Z</dcterms:created>
  <dc:creator>openpyxl</dc:creator>
  <dc:description/>
  <dc:language>en-US</dc:language>
  <cp:lastModifiedBy/>
  <dcterms:modified xsi:type="dcterms:W3CDTF">2026-10-21T04:42:37Z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