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セグメント集計_含む除く" sheetId="1" state="visible" r:id="rId3"/>
    <sheet name="連結PL_WineBank年度" sheetId="2" state="visible" r:id="rId4"/>
    <sheet name="入力_各社決算期ベース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<sst xmlns="http://schemas.openxmlformats.org/spreadsheetml/2006/main" count="125" uniqueCount="67">
  <si>
    <r>
      <rPr>
        <b val="true"/>
        <sz val="12"/>
        <rFont val="WenQuanYi Zen Hei"/>
        <family val="2"/>
      </rPr>
      <t xml:space="preserve">セグメント別 連結業績（百万円）　営業利益の青字＝</t>
    </r>
    <r>
      <rPr>
        <b val="true"/>
        <sz val="12"/>
        <rFont val="Meiryo"/>
        <family val="0"/>
        <charset val="1"/>
      </rPr>
      <t xml:space="preserve">2026/10/22 </t>
    </r>
    <r>
      <rPr>
        <b val="true"/>
        <sz val="12"/>
        <rFont val="WenQuanYi Zen Hei"/>
        <family val="2"/>
      </rPr>
      <t xml:space="preserve">デック</t>
    </r>
    <r>
      <rPr>
        <b val="true"/>
        <sz val="12"/>
        <rFont val="Meiryo"/>
        <family val="0"/>
        <charset val="1"/>
      </rPr>
      <t xml:space="preserve">p.41</t>
    </r>
    <r>
      <rPr>
        <b val="true"/>
        <sz val="12"/>
        <rFont val="WenQuanYi Zen Hei"/>
        <family val="2"/>
      </rPr>
      <t xml:space="preserve">での修正値（経営判断）</t>
    </r>
  </si>
  <si>
    <t xml:space="preserve">セグメント</t>
  </si>
  <si>
    <t xml:space="preserve">区分</t>
  </si>
  <si>
    <r>
      <rPr>
        <b val="true"/>
        <sz val="10"/>
        <color rgb="FFFFFFFF"/>
        <rFont val="Meiryo"/>
        <family val="0"/>
        <charset val="1"/>
      </rPr>
      <t xml:space="preserve">2026</t>
    </r>
    <r>
      <rPr>
        <b val="true"/>
        <sz val="10"/>
        <color rgb="FFFFFFFF"/>
        <rFont val="WenQuanYi Zen Hei"/>
        <family val="2"/>
      </rPr>
      <t xml:space="preserve">年度
</t>
    </r>
    <r>
      <rPr>
        <b val="true"/>
        <sz val="10"/>
        <color rgb="FFFFFFFF"/>
        <rFont val="Meiryo"/>
        <family val="0"/>
        <charset val="1"/>
      </rPr>
      <t xml:space="preserve">2026/10-2027/9</t>
    </r>
  </si>
  <si>
    <r>
      <rPr>
        <b val="true"/>
        <sz val="10"/>
        <color rgb="FFFFFFFF"/>
        <rFont val="Meiryo"/>
        <family val="0"/>
        <charset val="1"/>
      </rPr>
      <t xml:space="preserve">2027</t>
    </r>
    <r>
      <rPr>
        <b val="true"/>
        <sz val="10"/>
        <color rgb="FFFFFFFF"/>
        <rFont val="WenQuanYi Zen Hei"/>
        <family val="2"/>
      </rPr>
      <t xml:space="preserve">年度
</t>
    </r>
    <r>
      <rPr>
        <b val="true"/>
        <sz val="10"/>
        <color rgb="FFFFFFFF"/>
        <rFont val="Meiryo"/>
        <family val="0"/>
        <charset val="1"/>
      </rPr>
      <t xml:space="preserve">2027/10-2028/9</t>
    </r>
  </si>
  <si>
    <r>
      <rPr>
        <b val="true"/>
        <sz val="10"/>
        <color rgb="FFFFFFFF"/>
        <rFont val="Meiryo"/>
        <family val="0"/>
        <charset val="1"/>
      </rPr>
      <t xml:space="preserve">2028</t>
    </r>
    <r>
      <rPr>
        <b val="true"/>
        <sz val="10"/>
        <color rgb="FFFFFFFF"/>
        <rFont val="WenQuanYi Zen Hei"/>
        <family val="2"/>
      </rPr>
      <t xml:space="preserve">年度
</t>
    </r>
    <r>
      <rPr>
        <b val="true"/>
        <sz val="10"/>
        <color rgb="FFFFFFFF"/>
        <rFont val="Meiryo"/>
        <family val="0"/>
        <charset val="1"/>
      </rPr>
      <t xml:space="preserve">2028/10-2029/9</t>
    </r>
  </si>
  <si>
    <r>
      <rPr>
        <b val="true"/>
        <sz val="10"/>
        <color rgb="FFFFFFFF"/>
        <rFont val="Meiryo"/>
        <family val="0"/>
        <charset val="1"/>
      </rPr>
      <t xml:space="preserve">2029</t>
    </r>
    <r>
      <rPr>
        <b val="true"/>
        <sz val="10"/>
        <color rgb="FFFFFFFF"/>
        <rFont val="WenQuanYi Zen Hei"/>
        <family val="2"/>
      </rPr>
      <t xml:space="preserve">年度
</t>
    </r>
    <r>
      <rPr>
        <b val="true"/>
        <sz val="10"/>
        <color rgb="FFFFFFFF"/>
        <rFont val="Meiryo"/>
        <family val="0"/>
        <charset val="1"/>
      </rPr>
      <t xml:space="preserve">2029/10-2030/9</t>
    </r>
  </si>
  <si>
    <r>
      <rPr>
        <b val="true"/>
        <sz val="10"/>
        <color rgb="FF000000"/>
        <rFont val="WenQuanYi Zen Hei"/>
        <family val="2"/>
      </rPr>
      <t xml:space="preserve">ワイン・</t>
    </r>
    <r>
      <rPr>
        <b val="true"/>
        <sz val="10"/>
        <color rgb="FF000000"/>
        <rFont val="Meiryo"/>
        <family val="0"/>
        <charset val="1"/>
      </rPr>
      <t xml:space="preserve">WineTech</t>
    </r>
  </si>
  <si>
    <t xml:space="preserve">売上高</t>
  </si>
  <si>
    <r>
      <rPr>
        <sz val="10"/>
        <color rgb="FF000000"/>
        <rFont val="WenQuanYi Zen Hei"/>
        <family val="2"/>
      </rPr>
      <t xml:space="preserve">ワイン・</t>
    </r>
    <r>
      <rPr>
        <sz val="10"/>
        <color rgb="FF000000"/>
        <rFont val="Meiryo"/>
        <family val="0"/>
        <charset val="1"/>
      </rPr>
      <t xml:space="preserve">WineTech</t>
    </r>
  </si>
  <si>
    <t xml:space="preserve">営業利益（モデル）</t>
  </si>
  <si>
    <t xml:space="preserve">営業利益</t>
  </si>
  <si>
    <t xml:space="preserve">持分按分後 営業利益</t>
  </si>
  <si>
    <t xml:space="preserve">グランメゾン</t>
  </si>
  <si>
    <t xml:space="preserve">ブラッスリー</t>
  </si>
  <si>
    <t xml:space="preserve">レストラン運営</t>
  </si>
  <si>
    <t xml:space="preserve">連結売上高（カンテサンス含む）</t>
  </si>
  <si>
    <t xml:space="preserve">連結営業利益（カンテサンス含む）</t>
  </si>
  <si>
    <t xml:space="preserve">持分按分後 営業利益（カンテサンス含む）</t>
  </si>
  <si>
    <t xml:space="preserve">連結売上高（カンテサンス除く）</t>
  </si>
  <si>
    <t xml:space="preserve">連結営業利益（カンテサンス除く）</t>
  </si>
  <si>
    <t xml:space="preserve">持分按分後 営業利益（カンテサンス除く）</t>
  </si>
  <si>
    <r>
      <rPr>
        <b val="true"/>
        <sz val="12"/>
        <rFont val="WenQuanYi Zen Hei"/>
        <family val="2"/>
      </rPr>
      <t xml:space="preserve">組織再編後 連結損益計画（百万円）　年度＝</t>
    </r>
    <r>
      <rPr>
        <b val="true"/>
        <sz val="12"/>
        <rFont val="Meiryo"/>
        <family val="0"/>
        <charset val="1"/>
      </rPr>
      <t xml:space="preserve">WineBank</t>
    </r>
    <r>
      <rPr>
        <b val="true"/>
        <sz val="12"/>
        <rFont val="WenQuanYi Zen Hei"/>
        <family val="2"/>
      </rPr>
      <t xml:space="preserve">決算期（</t>
    </r>
    <r>
      <rPr>
        <b val="true"/>
        <sz val="12"/>
        <rFont val="Meiryo"/>
        <family val="0"/>
        <charset val="1"/>
      </rPr>
      <t xml:space="preserve">10</t>
    </r>
    <r>
      <rPr>
        <b val="true"/>
        <sz val="12"/>
        <rFont val="WenQuanYi Zen Hei"/>
        <family val="2"/>
      </rPr>
      <t xml:space="preserve">月〜翌</t>
    </r>
    <r>
      <rPr>
        <b val="true"/>
        <sz val="12"/>
        <rFont val="Meiryo"/>
        <family val="0"/>
        <charset val="1"/>
      </rPr>
      <t xml:space="preserve">9</t>
    </r>
    <r>
      <rPr>
        <b val="true"/>
        <sz val="12"/>
        <rFont val="WenQuanYi Zen Hei"/>
        <family val="2"/>
      </rPr>
      <t xml:space="preserve">月）</t>
    </r>
  </si>
  <si>
    <r>
      <rPr>
        <sz val="9"/>
        <rFont val="WenQuanYi Zen Hei"/>
        <family val="2"/>
      </rPr>
      <t xml:space="preserve">決算期が異なる子会社は月数按分で組替え。グループ内取引の消去は未反映（</t>
    </r>
    <r>
      <rPr>
        <sz val="9"/>
        <rFont val="Meiryo"/>
        <family val="0"/>
        <charset val="1"/>
      </rPr>
      <t xml:space="preserve">WineBank</t>
    </r>
    <r>
      <rPr>
        <sz val="9"/>
        <rFont val="WenQuanYi Zen Hei"/>
        <family val="2"/>
      </rPr>
      <t xml:space="preserve">側のグループ内コンサル料は消去済）</t>
    </r>
  </si>
  <si>
    <t xml:space="preserve">事業</t>
  </si>
  <si>
    <r>
      <rPr>
        <b val="true"/>
        <sz val="10"/>
        <color rgb="FF000000"/>
        <rFont val="Meiryo"/>
        <family val="0"/>
        <charset val="1"/>
      </rPr>
      <t xml:space="preserve">WineBank </t>
    </r>
    <r>
      <rPr>
        <b val="true"/>
        <sz val="10"/>
        <color rgb="FF000000"/>
        <rFont val="WenQuanYi Zen Hei"/>
        <family val="2"/>
      </rPr>
      <t xml:space="preserve">既存ワイン事業</t>
    </r>
  </si>
  <si>
    <r>
      <rPr>
        <sz val="10"/>
        <color rgb="FF000000"/>
        <rFont val="Meiryo"/>
        <family val="0"/>
        <charset val="1"/>
      </rPr>
      <t xml:space="preserve">WineBank </t>
    </r>
    <r>
      <rPr>
        <sz val="10"/>
        <color rgb="FF000000"/>
        <rFont val="WenQuanYi Zen Hei"/>
        <family val="2"/>
      </rPr>
      <t xml:space="preserve">既存ワイン事業</t>
    </r>
  </si>
  <si>
    <r>
      <rPr>
        <b val="true"/>
        <sz val="10"/>
        <color rgb="FF000000"/>
        <rFont val="Meiryo"/>
        <family val="0"/>
        <charset val="1"/>
      </rPr>
      <t xml:space="preserve">WineBank </t>
    </r>
    <r>
      <rPr>
        <b val="true"/>
        <sz val="10"/>
        <color rgb="FF000000"/>
        <rFont val="WenQuanYi Zen Hei"/>
        <family val="2"/>
      </rPr>
      <t xml:space="preserve">私募ファンド・オークション</t>
    </r>
  </si>
  <si>
    <r>
      <rPr>
        <sz val="10"/>
        <color rgb="FF000000"/>
        <rFont val="Meiryo"/>
        <family val="0"/>
        <charset val="1"/>
      </rPr>
      <t xml:space="preserve">WineBank </t>
    </r>
    <r>
      <rPr>
        <sz val="10"/>
        <color rgb="FF000000"/>
        <rFont val="WenQuanYi Zen Hei"/>
        <family val="2"/>
      </rPr>
      <t xml:space="preserve">私募ファンド・オークション</t>
    </r>
  </si>
  <si>
    <r>
      <rPr>
        <b val="true"/>
        <sz val="10"/>
        <color rgb="FF000000"/>
        <rFont val="Meiryo"/>
        <family val="0"/>
        <charset val="1"/>
      </rPr>
      <t xml:space="preserve">WineBank </t>
    </r>
    <r>
      <rPr>
        <b val="true"/>
        <sz val="10"/>
        <color rgb="FF000000"/>
        <rFont val="WenQuanYi Zen Hei"/>
        <family val="2"/>
      </rPr>
      <t xml:space="preserve">ワインマイル</t>
    </r>
  </si>
  <si>
    <r>
      <rPr>
        <sz val="10"/>
        <color rgb="FF000000"/>
        <rFont val="Meiryo"/>
        <family val="0"/>
        <charset val="1"/>
      </rPr>
      <t xml:space="preserve">WineBank </t>
    </r>
    <r>
      <rPr>
        <sz val="10"/>
        <color rgb="FF000000"/>
        <rFont val="WenQuanYi Zen Hei"/>
        <family val="2"/>
      </rPr>
      <t xml:space="preserve">ワインマイル</t>
    </r>
  </si>
  <si>
    <t xml:space="preserve">アピシウス</t>
  </si>
  <si>
    <t xml:space="preserve">カンテサンス（プティ・ボノム）</t>
  </si>
  <si>
    <t xml:space="preserve">Brasserie Thierry Marx</t>
  </si>
  <si>
    <t xml:space="preserve">バリューキッチン</t>
  </si>
  <si>
    <t xml:space="preserve">その他グループ会社（バリューテーブル・エルネット等）</t>
  </si>
  <si>
    <t xml:space="preserve">連結売上高</t>
  </si>
  <si>
    <r>
      <rPr>
        <b val="true"/>
        <sz val="10"/>
        <color rgb="FF000000"/>
        <rFont val="WenQuanYi Zen Hei"/>
        <family val="2"/>
      </rPr>
      <t xml:space="preserve">連結営業利益（モデル値・</t>
    </r>
    <r>
      <rPr>
        <b val="true"/>
        <sz val="10"/>
        <color rgb="FF000000"/>
        <rFont val="Meiryo"/>
        <family val="0"/>
        <charset val="1"/>
      </rPr>
      <t xml:space="preserve">p.41</t>
    </r>
    <r>
      <rPr>
        <b val="true"/>
        <sz val="10"/>
        <color rgb="FF000000"/>
        <rFont val="WenQuanYi Zen Hei"/>
        <family val="2"/>
      </rPr>
      <t xml:space="preserve">修正前）</t>
    </r>
  </si>
  <si>
    <t xml:space="preserve">営業利益率</t>
  </si>
  <si>
    <t xml:space="preserve">（参考）持分按分後 営業利益（モデル値・修正前）</t>
  </si>
  <si>
    <t xml:space="preserve">親会社帰属の目安</t>
  </si>
  <si>
    <t xml:space="preserve">各社の自社決算期ベースの計画（百万円）　青字＝入力値</t>
  </si>
  <si>
    <t xml:space="preserve">決算月</t>
  </si>
  <si>
    <r>
      <rPr>
        <b val="true"/>
        <sz val="10"/>
        <color rgb="FFFFFFFF"/>
        <rFont val="Meiryo"/>
        <family val="0"/>
        <charset val="1"/>
      </rPr>
      <t xml:space="preserve">WineBank</t>
    </r>
    <r>
      <rPr>
        <b val="true"/>
        <sz val="10"/>
        <color rgb="FFFFFFFF"/>
        <rFont val="WenQuanYi Zen Hei"/>
        <family val="2"/>
      </rPr>
      <t xml:space="preserve">持分</t>
    </r>
  </si>
  <si>
    <r>
      <rPr>
        <b val="true"/>
        <sz val="10"/>
        <color rgb="FFFFFFFF"/>
        <rFont val="Meiryo"/>
        <family val="0"/>
        <charset val="1"/>
      </rPr>
      <t xml:space="preserve">2026</t>
    </r>
    <r>
      <rPr>
        <b val="true"/>
        <sz val="10"/>
        <color rgb="FFFFFFFF"/>
        <rFont val="WenQuanYi Zen Hei"/>
        <family val="2"/>
      </rPr>
      <t xml:space="preserve">年 売上</t>
    </r>
  </si>
  <si>
    <r>
      <rPr>
        <b val="true"/>
        <sz val="10"/>
        <color rgb="FFFFFFFF"/>
        <rFont val="Meiryo"/>
        <family val="0"/>
        <charset val="1"/>
      </rPr>
      <t xml:space="preserve">2027</t>
    </r>
    <r>
      <rPr>
        <b val="true"/>
        <sz val="10"/>
        <color rgb="FFFFFFFF"/>
        <rFont val="WenQuanYi Zen Hei"/>
        <family val="2"/>
      </rPr>
      <t xml:space="preserve">年 売上</t>
    </r>
  </si>
  <si>
    <r>
      <rPr>
        <b val="true"/>
        <sz val="10"/>
        <color rgb="FFFFFFFF"/>
        <rFont val="Meiryo"/>
        <family val="0"/>
        <charset val="1"/>
      </rPr>
      <t xml:space="preserve">2028</t>
    </r>
    <r>
      <rPr>
        <b val="true"/>
        <sz val="10"/>
        <color rgb="FFFFFFFF"/>
        <rFont val="WenQuanYi Zen Hei"/>
        <family val="2"/>
      </rPr>
      <t xml:space="preserve">年 売上</t>
    </r>
  </si>
  <si>
    <r>
      <rPr>
        <b val="true"/>
        <sz val="10"/>
        <color rgb="FFFFFFFF"/>
        <rFont val="Meiryo"/>
        <family val="0"/>
        <charset val="1"/>
      </rPr>
      <t xml:space="preserve">2029</t>
    </r>
    <r>
      <rPr>
        <b val="true"/>
        <sz val="10"/>
        <color rgb="FFFFFFFF"/>
        <rFont val="WenQuanYi Zen Hei"/>
        <family val="2"/>
      </rPr>
      <t xml:space="preserve">年 売上</t>
    </r>
  </si>
  <si>
    <r>
      <rPr>
        <b val="true"/>
        <sz val="10"/>
        <color rgb="FFFFFFFF"/>
        <rFont val="Meiryo"/>
        <family val="0"/>
        <charset val="1"/>
      </rPr>
      <t xml:space="preserve">2030</t>
    </r>
    <r>
      <rPr>
        <b val="true"/>
        <sz val="10"/>
        <color rgb="FFFFFFFF"/>
        <rFont val="WenQuanYi Zen Hei"/>
        <family val="2"/>
      </rPr>
      <t xml:space="preserve">年 売上</t>
    </r>
  </si>
  <si>
    <r>
      <rPr>
        <b val="true"/>
        <sz val="10"/>
        <color rgb="FFFFFFFF"/>
        <rFont val="Meiryo"/>
        <family val="0"/>
        <charset val="1"/>
      </rPr>
      <t xml:space="preserve">2031</t>
    </r>
    <r>
      <rPr>
        <b val="true"/>
        <sz val="10"/>
        <color rgb="FFFFFFFF"/>
        <rFont val="WenQuanYi Zen Hei"/>
        <family val="2"/>
      </rPr>
      <t xml:space="preserve">年 売上</t>
    </r>
  </si>
  <si>
    <r>
      <rPr>
        <b val="true"/>
        <sz val="10"/>
        <color rgb="FFFFFFFF"/>
        <rFont val="Meiryo"/>
        <family val="0"/>
        <charset val="1"/>
      </rPr>
      <t xml:space="preserve">2026</t>
    </r>
    <r>
      <rPr>
        <b val="true"/>
        <sz val="10"/>
        <color rgb="FFFFFFFF"/>
        <rFont val="WenQuanYi Zen Hei"/>
        <family val="2"/>
      </rPr>
      <t xml:space="preserve">年 営業利益</t>
    </r>
  </si>
  <si>
    <r>
      <rPr>
        <b val="true"/>
        <sz val="10"/>
        <color rgb="FFFFFFFF"/>
        <rFont val="Meiryo"/>
        <family val="0"/>
        <charset val="1"/>
      </rPr>
      <t xml:space="preserve">2027</t>
    </r>
    <r>
      <rPr>
        <b val="true"/>
        <sz val="10"/>
        <color rgb="FFFFFFFF"/>
        <rFont val="WenQuanYi Zen Hei"/>
        <family val="2"/>
      </rPr>
      <t xml:space="preserve">年 営業利益</t>
    </r>
  </si>
  <si>
    <r>
      <rPr>
        <b val="true"/>
        <sz val="10"/>
        <color rgb="FFFFFFFF"/>
        <rFont val="Meiryo"/>
        <family val="0"/>
        <charset val="1"/>
      </rPr>
      <t xml:space="preserve">2028</t>
    </r>
    <r>
      <rPr>
        <b val="true"/>
        <sz val="10"/>
        <color rgb="FFFFFFFF"/>
        <rFont val="WenQuanYi Zen Hei"/>
        <family val="2"/>
      </rPr>
      <t xml:space="preserve">年 営業利益</t>
    </r>
  </si>
  <si>
    <r>
      <rPr>
        <b val="true"/>
        <sz val="10"/>
        <color rgb="FFFFFFFF"/>
        <rFont val="Meiryo"/>
        <family val="0"/>
        <charset val="1"/>
      </rPr>
      <t xml:space="preserve">2029</t>
    </r>
    <r>
      <rPr>
        <b val="true"/>
        <sz val="10"/>
        <color rgb="FFFFFFFF"/>
        <rFont val="WenQuanYi Zen Hei"/>
        <family val="2"/>
      </rPr>
      <t xml:space="preserve">年 営業利益</t>
    </r>
  </si>
  <si>
    <r>
      <rPr>
        <b val="true"/>
        <sz val="10"/>
        <color rgb="FFFFFFFF"/>
        <rFont val="Meiryo"/>
        <family val="0"/>
        <charset val="1"/>
      </rPr>
      <t xml:space="preserve">2030</t>
    </r>
    <r>
      <rPr>
        <b val="true"/>
        <sz val="10"/>
        <color rgb="FFFFFFFF"/>
        <rFont val="WenQuanYi Zen Hei"/>
        <family val="2"/>
      </rPr>
      <t xml:space="preserve">年 営業利益</t>
    </r>
  </si>
  <si>
    <r>
      <rPr>
        <b val="true"/>
        <sz val="10"/>
        <color rgb="FFFFFFFF"/>
        <rFont val="Meiryo"/>
        <family val="0"/>
        <charset val="1"/>
      </rPr>
      <t xml:space="preserve">2031</t>
    </r>
    <r>
      <rPr>
        <b val="true"/>
        <sz val="10"/>
        <color rgb="FFFFFFFF"/>
        <rFont val="WenQuanYi Zen Hei"/>
        <family val="2"/>
      </rPr>
      <t xml:space="preserve">年 営業利益</t>
    </r>
  </si>
  <si>
    <t xml:space="preserve">出所・前提</t>
  </si>
  <si>
    <r>
      <rPr>
        <sz val="10"/>
        <color rgb="FF000000"/>
        <rFont val="Meiryo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年度＝銀行提出 </t>
    </r>
    <r>
      <rPr>
        <sz val="10"/>
        <color rgb="FF000000"/>
        <rFont val="Meiryo"/>
        <family val="0"/>
        <charset val="1"/>
      </rPr>
      <t xml:space="preserve">FY2027</t>
    </r>
    <r>
      <rPr>
        <sz val="10"/>
        <color rgb="FF000000"/>
        <rFont val="WenQuanYi Zen Hei"/>
        <family val="2"/>
      </rPr>
      <t xml:space="preserve">プラン</t>
    </r>
    <r>
      <rPr>
        <sz val="10"/>
        <color rgb="FF000000"/>
        <rFont val="Meiryo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（売上</t>
    </r>
    <r>
      <rPr>
        <sz val="10"/>
        <color rgb="FF000000"/>
        <rFont val="Meiryo"/>
        <family val="0"/>
        <charset val="1"/>
      </rPr>
      <t xml:space="preserve">833.0</t>
    </r>
    <r>
      <rPr>
        <sz val="10"/>
        <color rgb="FF000000"/>
        <rFont val="WenQuanYi Zen Hei"/>
        <family val="2"/>
      </rPr>
      <t xml:space="preserve">・営業利益</t>
    </r>
    <r>
      <rPr>
        <sz val="10"/>
        <color rgb="FF000000"/>
        <rFont val="Meiryo"/>
        <family val="0"/>
        <charset val="1"/>
      </rPr>
      <t xml:space="preserve">105.4</t>
    </r>
    <r>
      <rPr>
        <sz val="10"/>
        <color rgb="FF000000"/>
        <rFont val="WenQuanYi Zen Hei"/>
        <family val="2"/>
      </rPr>
      <t xml:space="preserve">）からグループ内コンサル料</t>
    </r>
    <r>
      <rPr>
        <sz val="10"/>
        <color rgb="FF000000"/>
        <rFont val="Meiryo"/>
        <family val="0"/>
        <charset val="1"/>
      </rPr>
      <t xml:space="preserve">82.5</t>
    </r>
    <r>
      <rPr>
        <sz val="10"/>
        <color rgb="FF000000"/>
        <rFont val="WenQuanYi Zen Hei"/>
        <family val="2"/>
      </rPr>
      <t xml:space="preserve">を消去。</t>
    </r>
    <r>
      <rPr>
        <sz val="10"/>
        <color rgb="FF000000"/>
        <rFont val="Meiryo"/>
        <family val="0"/>
        <charset val="1"/>
      </rPr>
      <t xml:space="preserve">2027</t>
    </r>
    <r>
      <rPr>
        <sz val="10"/>
        <color rgb="FF000000"/>
        <rFont val="WenQuanYi Zen Hei"/>
        <family val="2"/>
      </rPr>
      <t xml:space="preserve">年度以降は年</t>
    </r>
    <r>
      <rPr>
        <sz val="10"/>
        <color rgb="FF000000"/>
        <rFont val="Meiryo"/>
        <family val="0"/>
        <charset val="1"/>
      </rPr>
      <t xml:space="preserve">5%</t>
    </r>
    <r>
      <rPr>
        <sz val="10"/>
        <color rgb="FF000000"/>
        <rFont val="WenQuanYi Zen Hei"/>
        <family val="2"/>
      </rPr>
      <t xml:space="preserve">成長・増分粗利率</t>
    </r>
    <r>
      <rPr>
        <sz val="10"/>
        <color rgb="FF000000"/>
        <rFont val="Meiryo"/>
        <family val="0"/>
        <charset val="1"/>
      </rPr>
      <t xml:space="preserve">30%</t>
    </r>
    <r>
      <rPr>
        <sz val="10"/>
        <color rgb="FF000000"/>
        <rFont val="WenQuanYi Zen Hei"/>
        <family val="2"/>
      </rPr>
      <t xml:space="preserve">・販管費据置の仮置き</t>
    </r>
  </si>
  <si>
    <r>
      <rPr>
        <sz val="10"/>
        <color rgb="FF000000"/>
        <rFont val="WenQuanYi Zen Hei"/>
        <family val="2"/>
      </rPr>
      <t xml:space="preserve">銀行提出 </t>
    </r>
    <r>
      <rPr>
        <sz val="10"/>
        <color rgb="FF000000"/>
        <rFont val="Meiryo"/>
        <family val="0"/>
        <charset val="1"/>
      </rPr>
      <t xml:space="preserve">FY2027</t>
    </r>
    <r>
      <rPr>
        <sz val="10"/>
        <color rgb="FF000000"/>
        <rFont val="WenQuanYi Zen Hei"/>
        <family val="2"/>
      </rPr>
      <t xml:space="preserve">プラン</t>
    </r>
    <r>
      <rPr>
        <sz val="10"/>
        <color rgb="FF000000"/>
        <rFont val="Meiryo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（上振れ）の上積み</t>
    </r>
    <r>
      <rPr>
        <sz val="10"/>
        <color rgb="FF000000"/>
        <rFont val="Meiryo"/>
        <family val="0"/>
        <charset val="1"/>
      </rPr>
      <t xml:space="preserve">300</t>
    </r>
    <r>
      <rPr>
        <sz val="10"/>
        <color rgb="FF000000"/>
        <rFont val="WenQuanYi Zen Hei"/>
        <family val="2"/>
      </rPr>
      <t xml:space="preserve">（粗利率</t>
    </r>
    <r>
      <rPr>
        <sz val="10"/>
        <color rgb="FF000000"/>
        <rFont val="Meiryo"/>
        <family val="0"/>
        <charset val="1"/>
      </rPr>
      <t xml:space="preserve">30%</t>
    </r>
    <r>
      <rPr>
        <sz val="10"/>
        <color rgb="FF000000"/>
        <rFont val="WenQuanYi Zen Hei"/>
        <family val="2"/>
      </rPr>
      <t xml:space="preserve">）を</t>
    </r>
    <r>
      <rPr>
        <sz val="10"/>
        <color rgb="FF000000"/>
        <rFont val="Meiryo"/>
        <family val="0"/>
        <charset val="1"/>
      </rPr>
      <t xml:space="preserve">2027</t>
    </r>
    <r>
      <rPr>
        <sz val="10"/>
        <color rgb="FF000000"/>
        <rFont val="WenQuanYi Zen Hei"/>
        <family val="2"/>
      </rPr>
      <t xml:space="preserve">年度から据置で計上</t>
    </r>
  </si>
  <si>
    <r>
      <rPr>
        <sz val="10"/>
        <color rgb="FF000000"/>
        <rFont val="WenQuanYi Zen Hei"/>
        <family val="2"/>
      </rPr>
      <t xml:space="preserve">ワインマイル</t>
    </r>
    <r>
      <rPr>
        <sz val="10"/>
        <color rgb="FF000000"/>
        <rFont val="Meiryo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か年</t>
    </r>
    <r>
      <rPr>
        <sz val="10"/>
        <color rgb="FF000000"/>
        <rFont val="Meiryo"/>
        <family val="0"/>
        <charset val="1"/>
      </rPr>
      <t xml:space="preserve">PL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Meiryo"/>
        <family val="0"/>
        <charset val="1"/>
      </rPr>
      <t xml:space="preserve">9/2</t>
    </r>
    <r>
      <rPr>
        <sz val="10"/>
        <color rgb="FF000000"/>
        <rFont val="WenQuanYi Zen Hei"/>
        <family val="2"/>
      </rPr>
      <t xml:space="preserve">版）を最新レートカード（管理料</t>
    </r>
    <r>
      <rPr>
        <sz val="10"/>
        <color rgb="FF000000"/>
        <rFont val="Meiryo"/>
        <family val="0"/>
        <charset val="1"/>
      </rPr>
      <t xml:space="preserve">2.75%</t>
    </r>
    <r>
      <rPr>
        <sz val="10"/>
        <color rgb="FF000000"/>
        <rFont val="WenQuanYi Zen Hei"/>
        <family val="2"/>
      </rPr>
      <t xml:space="preserve">・還元率</t>
    </r>
    <r>
      <rPr>
        <sz val="10"/>
        <color rgb="FF000000"/>
        <rFont val="Meiryo"/>
        <family val="0"/>
        <charset val="1"/>
      </rPr>
      <t xml:space="preserve">4/5/6%</t>
    </r>
    <r>
      <rPr>
        <sz val="10"/>
        <color rgb="FF000000"/>
        <rFont val="WenQuanYi Zen Hei"/>
        <family val="2"/>
      </rPr>
      <t xml:space="preserve">・成功報酬</t>
    </r>
    <r>
      <rPr>
        <sz val="10"/>
        <color rgb="FF000000"/>
        <rFont val="Meiryo"/>
        <family val="0"/>
        <charset val="1"/>
      </rPr>
      <t xml:space="preserve">30%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Meiryo"/>
        <family val="0"/>
        <charset val="1"/>
      </rPr>
      <t xml:space="preserve">GOLD500</t>
    </r>
    <r>
      <rPr>
        <sz val="10"/>
        <color rgb="FF000000"/>
        <rFont val="WenQuanYi Zen Hei"/>
        <family val="2"/>
      </rPr>
      <t xml:space="preserve">万〜、</t>
    </r>
    <r>
      <rPr>
        <sz val="10"/>
        <color rgb="FF000000"/>
        <rFont val="Meiryo"/>
        <family val="0"/>
        <charset val="1"/>
      </rPr>
      <t xml:space="preserve">9/29</t>
    </r>
    <r>
      <rPr>
        <sz val="10"/>
        <color rgb="FF000000"/>
        <rFont val="WenQuanYi Zen Hei"/>
        <family val="2"/>
      </rPr>
      <t xml:space="preserve">）で再計算した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〜</t>
    </r>
    <r>
      <rPr>
        <sz val="10"/>
        <color rgb="FF000000"/>
        <rFont val="Meiryo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年目。</t>
    </r>
    <r>
      <rPr>
        <sz val="10"/>
        <color rgb="FF000000"/>
        <rFont val="Meiryo"/>
        <family val="0"/>
        <charset val="1"/>
      </rPr>
      <t xml:space="preserve">2027</t>
    </r>
    <r>
      <rPr>
        <sz val="10"/>
        <color rgb="FF000000"/>
        <rFont val="WenQuanYi Zen Hei"/>
        <family val="2"/>
      </rPr>
      <t xml:space="preserve">年度を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年目とし、人件費・システム費は既存体制で吸収</t>
    </r>
  </si>
  <si>
    <r>
      <rPr>
        <sz val="10"/>
        <color rgb="FF000000"/>
        <rFont val="Meiryo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Meiryo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月期＝グループ管理表の着地予想。</t>
    </r>
    <r>
      <rPr>
        <sz val="10"/>
        <color rgb="FF000000"/>
        <rFont val="Meiryo"/>
        <family val="0"/>
        <charset val="1"/>
      </rPr>
      <t xml:space="preserve">2027</t>
    </r>
    <r>
      <rPr>
        <sz val="10"/>
        <color rgb="FF000000"/>
        <rFont val="WenQuanYi Zen Hei"/>
        <family val="2"/>
      </rPr>
      <t xml:space="preserve">年以降は売上年</t>
    </r>
    <r>
      <rPr>
        <sz val="10"/>
        <color rgb="FF000000"/>
        <rFont val="Meiryo"/>
        <family val="0"/>
        <charset val="1"/>
      </rPr>
      <t xml:space="preserve">3%</t>
    </r>
    <r>
      <rPr>
        <sz val="10"/>
        <color rgb="FF000000"/>
        <rFont val="WenQuanYi Zen Hei"/>
        <family val="2"/>
      </rPr>
      <t xml:space="preserve">成長・営業利益率</t>
    </r>
    <r>
      <rPr>
        <sz val="10"/>
        <color rgb="FF000000"/>
        <rFont val="Meiryo"/>
        <family val="0"/>
        <charset val="1"/>
      </rPr>
      <t xml:space="preserve">18.6%</t>
    </r>
    <r>
      <rPr>
        <sz val="10"/>
        <color rgb="FF000000"/>
        <rFont val="WenQuanYi Zen Hei"/>
        <family val="2"/>
      </rPr>
      <t xml:space="preserve">据置の仮置き</t>
    </r>
  </si>
  <si>
    <r>
      <rPr>
        <sz val="10"/>
        <color rgb="FF000000"/>
        <rFont val="Meiryo"/>
        <family val="0"/>
        <charset val="1"/>
      </rPr>
      <t xml:space="preserve">IM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Meiryo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Meiryo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月）</t>
    </r>
    <r>
      <rPr>
        <sz val="10"/>
        <color rgb="FF000000"/>
        <rFont val="Meiryo"/>
        <family val="0"/>
        <charset val="1"/>
      </rPr>
      <t xml:space="preserve">42</t>
    </r>
    <r>
      <rPr>
        <sz val="10"/>
        <color rgb="FF000000"/>
        <rFont val="WenQuanYi Zen Hei"/>
        <family val="2"/>
      </rPr>
      <t xml:space="preserve">頁 監修後・売上横ばいケース。</t>
    </r>
    <r>
      <rPr>
        <sz val="10"/>
        <color rgb="FF000000"/>
        <rFont val="Meiryo"/>
        <family val="0"/>
        <charset val="1"/>
      </rPr>
      <t xml:space="preserve">2030</t>
    </r>
    <r>
      <rPr>
        <sz val="10"/>
        <color rgb="FF000000"/>
        <rFont val="WenQuanYi Zen Hei"/>
        <family val="2"/>
      </rPr>
      <t xml:space="preserve">年は</t>
    </r>
    <r>
      <rPr>
        <sz val="10"/>
        <color rgb="FF000000"/>
        <rFont val="Meiryo"/>
        <family val="0"/>
        <charset val="1"/>
      </rPr>
      <t xml:space="preserve">IM</t>
    </r>
    <r>
      <rPr>
        <sz val="10"/>
        <color rgb="FF000000"/>
        <rFont val="WenQuanYi Zen Hei"/>
        <family val="2"/>
      </rPr>
      <t xml:space="preserve">の年平均成長率で延長（</t>
    </r>
    <r>
      <rPr>
        <sz val="10"/>
        <color rgb="FF000000"/>
        <rFont val="Meiryo"/>
        <family val="0"/>
        <charset val="1"/>
      </rPr>
      <t xml:space="preserve">CF</t>
    </r>
    <r>
      <rPr>
        <sz val="10"/>
        <color rgb="FF000000"/>
        <rFont val="WenQuanYi Zen Hei"/>
        <family val="2"/>
      </rPr>
      <t xml:space="preserve">計画</t>
    </r>
    <r>
      <rPr>
        <sz val="10"/>
        <color rgb="FF000000"/>
        <rFont val="Meiryo"/>
        <family val="0"/>
        <charset val="1"/>
      </rPr>
      <t xml:space="preserve">2027-2032</t>
    </r>
    <r>
      <rPr>
        <sz val="10"/>
        <color rgb="FF000000"/>
        <rFont val="WenQuanYi Zen Hei"/>
        <family val="2"/>
      </rPr>
      <t xml:space="preserve">）。岸田氏報酬見直し等の取得後改善（年約</t>
    </r>
    <r>
      <rPr>
        <sz val="10"/>
        <color rgb="FF000000"/>
        <rFont val="Meiryo"/>
        <family val="0"/>
        <charset val="1"/>
      </rPr>
      <t xml:space="preserve">0.8</t>
    </r>
    <r>
      <rPr>
        <sz val="10"/>
        <color rgb="FF000000"/>
        <rFont val="WenQuanYi Zen Hei"/>
        <family val="2"/>
      </rPr>
      <t xml:space="preserve">億）と一時費用（役員退職金</t>
    </r>
    <r>
      <rPr>
        <sz val="10"/>
        <color rgb="FF000000"/>
        <rFont val="Meiryo"/>
        <family val="0"/>
        <charset val="1"/>
      </rPr>
      <t xml:space="preserve">2.25</t>
    </r>
    <r>
      <rPr>
        <sz val="10"/>
        <color rgb="FF000000"/>
        <rFont val="WenQuanYi Zen Hei"/>
        <family val="2"/>
      </rPr>
      <t xml:space="preserve">億）は含めない</t>
    </r>
  </si>
  <si>
    <r>
      <rPr>
        <sz val="10"/>
        <color rgb="FF000000"/>
        <rFont val="WenQuanYi Zen Hei"/>
        <family val="2"/>
      </rPr>
      <t xml:space="preserve">事業収支統合モデル </t>
    </r>
    <r>
      <rPr>
        <sz val="10"/>
        <color rgb="FF000000"/>
        <rFont val="Meiryo"/>
        <family val="0"/>
        <charset val="1"/>
      </rPr>
      <t xml:space="preserve">2026/10/16 v4 </t>
    </r>
    <r>
      <rPr>
        <sz val="10"/>
        <color rgb="FF000000"/>
        <rFont val="WenQuanYi Zen Hei"/>
        <family val="2"/>
      </rPr>
      <t xml:space="preserve">連結</t>
    </r>
    <r>
      <rPr>
        <sz val="10"/>
        <color rgb="FF000000"/>
        <rFont val="Meiryo"/>
        <family val="0"/>
        <charset val="1"/>
      </rPr>
      <t xml:space="preserve">PL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Meiryo"/>
        <family val="0"/>
        <charset val="1"/>
      </rPr>
      <t xml:space="preserve">FY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Meiryo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月〜</t>
    </r>
    <r>
      <rPr>
        <sz val="10"/>
        <color rgb="FF000000"/>
        <rFont val="Meiryo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月）。</t>
    </r>
    <r>
      <rPr>
        <sz val="10"/>
        <color rgb="FF000000"/>
        <rFont val="Meiryo"/>
        <family val="0"/>
        <charset val="1"/>
      </rPr>
      <t xml:space="preserve">2027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Meiryo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月期は開業前のため</t>
    </r>
    <r>
      <rPr>
        <sz val="10"/>
        <color rgb="FF000000"/>
        <rFont val="Meiryo"/>
        <family val="0"/>
        <charset val="1"/>
      </rPr>
      <t xml:space="preserve">0</t>
    </r>
  </si>
  <si>
    <r>
      <rPr>
        <sz val="10"/>
        <color rgb="FF000000"/>
        <rFont val="WenQuanYi Zen Hei"/>
        <family val="2"/>
      </rPr>
      <t xml:space="preserve">グループ管理表の着地予想（売上</t>
    </r>
    <r>
      <rPr>
        <sz val="10"/>
        <color rgb="FF000000"/>
        <rFont val="Meiryo"/>
        <family val="0"/>
        <charset val="1"/>
      </rPr>
      <t xml:space="preserve">700</t>
    </r>
    <r>
      <rPr>
        <sz val="10"/>
        <color rgb="FF000000"/>
        <rFont val="WenQuanYi Zen Hei"/>
        <family val="2"/>
      </rPr>
      <t xml:space="preserve">・営業利益</t>
    </r>
    <r>
      <rPr>
        <sz val="10"/>
        <color rgb="FF000000"/>
        <rFont val="Meiryo"/>
        <family val="0"/>
        <charset val="1"/>
      </rPr>
      <t xml:space="preserve">100</t>
    </r>
    <r>
      <rPr>
        <sz val="10"/>
        <color rgb="FF000000"/>
        <rFont val="WenQuanYi Zen Hei"/>
        <family val="2"/>
      </rPr>
      <t xml:space="preserve">）を</t>
    </r>
    <r>
      <rPr>
        <sz val="10"/>
        <color rgb="FF000000"/>
        <rFont val="Meiryo"/>
        <family val="0"/>
        <charset val="1"/>
      </rPr>
      <t xml:space="preserve">2027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Meiryo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月期に充当（</t>
    </r>
    <r>
      <rPr>
        <sz val="10"/>
        <color rgb="FF000000"/>
        <rFont val="Meiryo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Meiryo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月期実績：売上</t>
    </r>
    <r>
      <rPr>
        <sz val="10"/>
        <color rgb="FF000000"/>
        <rFont val="Meiryo"/>
        <family val="0"/>
        <charset val="1"/>
      </rPr>
      <t xml:space="preserve">645</t>
    </r>
    <r>
      <rPr>
        <sz val="10"/>
        <color rgb="FF000000"/>
        <rFont val="WenQuanYi Zen Hei"/>
        <family val="2"/>
      </rPr>
      <t xml:space="preserve">・店舗営業利益</t>
    </r>
    <r>
      <rPr>
        <sz val="10"/>
        <color rgb="FF000000"/>
        <rFont val="Meiryo"/>
        <family val="0"/>
        <charset val="1"/>
      </rPr>
      <t xml:space="preserve">75</t>
    </r>
    <r>
      <rPr>
        <sz val="10"/>
        <color rgb="FF000000"/>
        <rFont val="WenQuanYi Zen Hei"/>
        <family val="2"/>
      </rPr>
      <t xml:space="preserve">）。以降は年</t>
    </r>
    <r>
      <rPr>
        <sz val="10"/>
        <color rgb="FF000000"/>
        <rFont val="Meiryo"/>
        <family val="0"/>
        <charset val="1"/>
      </rPr>
      <t xml:space="preserve">3%</t>
    </r>
    <r>
      <rPr>
        <sz val="10"/>
        <color rgb="FF000000"/>
        <rFont val="WenQuanYi Zen Hei"/>
        <family val="2"/>
      </rPr>
      <t xml:space="preserve">成長の仮置き</t>
    </r>
  </si>
  <si>
    <r>
      <rPr>
        <sz val="10"/>
        <color rgb="FF000000"/>
        <rFont val="WenQuanYi Zen Hei"/>
        <family val="2"/>
      </rPr>
      <t xml:space="preserve">グループ管理表の着地予想：バリューテーブル</t>
    </r>
    <r>
      <rPr>
        <sz val="10"/>
        <color rgb="FF000000"/>
        <rFont val="Meiryo"/>
        <family val="0"/>
        <charset val="1"/>
      </rPr>
      <t xml:space="preserve">600/20</t>
    </r>
    <r>
      <rPr>
        <sz val="10"/>
        <color rgb="FF000000"/>
        <rFont val="WenQuanYi Zen Hei"/>
        <family val="2"/>
      </rPr>
      <t xml:space="preserve">・エルネット</t>
    </r>
    <r>
      <rPr>
        <sz val="10"/>
        <color rgb="FF000000"/>
        <rFont val="Meiryo"/>
        <family val="0"/>
        <charset val="1"/>
      </rPr>
      <t xml:space="preserve">100/5</t>
    </r>
    <r>
      <rPr>
        <sz val="10"/>
        <color rgb="FF000000"/>
        <rFont val="WenQuanYi Zen Hei"/>
        <family val="2"/>
      </rPr>
      <t xml:space="preserve">・摩耶</t>
    </r>
    <r>
      <rPr>
        <sz val="10"/>
        <color rgb="FF000000"/>
        <rFont val="Meiryo"/>
        <family val="0"/>
        <charset val="1"/>
      </rPr>
      <t xml:space="preserve">100/5</t>
    </r>
    <r>
      <rPr>
        <sz val="10"/>
        <color rgb="FF000000"/>
        <rFont val="WenQuanYi Zen Hei"/>
        <family val="2"/>
      </rPr>
      <t xml:space="preserve">の合計を据置</t>
    </r>
  </si>
  <si>
    <r>
      <rPr>
        <sz val="9"/>
        <rFont val="WenQuanYi Zen Hei"/>
        <family val="2"/>
      </rPr>
      <t xml:space="preserve">対象外：あどばる（</t>
    </r>
    <r>
      <rPr>
        <sz val="9"/>
        <rFont val="Meiryo"/>
        <family val="0"/>
        <charset val="1"/>
      </rPr>
      <t xml:space="preserve">37%</t>
    </r>
    <r>
      <rPr>
        <sz val="9"/>
        <rFont val="WenQuanYi Zen Hei"/>
        <family val="2"/>
      </rPr>
      <t xml:space="preserve">・ビジョングループ）、</t>
    </r>
    <r>
      <rPr>
        <sz val="9"/>
        <rFont val="Meiryo"/>
        <family val="0"/>
        <charset val="1"/>
      </rPr>
      <t xml:space="preserve">KINKA</t>
    </r>
    <r>
      <rPr>
        <sz val="9"/>
        <rFont val="WenQuanYi Zen Hei"/>
        <family val="2"/>
      </rPr>
      <t xml:space="preserve">（</t>
    </r>
    <r>
      <rPr>
        <sz val="9"/>
        <rFont val="Meiryo"/>
        <family val="0"/>
        <charset val="1"/>
      </rPr>
      <t xml:space="preserve">20%</t>
    </r>
    <r>
      <rPr>
        <sz val="9"/>
        <rFont val="WenQuanYi Zen Hei"/>
        <family val="2"/>
      </rPr>
      <t xml:space="preserve">）、バーガーレボリューション（</t>
    </r>
    <r>
      <rPr>
        <sz val="9"/>
        <rFont val="Meiryo"/>
        <family val="0"/>
        <charset val="1"/>
      </rPr>
      <t xml:space="preserve">49%</t>
    </r>
    <r>
      <rPr>
        <sz val="9"/>
        <rFont val="WenQuanYi Zen Hei"/>
        <family val="2"/>
      </rPr>
      <t xml:space="preserve">）は持分法または対象外。ワイン・ラ・ターブルは店舗をバリューキッチンへ移管済のため除外</t>
    </r>
  </si>
  <si>
    <r>
      <rPr>
        <sz val="9"/>
        <rFont val="Meiryo"/>
        <family val="0"/>
        <charset val="1"/>
      </rPr>
      <t xml:space="preserve">WineBank</t>
    </r>
    <r>
      <rPr>
        <sz val="9"/>
        <rFont val="WenQuanYi Zen Hei"/>
        <family val="2"/>
      </rPr>
      <t xml:space="preserve">持分：再編後の想定。カンテサンスは</t>
    </r>
    <r>
      <rPr>
        <sz val="9"/>
        <rFont val="Meiryo"/>
        <family val="0"/>
        <charset val="1"/>
      </rPr>
      <t xml:space="preserve">SPC</t>
    </r>
    <r>
      <rPr>
        <sz val="9"/>
        <rFont val="WenQuanYi Zen Hei"/>
        <family val="2"/>
      </rPr>
      <t xml:space="preserve">で</t>
    </r>
    <r>
      <rPr>
        <sz val="9"/>
        <rFont val="Meiryo"/>
        <family val="0"/>
        <charset val="1"/>
      </rPr>
      <t xml:space="preserve">WineBank</t>
    </r>
    <r>
      <rPr>
        <sz val="9"/>
        <rFont val="WenQuanYi Zen Hei"/>
        <family val="2"/>
      </rPr>
      <t xml:space="preserve">・アピシウス</t>
    </r>
    <r>
      <rPr>
        <sz val="9"/>
        <rFont val="Meiryo"/>
        <family val="0"/>
        <charset val="1"/>
      </rPr>
      <t xml:space="preserve">50</t>
    </r>
    <r>
      <rPr>
        <sz val="9"/>
        <rFont val="WenQuanYi Zen Hei"/>
        <family val="2"/>
      </rPr>
      <t xml:space="preserve">〜</t>
    </r>
    <r>
      <rPr>
        <sz val="9"/>
        <rFont val="Meiryo"/>
        <family val="0"/>
        <charset val="1"/>
      </rPr>
      <t xml:space="preserve">66.7%</t>
    </r>
    <r>
      <rPr>
        <sz val="9"/>
        <rFont val="WenQuanYi Zen Hei"/>
        <family val="2"/>
      </rPr>
      <t xml:space="preserve">（下限</t>
    </r>
    <r>
      <rPr>
        <sz val="9"/>
        <rFont val="Meiryo"/>
        <family val="0"/>
        <charset val="1"/>
      </rPr>
      <t xml:space="preserve">50%</t>
    </r>
    <r>
      <rPr>
        <sz val="9"/>
        <rFont val="WenQuanYi Zen Hei"/>
        <family val="2"/>
      </rPr>
      <t xml:space="preserve">で記載）、</t>
    </r>
    <r>
      <rPr>
        <sz val="9"/>
        <rFont val="Meiryo"/>
        <family val="0"/>
        <charset val="1"/>
      </rPr>
      <t xml:space="preserve">Brasserie Thierry Marx</t>
    </r>
    <r>
      <rPr>
        <sz val="9"/>
        <rFont val="WenQuanYi Zen Hei"/>
        <family val="2"/>
      </rPr>
      <t xml:space="preserve">は外部投資家</t>
    </r>
    <r>
      <rPr>
        <sz val="9"/>
        <rFont val="Meiryo"/>
        <family val="0"/>
        <charset val="1"/>
      </rPr>
      <t xml:space="preserve">33.3%</t>
    </r>
    <r>
      <rPr>
        <sz val="9"/>
        <rFont val="WenQuanYi Zen Hei"/>
        <family val="2"/>
      </rPr>
      <t xml:space="preserve">、その他はグループ管理表の保有比率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</si>
</sst>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;\▲#,##0.0;\-"/>
    <numFmt numFmtId="166" formatCode="0.0%"/>
    <numFmt numFmtId="167" formatCode="0\月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WenQuanYi Zen Hei"/>
      <family val="2"/>
    </font>
    <font>
      <b val="true"/>
      <sz val="12"/>
      <name val="Meiryo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FFFFFF"/>
      <name val="Meiryo"/>
      <family val="0"/>
      <charset val="1"/>
    </font>
    <font>
      <b val="true"/>
      <sz val="10"/>
      <color rgb="FF000000"/>
      <name val="WenQuanYi Zen Hei"/>
      <family val="2"/>
    </font>
    <font>
      <b val="true"/>
      <sz val="10"/>
      <color rgb="FF000000"/>
      <name val="Meiryo"/>
      <family val="0"/>
      <charset val="1"/>
    </font>
    <font>
      <sz val="10"/>
      <color rgb="FF000000"/>
      <name val="WenQuanYi Zen Hei"/>
      <family val="2"/>
    </font>
    <font>
      <sz val="10"/>
      <color rgb="FF000000"/>
      <name val="Meiryo"/>
      <family val="0"/>
      <charset val="1"/>
    </font>
    <font>
      <b val="true"/>
      <sz val="10"/>
      <color rgb="FF0000FF"/>
      <name val="Meiryo"/>
      <family val="0"/>
      <charset val="1"/>
    </font>
    <font>
      <sz val="9"/>
      <name val="WenQuanYi Zen Hei"/>
      <family val="2"/>
    </font>
    <font>
      <sz val="9"/>
      <name val="Meiryo"/>
      <family val="0"/>
      <charset val="1"/>
    </font>
    <font>
      <sz val="10"/>
      <color rgb="FF0000FF"/>
      <name val="Meiryo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6394B"/>
        <bgColor rgb="FF333300"/>
      </patternFill>
    </fill>
    <fill>
      <patternFill patternType="solid">
        <fgColor rgb="FFF3ED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EDE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639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6" min="3" style="0" width="16"/>
  </cols>
  <sheetData>
    <row r="1" customFormat="false" ht="17.15" hidden="false" customHeight="false" outlineLevel="0" collapsed="false">
      <c r="A1" s="1" t="s">
        <v>0</v>
      </c>
    </row>
    <row r="3" customFormat="false" ht="31.5" hidden="false" customHeight="true" outlineLevel="0" collapsed="false">
      <c r="A3" s="2" t="s">
        <v>1</v>
      </c>
      <c r="B3" s="2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customFormat="false" ht="15" hidden="false" customHeight="false" outlineLevel="0" collapsed="false">
      <c r="A4" s="4" t="s">
        <v>7</v>
      </c>
      <c r="B4" s="5" t="s">
        <v>8</v>
      </c>
      <c r="C4" s="6" t="n">
        <f aca="false">連結PL_WineBank年度!C5+連結PL_WineBank年度!C7+連結PL_WineBank年度!C9</f>
        <v>750.5</v>
      </c>
      <c r="D4" s="6" t="n">
        <f aca="false">連結PL_WineBank年度!D5+連結PL_WineBank年度!D7+連結PL_WineBank年度!D9</f>
        <v>1165.4</v>
      </c>
      <c r="E4" s="6" t="n">
        <f aca="false">連結PL_WineBank年度!E5+連結PL_WineBank年度!E7+連結PL_WineBank年度!E9</f>
        <v>1266.1</v>
      </c>
      <c r="F4" s="6" t="n">
        <f aca="false">連結PL_WineBank年度!F5+連結PL_WineBank年度!F7+連結PL_WineBank年度!F9</f>
        <v>1376.9</v>
      </c>
    </row>
    <row r="5" customFormat="false" ht="15" hidden="false" customHeight="false" outlineLevel="0" collapsed="false">
      <c r="A5" s="5" t="s">
        <v>9</v>
      </c>
      <c r="B5" s="5" t="s">
        <v>10</v>
      </c>
      <c r="C5" s="6" t="n">
        <f aca="false">連結PL_WineBank年度!C6+連結PL_WineBank年度!C8+連結PL_WineBank年度!C10</f>
        <v>22.9</v>
      </c>
      <c r="D5" s="6" t="n">
        <f aca="false">連結PL_WineBank年度!D6+連結PL_WineBank年度!D8+連結PL_WineBank年度!D10</f>
        <v>143.2</v>
      </c>
      <c r="E5" s="6" t="n">
        <f aca="false">連結PL_WineBank年度!E6+連結PL_WineBank年度!E8+連結PL_WineBank年度!E10</f>
        <v>170.6</v>
      </c>
      <c r="F5" s="6" t="n">
        <f aca="false">連結PL_WineBank年度!F6+連結PL_WineBank年度!F8+連結PL_WineBank年度!F10</f>
        <v>200.4</v>
      </c>
    </row>
    <row r="6" customFormat="false" ht="15" hidden="false" customHeight="false" outlineLevel="0" collapsed="false">
      <c r="A6" s="5" t="s">
        <v>9</v>
      </c>
      <c r="B6" s="5" t="s">
        <v>11</v>
      </c>
      <c r="C6" s="7" t="n">
        <v>10</v>
      </c>
      <c r="D6" s="7" t="n">
        <v>100</v>
      </c>
      <c r="E6" s="7" t="n">
        <v>150</v>
      </c>
      <c r="F6" s="7" t="n">
        <v>200</v>
      </c>
    </row>
    <row r="7" customFormat="false" ht="15" hidden="false" customHeight="false" outlineLevel="0" collapsed="false">
      <c r="A7" s="5" t="s">
        <v>9</v>
      </c>
      <c r="B7" s="5" t="s">
        <v>12</v>
      </c>
      <c r="C7" s="6" t="n">
        <f aca="false">C6*(連結PL_WineBank年度!C6*入力_各社決算期ベース!C4+連結PL_WineBank年度!C8*入力_各社決算期ベース!C5+連結PL_WineBank年度!C10*入力_各社決算期ベース!C6)/C5</f>
        <v>10</v>
      </c>
      <c r="D7" s="6" t="n">
        <f aca="false">D6*(連結PL_WineBank年度!D6*入力_各社決算期ベース!C4+連結PL_WineBank年度!D8*入力_各社決算期ベース!C5+連結PL_WineBank年度!D10*入力_各社決算期ベース!C6)/D5</f>
        <v>100</v>
      </c>
      <c r="E7" s="6" t="n">
        <f aca="false">E6*(連結PL_WineBank年度!E6*入力_各社決算期ベース!C4+連結PL_WineBank年度!E8*入力_各社決算期ベース!C5+連結PL_WineBank年度!E10*入力_各社決算期ベース!C6)/E5</f>
        <v>150</v>
      </c>
      <c r="F7" s="6" t="n">
        <f aca="false">F6*(連結PL_WineBank年度!F6*入力_各社決算期ベース!C4+連結PL_WineBank年度!F8*入力_各社決算期ベース!C5+連結PL_WineBank年度!F10*入力_各社決算期ベース!C6)/F5</f>
        <v>200</v>
      </c>
    </row>
    <row r="8" customFormat="false" ht="15" hidden="false" customHeight="false" outlineLevel="0" collapsed="false">
      <c r="A8" s="4" t="s">
        <v>13</v>
      </c>
      <c r="B8" s="5" t="s">
        <v>8</v>
      </c>
      <c r="C8" s="6" t="n">
        <f aca="false">連結PL_WineBank年度!C11+連結PL_WineBank年度!C13</f>
        <v>1766</v>
      </c>
      <c r="D8" s="6" t="n">
        <f aca="false">連結PL_WineBank年度!D11+連結PL_WineBank年度!D13</f>
        <v>1823.95</v>
      </c>
      <c r="E8" s="6" t="n">
        <f aca="false">連結PL_WineBank年度!E11+連結PL_WineBank年度!E13</f>
        <v>1879.825</v>
      </c>
      <c r="F8" s="6" t="n">
        <f aca="false">連結PL_WineBank年度!F11+連結PL_WineBank年度!F13</f>
        <v>1941.75</v>
      </c>
    </row>
    <row r="9" customFormat="false" ht="15" hidden="false" customHeight="false" outlineLevel="0" collapsed="false">
      <c r="A9" s="5" t="s">
        <v>13</v>
      </c>
      <c r="B9" s="5" t="s">
        <v>10</v>
      </c>
      <c r="C9" s="6" t="n">
        <f aca="false">連結PL_WineBank年度!C12+連結PL_WineBank年度!C14</f>
        <v>682.075</v>
      </c>
      <c r="D9" s="6" t="n">
        <f aca="false">連結PL_WineBank年度!D12+連結PL_WineBank年度!D14</f>
        <v>708.1</v>
      </c>
      <c r="E9" s="6" t="n">
        <f aca="false">連結PL_WineBank年度!E12+連結PL_WineBank年度!E14</f>
        <v>733.675</v>
      </c>
      <c r="F9" s="6" t="n">
        <f aca="false">連結PL_WineBank年度!F12+連結PL_WineBank年度!F14</f>
        <v>762.4</v>
      </c>
    </row>
    <row r="10" customFormat="false" ht="15" hidden="false" customHeight="false" outlineLevel="0" collapsed="false">
      <c r="A10" s="5" t="s">
        <v>13</v>
      </c>
      <c r="B10" s="5" t="s">
        <v>11</v>
      </c>
      <c r="C10" s="8" t="n">
        <f aca="false">C9</f>
        <v>682.075</v>
      </c>
      <c r="D10" s="8" t="n">
        <f aca="false">D9</f>
        <v>708.1</v>
      </c>
      <c r="E10" s="8" t="n">
        <f aca="false">E9</f>
        <v>733.675</v>
      </c>
      <c r="F10" s="8" t="n">
        <f aca="false">F9</f>
        <v>762.4</v>
      </c>
    </row>
    <row r="11" customFormat="false" ht="15" hidden="false" customHeight="false" outlineLevel="0" collapsed="false">
      <c r="A11" s="5" t="s">
        <v>13</v>
      </c>
      <c r="B11" s="5" t="s">
        <v>12</v>
      </c>
      <c r="C11" s="6" t="n">
        <f aca="false">C10*(連結PL_WineBank年度!C12*入力_各社決算期ベース!C7+連結PL_WineBank年度!C14*入力_各社決算期ベース!C8)/C9</f>
        <v>373.1425</v>
      </c>
      <c r="D11" s="6" t="n">
        <f aca="false">D10*(連結PL_WineBank年度!D12*入力_各社決算期ベース!C7+連結PL_WineBank年度!D14*入力_各社決算期ベース!C8)/D9</f>
        <v>387.18</v>
      </c>
      <c r="E11" s="6" t="n">
        <f aca="false">E10*(連結PL_WineBank年度!E12*入力_各社決算期ベース!C7+連結PL_WineBank年度!E14*入力_各社決算期ベース!C8)/E9</f>
        <v>400.9975</v>
      </c>
      <c r="F11" s="6" t="n">
        <f aca="false">F10*(連結PL_WineBank年度!F12*入力_各社決算期ベース!C7+連結PL_WineBank年度!F14*入力_各社決算期ベース!C8)/F9</f>
        <v>416.45475</v>
      </c>
    </row>
    <row r="12" customFormat="false" ht="15" hidden="false" customHeight="false" outlineLevel="0" collapsed="false">
      <c r="A12" s="4" t="s">
        <v>14</v>
      </c>
      <c r="B12" s="5" t="s">
        <v>8</v>
      </c>
      <c r="C12" s="6" t="n">
        <f aca="false">連結PL_WineBank年度!C15</f>
        <v>190.5</v>
      </c>
      <c r="D12" s="6" t="n">
        <f aca="false">連結PL_WineBank年度!D15</f>
        <v>636.1</v>
      </c>
      <c r="E12" s="6" t="n">
        <f aca="false">連結PL_WineBank年度!E15</f>
        <v>1310.3</v>
      </c>
      <c r="F12" s="6" t="n">
        <f aca="false">連結PL_WineBank年度!F15</f>
        <v>2152.75</v>
      </c>
    </row>
    <row r="13" customFormat="false" ht="15" hidden="false" customHeight="false" outlineLevel="0" collapsed="false">
      <c r="A13" s="5" t="s">
        <v>14</v>
      </c>
      <c r="B13" s="5" t="s">
        <v>10</v>
      </c>
      <c r="C13" s="6" t="n">
        <f aca="false">連結PL_WineBank年度!C16</f>
        <v>5.15</v>
      </c>
      <c r="D13" s="6" t="n">
        <f aca="false">連結PL_WineBank年度!D16</f>
        <v>24.7</v>
      </c>
      <c r="E13" s="6" t="n">
        <f aca="false">連結PL_WineBank年度!E16</f>
        <v>72.45</v>
      </c>
      <c r="F13" s="6" t="n">
        <f aca="false">連結PL_WineBank年度!F16</f>
        <v>144.9</v>
      </c>
    </row>
    <row r="14" customFormat="false" ht="15" hidden="false" customHeight="false" outlineLevel="0" collapsed="false">
      <c r="A14" s="5" t="s">
        <v>14</v>
      </c>
      <c r="B14" s="5" t="s">
        <v>11</v>
      </c>
      <c r="C14" s="8" t="n">
        <f aca="false">C13</f>
        <v>5.15</v>
      </c>
      <c r="D14" s="8" t="n">
        <f aca="false">D13</f>
        <v>24.7</v>
      </c>
      <c r="E14" s="8" t="n">
        <f aca="false">E13</f>
        <v>72.45</v>
      </c>
      <c r="F14" s="8" t="n">
        <f aca="false">F13</f>
        <v>144.9</v>
      </c>
    </row>
    <row r="15" customFormat="false" ht="15" hidden="false" customHeight="false" outlineLevel="0" collapsed="false">
      <c r="A15" s="5" t="s">
        <v>14</v>
      </c>
      <c r="B15" s="5" t="s">
        <v>12</v>
      </c>
      <c r="C15" s="6" t="n">
        <f aca="false">C14*(連結PL_WineBank年度!C16*入力_各社決算期ベース!C9)/C13</f>
        <v>3.43505</v>
      </c>
      <c r="D15" s="6" t="n">
        <f aca="false">D14*(連結PL_WineBank年度!D16*入力_各社決算期ベース!C9)/D13</f>
        <v>16.4749</v>
      </c>
      <c r="E15" s="6" t="n">
        <f aca="false">E14*(連結PL_WineBank年度!E16*入力_各社決算期ベース!C9)/E13</f>
        <v>48.32415</v>
      </c>
      <c r="F15" s="6" t="n">
        <f aca="false">F14*(連結PL_WineBank年度!F16*入力_各社決算期ベース!C9)/F13</f>
        <v>96.6483</v>
      </c>
    </row>
    <row r="16" customFormat="false" ht="15" hidden="false" customHeight="false" outlineLevel="0" collapsed="false">
      <c r="A16" s="4" t="s">
        <v>15</v>
      </c>
      <c r="B16" s="5" t="s">
        <v>8</v>
      </c>
      <c r="C16" s="6" t="n">
        <f aca="false">連結PL_WineBank年度!C17+連結PL_WineBank年度!C19</f>
        <v>1505.25</v>
      </c>
      <c r="D16" s="6" t="n">
        <f aca="false">連結PL_WineBank年度!D17+連結PL_WineBank年度!D19</f>
        <v>1526.4</v>
      </c>
      <c r="E16" s="6" t="n">
        <f aca="false">連結PL_WineBank年度!E17+連結PL_WineBank年度!E19</f>
        <v>1548.175</v>
      </c>
      <c r="F16" s="6" t="n">
        <f aca="false">連結PL_WineBank年度!F17+連結PL_WineBank年度!F19</f>
        <v>1570.65</v>
      </c>
    </row>
    <row r="17" customFormat="false" ht="15" hidden="false" customHeight="false" outlineLevel="0" collapsed="false">
      <c r="A17" s="5" t="s">
        <v>15</v>
      </c>
      <c r="B17" s="5" t="s">
        <v>10</v>
      </c>
      <c r="C17" s="6" t="n">
        <f aca="false">連結PL_WineBank年度!C18+連結PL_WineBank年度!C20</f>
        <v>130.75</v>
      </c>
      <c r="D17" s="6" t="n">
        <f aca="false">連結PL_WineBank年度!D18+連結PL_WineBank年度!D20</f>
        <v>133.775</v>
      </c>
      <c r="E17" s="6" t="n">
        <f aca="false">連結PL_WineBank年度!E18+連結PL_WineBank年度!E20</f>
        <v>136.9</v>
      </c>
      <c r="F17" s="6" t="n">
        <f aca="false">連結PL_WineBank年度!F18+連結PL_WineBank年度!F20</f>
        <v>140.125</v>
      </c>
    </row>
    <row r="18" customFormat="false" ht="15" hidden="false" customHeight="false" outlineLevel="0" collapsed="false">
      <c r="A18" s="5" t="s">
        <v>15</v>
      </c>
      <c r="B18" s="5" t="s">
        <v>11</v>
      </c>
      <c r="C18" s="7" t="n">
        <v>130</v>
      </c>
      <c r="D18" s="7" t="n">
        <v>100</v>
      </c>
      <c r="E18" s="7" t="n">
        <v>100</v>
      </c>
      <c r="F18" s="7" t="n">
        <v>100</v>
      </c>
    </row>
    <row r="19" customFormat="false" ht="15" hidden="false" customHeight="false" outlineLevel="0" collapsed="false">
      <c r="A19" s="5" t="s">
        <v>15</v>
      </c>
      <c r="B19" s="5" t="s">
        <v>12</v>
      </c>
      <c r="C19" s="6" t="n">
        <f aca="false">C18*(連結PL_WineBank年度!C18*入力_各社決算期ベース!C10+連結PL_WineBank年度!C20*入力_各社決算期ベース!C11)/C17</f>
        <v>80.9827915869981</v>
      </c>
      <c r="D19" s="6" t="n">
        <f aca="false">D18*(連結PL_WineBank年度!D18*入力_各社決算期ベース!C10+連結PL_WineBank年度!D20*入力_各社決算期ベース!C11)/D17</f>
        <v>62.242571481966</v>
      </c>
      <c r="E19" s="6" t="n">
        <f aca="false">E18*(連結PL_WineBank年度!E18*入力_各社決算期ベース!C10+連結PL_WineBank年度!E20*入力_各社決算期ベース!C11)/E17</f>
        <v>62.191380569759</v>
      </c>
      <c r="F19" s="6" t="n">
        <f aca="false">F18*(連結PL_WineBank年度!F18*入力_各社決算期ベース!C10+連結PL_WineBank年度!F20*入力_各社決算期ベース!C11)/F17</f>
        <v>62.1409455842997</v>
      </c>
    </row>
    <row r="20" customFormat="false" ht="15" hidden="false" customHeight="false" outlineLevel="0" collapsed="false">
      <c r="A20" s="9" t="s">
        <v>16</v>
      </c>
      <c r="B20" s="10"/>
      <c r="C20" s="11" t="n">
        <f aca="false">C4+C8+C12+C16</f>
        <v>4212.25</v>
      </c>
      <c r="D20" s="11" t="n">
        <f aca="false">D4+D8+D12+D16</f>
        <v>5151.85</v>
      </c>
      <c r="E20" s="11" t="n">
        <f aca="false">E4+E8+E12+E16</f>
        <v>6004.4</v>
      </c>
      <c r="F20" s="11" t="n">
        <f aca="false">F4+F8+F12+F16</f>
        <v>7042.05</v>
      </c>
    </row>
    <row r="21" customFormat="false" ht="15" hidden="false" customHeight="false" outlineLevel="0" collapsed="false">
      <c r="A21" s="9" t="s">
        <v>17</v>
      </c>
      <c r="B21" s="10"/>
      <c r="C21" s="11" t="n">
        <f aca="false">C6+C10+C14+C18</f>
        <v>827.225</v>
      </c>
      <c r="D21" s="11" t="n">
        <f aca="false">D6+D10+D14+D18</f>
        <v>932.8</v>
      </c>
      <c r="E21" s="11" t="n">
        <f aca="false">E6+E10+E14+E18</f>
        <v>1056.125</v>
      </c>
      <c r="F21" s="11" t="n">
        <f aca="false">F6+F10+F14+F18</f>
        <v>1207.3</v>
      </c>
    </row>
    <row r="22" customFormat="false" ht="15" hidden="false" customHeight="false" outlineLevel="0" collapsed="false">
      <c r="A22" s="9" t="s">
        <v>18</v>
      </c>
      <c r="B22" s="10"/>
      <c r="C22" s="12" t="n">
        <f aca="false">C7+C11+C15+C19</f>
        <v>467.560341586998</v>
      </c>
      <c r="D22" s="12" t="n">
        <f aca="false">D7+D11+D15+D19</f>
        <v>565.897471481966</v>
      </c>
      <c r="E22" s="12" t="n">
        <f aca="false">E7+E11+E15+E19</f>
        <v>661.513030569759</v>
      </c>
      <c r="F22" s="12" t="n">
        <f aca="false">F7+F11+F15+F19</f>
        <v>775.2439955843</v>
      </c>
    </row>
    <row r="23" customFormat="false" ht="15" hidden="false" customHeight="false" outlineLevel="0" collapsed="false">
      <c r="A23" s="9" t="s">
        <v>19</v>
      </c>
      <c r="B23" s="10"/>
      <c r="C23" s="11" t="n">
        <f aca="false">C20-連結PL_WineBank年度!C13</f>
        <v>3162</v>
      </c>
      <c r="D23" s="11" t="n">
        <f aca="false">D20-連結PL_WineBank年度!D13</f>
        <v>4065.1</v>
      </c>
      <c r="E23" s="11" t="n">
        <f aca="false">E20-連結PL_WineBank年度!E13</f>
        <v>4883.9</v>
      </c>
      <c r="F23" s="11" t="n">
        <f aca="false">F20-連結PL_WineBank年度!F13</f>
        <v>5882.45</v>
      </c>
    </row>
    <row r="24" customFormat="false" ht="15" hidden="false" customHeight="false" outlineLevel="0" collapsed="false">
      <c r="A24" s="9" t="s">
        <v>20</v>
      </c>
      <c r="B24" s="10"/>
      <c r="C24" s="11" t="n">
        <f aca="false">C21-連結PL_WineBank年度!C14</f>
        <v>278.225</v>
      </c>
      <c r="D24" s="11" t="n">
        <f aca="false">D21-連結PL_WineBank年度!D14</f>
        <v>361.8</v>
      </c>
      <c r="E24" s="11" t="n">
        <f aca="false">E21-連結PL_WineBank年度!E14</f>
        <v>463.625</v>
      </c>
      <c r="F24" s="11" t="n">
        <f aca="false">F21-連結PL_WineBank年度!F14</f>
        <v>590.325</v>
      </c>
    </row>
    <row r="25" customFormat="false" ht="15" hidden="false" customHeight="false" outlineLevel="0" collapsed="false">
      <c r="A25" s="9" t="s">
        <v>21</v>
      </c>
      <c r="B25" s="10"/>
      <c r="C25" s="12" t="n">
        <f aca="false">C22-連結PL_WineBank年度!C14*入力_各社決算期ベース!C8</f>
        <v>187.570341586998</v>
      </c>
      <c r="D25" s="12" t="n">
        <f aca="false">D22-連結PL_WineBank年度!D14*入力_各社決算期ベース!C8</f>
        <v>274.687471481966</v>
      </c>
      <c r="E25" s="12" t="n">
        <f aca="false">E22-連結PL_WineBank年度!E14*入力_各社決算期ベース!C8</f>
        <v>359.338030569759</v>
      </c>
      <c r="F25" s="12" t="n">
        <f aca="false">F22-連結PL_WineBank年度!F14*入力_各社決算期ベース!C8</f>
        <v>460.5867455843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6" min="3" style="0" width="16"/>
  </cols>
  <sheetData>
    <row r="1" customFormat="false" ht="17.15" hidden="false" customHeight="false" outlineLevel="0" collapsed="false">
      <c r="A1" s="1" t="s">
        <v>22</v>
      </c>
    </row>
    <row r="2" customFormat="false" ht="15" hidden="false" customHeight="false" outlineLevel="0" collapsed="false">
      <c r="A2" s="13" t="s">
        <v>23</v>
      </c>
    </row>
    <row r="4" customFormat="false" ht="31.5" hidden="false" customHeight="true" outlineLevel="0" collapsed="false">
      <c r="A4" s="2" t="s">
        <v>24</v>
      </c>
      <c r="B4" s="2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customFormat="false" ht="15" hidden="false" customHeight="false" outlineLevel="0" collapsed="false">
      <c r="A5" s="14" t="s">
        <v>25</v>
      </c>
      <c r="B5" s="5" t="s">
        <v>8</v>
      </c>
      <c r="C5" s="6" t="n">
        <f aca="false">入力_各社決算期ベース!E4*12/12</f>
        <v>750.5</v>
      </c>
      <c r="D5" s="6" t="n">
        <f aca="false">入力_各社決算期ベース!F4*12/12</f>
        <v>788</v>
      </c>
      <c r="E5" s="6" t="n">
        <f aca="false">入力_各社決算期ベース!G4*12/12</f>
        <v>827.4</v>
      </c>
      <c r="F5" s="6" t="n">
        <f aca="false">入力_各社決算期ベース!H4*12/12</f>
        <v>868.8</v>
      </c>
    </row>
    <row r="6" customFormat="false" ht="15" hidden="false" customHeight="false" outlineLevel="0" collapsed="false">
      <c r="A6" s="15" t="s">
        <v>26</v>
      </c>
      <c r="B6" s="5" t="s">
        <v>11</v>
      </c>
      <c r="C6" s="6" t="n">
        <f aca="false">入力_各社決算期ベース!K4*12/12</f>
        <v>22.9</v>
      </c>
      <c r="D6" s="6" t="n">
        <f aca="false">入力_各社決算期ベース!L4*12/12</f>
        <v>34.2</v>
      </c>
      <c r="E6" s="6" t="n">
        <f aca="false">入力_各社決算期ベース!M4*12/12</f>
        <v>46</v>
      </c>
      <c r="F6" s="6" t="n">
        <f aca="false">入力_各社決算期ベース!N4*12/12</f>
        <v>58.4</v>
      </c>
    </row>
    <row r="7" customFormat="false" ht="15" hidden="false" customHeight="false" outlineLevel="0" collapsed="false">
      <c r="A7" s="14" t="s">
        <v>27</v>
      </c>
      <c r="B7" s="5" t="s">
        <v>8</v>
      </c>
      <c r="C7" s="6" t="n">
        <f aca="false">入力_各社決算期ベース!E5*12/12</f>
        <v>0</v>
      </c>
      <c r="D7" s="6" t="n">
        <f aca="false">入力_各社決算期ベース!F5*12/12</f>
        <v>300</v>
      </c>
      <c r="E7" s="6" t="n">
        <f aca="false">入力_各社決算期ベース!G5*12/12</f>
        <v>300</v>
      </c>
      <c r="F7" s="6" t="n">
        <f aca="false">入力_各社決算期ベース!H5*12/12</f>
        <v>300</v>
      </c>
    </row>
    <row r="8" customFormat="false" ht="15" hidden="false" customHeight="false" outlineLevel="0" collapsed="false">
      <c r="A8" s="15" t="s">
        <v>28</v>
      </c>
      <c r="B8" s="5" t="s">
        <v>11</v>
      </c>
      <c r="C8" s="6" t="n">
        <f aca="false">入力_各社決算期ベース!K5*12/12</f>
        <v>0</v>
      </c>
      <c r="D8" s="6" t="n">
        <f aca="false">入力_各社決算期ベース!L5*12/12</f>
        <v>90</v>
      </c>
      <c r="E8" s="6" t="n">
        <f aca="false">入力_各社決算期ベース!M5*12/12</f>
        <v>90</v>
      </c>
      <c r="F8" s="6" t="n">
        <f aca="false">入力_各社決算期ベース!N5*12/12</f>
        <v>90</v>
      </c>
    </row>
    <row r="9" customFormat="false" ht="15" hidden="false" customHeight="false" outlineLevel="0" collapsed="false">
      <c r="A9" s="14" t="s">
        <v>29</v>
      </c>
      <c r="B9" s="5" t="s">
        <v>8</v>
      </c>
      <c r="C9" s="6" t="n">
        <f aca="false">入力_各社決算期ベース!E6*12/12</f>
        <v>0</v>
      </c>
      <c r="D9" s="6" t="n">
        <f aca="false">入力_各社決算期ベース!F6*12/12</f>
        <v>77.4</v>
      </c>
      <c r="E9" s="6" t="n">
        <f aca="false">入力_各社決算期ベース!G6*12/12</f>
        <v>138.7</v>
      </c>
      <c r="F9" s="6" t="n">
        <f aca="false">入力_各社決算期ベース!H6*12/12</f>
        <v>208.1</v>
      </c>
    </row>
    <row r="10" customFormat="false" ht="15" hidden="false" customHeight="false" outlineLevel="0" collapsed="false">
      <c r="A10" s="15" t="s">
        <v>30</v>
      </c>
      <c r="B10" s="5" t="s">
        <v>11</v>
      </c>
      <c r="C10" s="6" t="n">
        <f aca="false">入力_各社決算期ベース!K6*12/12</f>
        <v>0</v>
      </c>
      <c r="D10" s="6" t="n">
        <f aca="false">入力_各社決算期ベース!L6*12/12</f>
        <v>19</v>
      </c>
      <c r="E10" s="6" t="n">
        <f aca="false">入力_各社決算期ベース!M6*12/12</f>
        <v>34.6</v>
      </c>
      <c r="F10" s="6" t="n">
        <f aca="false">入力_各社決算期ベース!N6*12/12</f>
        <v>52</v>
      </c>
    </row>
    <row r="11" customFormat="false" ht="15" hidden="false" customHeight="false" outlineLevel="0" collapsed="false">
      <c r="A11" s="4" t="s">
        <v>31</v>
      </c>
      <c r="B11" s="5" t="s">
        <v>8</v>
      </c>
      <c r="C11" s="6" t="n">
        <f aca="false">入力_各社決算期ベース!D7*3/12+入力_各社決算期ベース!E7*9/12</f>
        <v>715.75</v>
      </c>
      <c r="D11" s="6" t="n">
        <f aca="false">入力_各社決算期ベース!E7*3/12+入力_各社決算期ベース!F7*9/12</f>
        <v>737.2</v>
      </c>
      <c r="E11" s="6" t="n">
        <f aca="false">入力_各社決算期ベース!F7*3/12+入力_各社決算期ベース!G7*9/12</f>
        <v>759.325</v>
      </c>
      <c r="F11" s="6" t="n">
        <f aca="false">入力_各社決算期ベース!G7*3/12+入力_各社決算期ベース!H7*9/12</f>
        <v>782.15</v>
      </c>
    </row>
    <row r="12" customFormat="false" ht="15" hidden="false" customHeight="false" outlineLevel="0" collapsed="false">
      <c r="A12" s="5" t="s">
        <v>31</v>
      </c>
      <c r="B12" s="5" t="s">
        <v>11</v>
      </c>
      <c r="C12" s="6" t="n">
        <f aca="false">入力_各社決算期ベース!J7*3/12+入力_各社決算期ベース!K7*9/12</f>
        <v>133.075</v>
      </c>
      <c r="D12" s="6" t="n">
        <f aca="false">入力_各社決算期ベース!K7*3/12+入力_各社決算期ベース!L7*9/12</f>
        <v>137.1</v>
      </c>
      <c r="E12" s="6" t="n">
        <f aca="false">入力_各社決算期ベース!L7*3/12+入力_各社決算期ベース!M7*9/12</f>
        <v>141.175</v>
      </c>
      <c r="F12" s="6" t="n">
        <f aca="false">入力_各社決算期ベース!M7*3/12+入力_各社決算期ベース!N7*9/12</f>
        <v>145.425</v>
      </c>
    </row>
    <row r="13" customFormat="false" ht="15" hidden="false" customHeight="false" outlineLevel="0" collapsed="false">
      <c r="A13" s="4" t="s">
        <v>32</v>
      </c>
      <c r="B13" s="5" t="s">
        <v>8</v>
      </c>
      <c r="C13" s="6" t="n">
        <f aca="false">入力_各社決算期ベース!D8*3/12+入力_各社決算期ベース!E8*9/12</f>
        <v>1050.25</v>
      </c>
      <c r="D13" s="6" t="n">
        <f aca="false">入力_各社決算期ベース!E8*3/12+入力_各社決算期ベース!F8*9/12</f>
        <v>1086.75</v>
      </c>
      <c r="E13" s="6" t="n">
        <f aca="false">入力_各社決算期ベース!F8*3/12+入力_各社決算期ベース!G8*9/12</f>
        <v>1120.5</v>
      </c>
      <c r="F13" s="6" t="n">
        <f aca="false">入力_各社決算期ベース!G8*3/12+入力_各社決算期ベース!H8*9/12</f>
        <v>1159.6</v>
      </c>
    </row>
    <row r="14" customFormat="false" ht="15" hidden="false" customHeight="false" outlineLevel="0" collapsed="false">
      <c r="A14" s="5" t="s">
        <v>32</v>
      </c>
      <c r="B14" s="5" t="s">
        <v>11</v>
      </c>
      <c r="C14" s="6" t="n">
        <f aca="false">入力_各社決算期ベース!J8*3/12+入力_各社決算期ベース!K8*9/12</f>
        <v>549</v>
      </c>
      <c r="D14" s="6" t="n">
        <f aca="false">入力_各社決算期ベース!K8*3/12+入力_各社決算期ベース!L8*9/12</f>
        <v>571</v>
      </c>
      <c r="E14" s="6" t="n">
        <f aca="false">入力_各社決算期ベース!L8*3/12+入力_各社決算期ベース!M8*9/12</f>
        <v>592.5</v>
      </c>
      <c r="F14" s="6" t="n">
        <f aca="false">入力_各社決算期ベース!M8*3/12+入力_各社決算期ベース!N8*9/12</f>
        <v>616.975</v>
      </c>
    </row>
    <row r="15" customFormat="false" ht="15" hidden="false" customHeight="false" outlineLevel="0" collapsed="false">
      <c r="A15" s="14" t="s">
        <v>33</v>
      </c>
      <c r="B15" s="5" t="s">
        <v>8</v>
      </c>
      <c r="C15" s="6" t="n">
        <f aca="false">入力_各社決算期ベース!E9*6/12+入力_各社決算期ベース!F9*6/12</f>
        <v>190.5</v>
      </c>
      <c r="D15" s="6" t="n">
        <f aca="false">入力_各社決算期ベース!F9*6/12+入力_各社決算期ベース!G9*6/12</f>
        <v>636.1</v>
      </c>
      <c r="E15" s="6" t="n">
        <f aca="false">入力_各社決算期ベース!G9*6/12+入力_各社決算期ベース!H9*6/12</f>
        <v>1310.3</v>
      </c>
      <c r="F15" s="6" t="n">
        <f aca="false">入力_各社決算期ベース!H9*6/12+入力_各社決算期ベース!I9*6/12</f>
        <v>2152.75</v>
      </c>
    </row>
    <row r="16" customFormat="false" ht="15" hidden="false" customHeight="false" outlineLevel="0" collapsed="false">
      <c r="A16" s="15" t="s">
        <v>33</v>
      </c>
      <c r="B16" s="5" t="s">
        <v>11</v>
      </c>
      <c r="C16" s="6" t="n">
        <f aca="false">入力_各社決算期ベース!K9*6/12+入力_各社決算期ベース!L9*6/12</f>
        <v>5.15</v>
      </c>
      <c r="D16" s="6" t="n">
        <f aca="false">入力_各社決算期ベース!L9*6/12+入力_各社決算期ベース!M9*6/12</f>
        <v>24.7</v>
      </c>
      <c r="E16" s="6" t="n">
        <f aca="false">入力_各社決算期ベース!M9*6/12+入力_各社決算期ベース!N9*6/12</f>
        <v>72.45</v>
      </c>
      <c r="F16" s="6" t="n">
        <f aca="false">入力_各社決算期ベース!N9*6/12+入力_各社決算期ベース!O9*6/12</f>
        <v>144.9</v>
      </c>
    </row>
    <row r="17" customFormat="false" ht="15" hidden="false" customHeight="false" outlineLevel="0" collapsed="false">
      <c r="A17" s="4" t="s">
        <v>34</v>
      </c>
      <c r="B17" s="5" t="s">
        <v>8</v>
      </c>
      <c r="C17" s="6" t="n">
        <f aca="false">入力_各社決算期ベース!E10*9/12+入力_各社決算期ベース!F10*3/12</f>
        <v>705.25</v>
      </c>
      <c r="D17" s="6" t="n">
        <f aca="false">入力_各社決算期ベース!F10*9/12+入力_各社決算期ベース!G10*3/12</f>
        <v>726.4</v>
      </c>
      <c r="E17" s="6" t="n">
        <f aca="false">入力_各社決算期ベース!G10*9/12+入力_各社決算期ベース!H10*3/12</f>
        <v>748.175</v>
      </c>
      <c r="F17" s="6" t="n">
        <f aca="false">入力_各社決算期ベース!H10*9/12+入力_各社決算期ベース!I10*3/12</f>
        <v>770.65</v>
      </c>
    </row>
    <row r="18" customFormat="false" ht="15" hidden="false" customHeight="false" outlineLevel="0" collapsed="false">
      <c r="A18" s="5" t="s">
        <v>34</v>
      </c>
      <c r="B18" s="5" t="s">
        <v>11</v>
      </c>
      <c r="C18" s="6" t="n">
        <f aca="false">入力_各社決算期ベース!K10*9/12+入力_各社決算期ベース!L10*3/12</f>
        <v>100.75</v>
      </c>
      <c r="D18" s="6" t="n">
        <f aca="false">入力_各社決算期ベース!L10*9/12+入力_各社決算期ベース!M10*3/12</f>
        <v>103.775</v>
      </c>
      <c r="E18" s="6" t="n">
        <f aca="false">入力_各社決算期ベース!M10*9/12+入力_各社決算期ベース!N10*3/12</f>
        <v>106.9</v>
      </c>
      <c r="F18" s="6" t="n">
        <f aca="false">入力_各社決算期ベース!N10*9/12+入力_各社決算期ベース!O10*3/12</f>
        <v>110.125</v>
      </c>
    </row>
    <row r="19" customFormat="false" ht="26.85" hidden="false" customHeight="false" outlineLevel="0" collapsed="false">
      <c r="A19" s="4" t="s">
        <v>35</v>
      </c>
      <c r="B19" s="5" t="s">
        <v>8</v>
      </c>
      <c r="C19" s="6" t="n">
        <f aca="false">入力_各社決算期ベース!E11*12/12</f>
        <v>800</v>
      </c>
      <c r="D19" s="6" t="n">
        <f aca="false">入力_各社決算期ベース!F11*12/12</f>
        <v>800</v>
      </c>
      <c r="E19" s="6" t="n">
        <f aca="false">入力_各社決算期ベース!G11*12/12</f>
        <v>800</v>
      </c>
      <c r="F19" s="6" t="n">
        <f aca="false">入力_各社決算期ベース!H11*12/12</f>
        <v>800</v>
      </c>
    </row>
    <row r="20" customFormat="false" ht="26.85" hidden="false" customHeight="false" outlineLevel="0" collapsed="false">
      <c r="A20" s="5" t="s">
        <v>35</v>
      </c>
      <c r="B20" s="5" t="s">
        <v>11</v>
      </c>
      <c r="C20" s="6" t="n">
        <f aca="false">入力_各社決算期ベース!K11*12/12</f>
        <v>30</v>
      </c>
      <c r="D20" s="6" t="n">
        <f aca="false">入力_各社決算期ベース!L11*12/12</f>
        <v>30</v>
      </c>
      <c r="E20" s="6" t="n">
        <f aca="false">入力_各社決算期ベース!M11*12/12</f>
        <v>30</v>
      </c>
      <c r="F20" s="6" t="n">
        <f aca="false">入力_各社決算期ベース!N11*12/12</f>
        <v>30</v>
      </c>
    </row>
    <row r="21" customFormat="false" ht="15" hidden="false" customHeight="false" outlineLevel="0" collapsed="false">
      <c r="A21" s="9" t="s">
        <v>36</v>
      </c>
      <c r="B21" s="10"/>
      <c r="C21" s="11" t="n">
        <f aca="false">C5+C7+C9+C11+C13+C15+C17+C19</f>
        <v>4212.25</v>
      </c>
      <c r="D21" s="11" t="n">
        <f aca="false">D5+D7+D9+D11+D13+D15+D17+D19</f>
        <v>5151.85</v>
      </c>
      <c r="E21" s="11" t="n">
        <f aca="false">E5+E7+E9+E11+E13+E15+E17+E19</f>
        <v>6004.4</v>
      </c>
      <c r="F21" s="11" t="n">
        <f aca="false">F5+F7+F9+F11+F13+F15+F17+F19</f>
        <v>7042.05</v>
      </c>
    </row>
    <row r="22" customFormat="false" ht="15" hidden="false" customHeight="false" outlineLevel="0" collapsed="false">
      <c r="A22" s="9" t="s">
        <v>37</v>
      </c>
      <c r="B22" s="10"/>
      <c r="C22" s="11" t="n">
        <f aca="false">C6+C8+C10+C12+C14+C16+C18+C20</f>
        <v>840.875</v>
      </c>
      <c r="D22" s="11" t="n">
        <f aca="false">D6+D8+D10+D12+D14+D16+D18+D20</f>
        <v>1009.775</v>
      </c>
      <c r="E22" s="11" t="n">
        <f aca="false">E6+E8+E10+E12+E14+E16+E18+E20</f>
        <v>1113.625</v>
      </c>
      <c r="F22" s="11" t="n">
        <f aca="false">F6+F8+F10+F12+F14+F16+F18+F20</f>
        <v>1247.825</v>
      </c>
    </row>
    <row r="23" customFormat="false" ht="15" hidden="false" customHeight="false" outlineLevel="0" collapsed="false">
      <c r="A23" s="4" t="s">
        <v>38</v>
      </c>
      <c r="B23" s="5"/>
      <c r="C23" s="16" t="n">
        <f aca="false">C22/C21</f>
        <v>0.199626090569173</v>
      </c>
      <c r="D23" s="16" t="n">
        <f aca="false">D22/D21</f>
        <v>0.196002406902375</v>
      </c>
      <c r="E23" s="16" t="n">
        <f aca="false">E22/E21</f>
        <v>0.185468156685098</v>
      </c>
      <c r="F23" s="16" t="n">
        <f aca="false">F22/F21</f>
        <v>0.177196270972231</v>
      </c>
    </row>
    <row r="24" customFormat="false" ht="26.85" hidden="false" customHeight="false" outlineLevel="0" collapsed="false">
      <c r="A24" s="4" t="s">
        <v>39</v>
      </c>
      <c r="B24" s="5" t="s">
        <v>40</v>
      </c>
      <c r="C24" s="8" t="n">
        <f aca="false">C6*入力_各社決算期ベース!C4+C8*入力_各社決算期ベース!C5+C10*入力_各社決算期ベース!C6+C12*入力_各社決算期ベース!C7+C14*入力_各社決算期ベース!C8+C16*入力_各社決算期ベース!C9+C18*入力_各社決算期ベース!C10+C20*入力_各社決算期ベース!C11</f>
        <v>480.92755</v>
      </c>
      <c r="D24" s="8" t="n">
        <f aca="false">D6*入力_各社決算期ベース!C4+D8*入力_各社決算期ベース!C5+D10*入力_各社決算期ベース!C6+D12*入力_各社決算期ベース!C7+D14*入力_各社決算期ベース!C8+D16*入力_各社決算期ベース!C9+D18*入力_各社決算期ベース!C10+D20*入力_各社決算期ベース!C11</f>
        <v>630.1199</v>
      </c>
      <c r="E24" s="8" t="n">
        <f aca="false">E6*入力_各社決算期ベース!C4+E8*入力_各社決算期ベース!C5+E10*入力_各社決算期ベース!C6+E12*入力_各社決算期ベース!C7+E14*入力_各社決算期ベース!C8+E16*入力_各社決算期ベース!C9+E18*入力_各社決算期ベース!C10+E20*入力_各社決算期ベース!C11</f>
        <v>705.06165</v>
      </c>
      <c r="F24" s="8" t="n">
        <f aca="false">F6*入力_各社決算期ベース!C4+F8*入力_各社決算期ベース!C5+F10*入力_各社決算期ベース!C6+F12*入力_各社決算期ベース!C7+F14*入力_各社決算期ベース!C8+F16*入力_各社決算期ベース!C9+F18*入力_各社決算期ベース!C10+F20*入力_各社決算期ベース!C11</f>
        <v>800.57805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5" min="2" style="0" width="11"/>
    <col collapsed="false" customWidth="true" hidden="false" outlineLevel="0" max="16" min="16" style="0" width="90"/>
  </cols>
  <sheetData>
    <row r="1" customFormat="false" ht="15" hidden="false" customHeight="false" outlineLevel="0" collapsed="false">
      <c r="A1" s="1" t="s">
        <v>41</v>
      </c>
    </row>
    <row r="3" customFormat="false" ht="30" hidden="false" customHeight="true" outlineLevel="0" collapsed="false">
      <c r="A3" s="2" t="s">
        <v>24</v>
      </c>
      <c r="B3" s="2" t="s">
        <v>42</v>
      </c>
      <c r="C3" s="3" t="s">
        <v>43</v>
      </c>
      <c r="D3" s="3" t="s">
        <v>44</v>
      </c>
      <c r="E3" s="3" t="s">
        <v>45</v>
      </c>
      <c r="F3" s="3" t="s">
        <v>46</v>
      </c>
      <c r="G3" s="3" t="s">
        <v>47</v>
      </c>
      <c r="H3" s="3" t="s">
        <v>48</v>
      </c>
      <c r="I3" s="3" t="s">
        <v>49</v>
      </c>
      <c r="J3" s="3" t="s">
        <v>50</v>
      </c>
      <c r="K3" s="3" t="s">
        <v>51</v>
      </c>
      <c r="L3" s="3" t="s">
        <v>52</v>
      </c>
      <c r="M3" s="3" t="s">
        <v>53</v>
      </c>
      <c r="N3" s="3" t="s">
        <v>54</v>
      </c>
      <c r="O3" s="3" t="s">
        <v>55</v>
      </c>
      <c r="P3" s="2" t="s">
        <v>56</v>
      </c>
    </row>
    <row r="4" customFormat="false" ht="26.85" hidden="false" customHeight="false" outlineLevel="0" collapsed="false">
      <c r="A4" s="14" t="s">
        <v>25</v>
      </c>
      <c r="B4" s="17" t="n">
        <v>9</v>
      </c>
      <c r="C4" s="18" t="n">
        <v>1</v>
      </c>
      <c r="D4" s="6"/>
      <c r="E4" s="19" t="n">
        <v>750.5</v>
      </c>
      <c r="F4" s="19" t="n">
        <v>788</v>
      </c>
      <c r="G4" s="19" t="n">
        <v>827.4</v>
      </c>
      <c r="H4" s="19" t="n">
        <v>868.8</v>
      </c>
      <c r="I4" s="6"/>
      <c r="J4" s="6"/>
      <c r="K4" s="19" t="n">
        <v>22.9</v>
      </c>
      <c r="L4" s="19" t="n">
        <v>34.2</v>
      </c>
      <c r="M4" s="19" t="n">
        <v>46</v>
      </c>
      <c r="N4" s="19" t="n">
        <v>58.4</v>
      </c>
      <c r="O4" s="6"/>
      <c r="P4" s="15" t="s">
        <v>57</v>
      </c>
    </row>
    <row r="5" customFormat="false" ht="15" hidden="false" customHeight="false" outlineLevel="0" collapsed="false">
      <c r="A5" s="14" t="s">
        <v>27</v>
      </c>
      <c r="B5" s="17" t="n">
        <v>9</v>
      </c>
      <c r="C5" s="18" t="n">
        <v>1</v>
      </c>
      <c r="D5" s="6"/>
      <c r="E5" s="19" t="n">
        <v>0</v>
      </c>
      <c r="F5" s="19" t="n">
        <v>300</v>
      </c>
      <c r="G5" s="19" t="n">
        <v>300</v>
      </c>
      <c r="H5" s="19" t="n">
        <v>300</v>
      </c>
      <c r="I5" s="6"/>
      <c r="J5" s="6"/>
      <c r="K5" s="19" t="n">
        <v>0</v>
      </c>
      <c r="L5" s="19" t="n">
        <v>90</v>
      </c>
      <c r="M5" s="19" t="n">
        <v>90</v>
      </c>
      <c r="N5" s="19" t="n">
        <v>90</v>
      </c>
      <c r="O5" s="6"/>
      <c r="P5" s="5" t="s">
        <v>58</v>
      </c>
    </row>
    <row r="6" customFormat="false" ht="39.55" hidden="false" customHeight="false" outlineLevel="0" collapsed="false">
      <c r="A6" s="14" t="s">
        <v>29</v>
      </c>
      <c r="B6" s="17" t="n">
        <v>9</v>
      </c>
      <c r="C6" s="18" t="n">
        <v>1</v>
      </c>
      <c r="D6" s="6"/>
      <c r="E6" s="19" t="n">
        <v>0</v>
      </c>
      <c r="F6" s="19" t="n">
        <v>77.4</v>
      </c>
      <c r="G6" s="19" t="n">
        <v>138.7</v>
      </c>
      <c r="H6" s="19" t="n">
        <v>208.1</v>
      </c>
      <c r="I6" s="6"/>
      <c r="J6" s="6"/>
      <c r="K6" s="19" t="n">
        <v>0</v>
      </c>
      <c r="L6" s="19" t="n">
        <v>19</v>
      </c>
      <c r="M6" s="19" t="n">
        <v>34.6</v>
      </c>
      <c r="N6" s="19" t="n">
        <v>52</v>
      </c>
      <c r="O6" s="6"/>
      <c r="P6" s="5" t="s">
        <v>59</v>
      </c>
    </row>
    <row r="7" customFormat="false" ht="15" hidden="false" customHeight="false" outlineLevel="0" collapsed="false">
      <c r="A7" s="4" t="s">
        <v>31</v>
      </c>
      <c r="B7" s="17" t="n">
        <v>12</v>
      </c>
      <c r="C7" s="18" t="n">
        <v>0.7</v>
      </c>
      <c r="D7" s="19" t="n">
        <v>700</v>
      </c>
      <c r="E7" s="19" t="n">
        <v>721</v>
      </c>
      <c r="F7" s="19" t="n">
        <v>742.6</v>
      </c>
      <c r="G7" s="19" t="n">
        <v>764.9</v>
      </c>
      <c r="H7" s="19" t="n">
        <v>787.9</v>
      </c>
      <c r="I7" s="6"/>
      <c r="J7" s="19" t="n">
        <v>130</v>
      </c>
      <c r="K7" s="19" t="n">
        <v>134.1</v>
      </c>
      <c r="L7" s="19" t="n">
        <v>138.1</v>
      </c>
      <c r="M7" s="19" t="n">
        <v>142.2</v>
      </c>
      <c r="N7" s="19" t="n">
        <v>146.5</v>
      </c>
      <c r="O7" s="6"/>
      <c r="P7" s="15" t="s">
        <v>60</v>
      </c>
    </row>
    <row r="8" customFormat="false" ht="26.85" hidden="false" customHeight="false" outlineLevel="0" collapsed="false">
      <c r="A8" s="4" t="s">
        <v>32</v>
      </c>
      <c r="B8" s="17" t="n">
        <v>12</v>
      </c>
      <c r="C8" s="18" t="n">
        <v>0.51</v>
      </c>
      <c r="D8" s="19" t="n">
        <v>1015</v>
      </c>
      <c r="E8" s="19" t="n">
        <v>1062</v>
      </c>
      <c r="F8" s="19" t="n">
        <v>1095</v>
      </c>
      <c r="G8" s="19" t="n">
        <v>1129</v>
      </c>
      <c r="H8" s="19" t="n">
        <v>1169.8</v>
      </c>
      <c r="I8" s="6"/>
      <c r="J8" s="19" t="n">
        <v>528</v>
      </c>
      <c r="K8" s="19" t="n">
        <v>556</v>
      </c>
      <c r="L8" s="19" t="n">
        <v>576</v>
      </c>
      <c r="M8" s="19" t="n">
        <v>598</v>
      </c>
      <c r="N8" s="19" t="n">
        <v>623.3</v>
      </c>
      <c r="O8" s="6"/>
      <c r="P8" s="15" t="s">
        <v>61</v>
      </c>
    </row>
    <row r="9" customFormat="false" ht="15" hidden="false" customHeight="false" outlineLevel="0" collapsed="false">
      <c r="A9" s="14" t="s">
        <v>33</v>
      </c>
      <c r="B9" s="17" t="n">
        <v>3</v>
      </c>
      <c r="C9" s="18" t="n">
        <v>0.667</v>
      </c>
      <c r="D9" s="6"/>
      <c r="E9" s="19" t="n">
        <v>0</v>
      </c>
      <c r="F9" s="19" t="n">
        <v>381</v>
      </c>
      <c r="G9" s="19" t="n">
        <v>891.2</v>
      </c>
      <c r="H9" s="19" t="n">
        <v>1729.4</v>
      </c>
      <c r="I9" s="19" t="n">
        <v>2576.1</v>
      </c>
      <c r="J9" s="6"/>
      <c r="K9" s="19" t="n">
        <v>0</v>
      </c>
      <c r="L9" s="19" t="n">
        <v>10.3</v>
      </c>
      <c r="M9" s="19" t="n">
        <v>39.1</v>
      </c>
      <c r="N9" s="19" t="n">
        <v>105.8</v>
      </c>
      <c r="O9" s="19" t="n">
        <v>184</v>
      </c>
      <c r="P9" s="5" t="s">
        <v>62</v>
      </c>
    </row>
    <row r="10" customFormat="false" ht="26.85" hidden="false" customHeight="false" outlineLevel="0" collapsed="false">
      <c r="A10" s="4" t="s">
        <v>34</v>
      </c>
      <c r="B10" s="17" t="n">
        <v>6</v>
      </c>
      <c r="C10" s="18" t="n">
        <v>0.6</v>
      </c>
      <c r="D10" s="6"/>
      <c r="E10" s="19" t="n">
        <v>700</v>
      </c>
      <c r="F10" s="19" t="n">
        <v>721</v>
      </c>
      <c r="G10" s="19" t="n">
        <v>742.6</v>
      </c>
      <c r="H10" s="19" t="n">
        <v>764.9</v>
      </c>
      <c r="I10" s="19" t="n">
        <v>787.9</v>
      </c>
      <c r="J10" s="6"/>
      <c r="K10" s="19" t="n">
        <v>100</v>
      </c>
      <c r="L10" s="19" t="n">
        <v>103</v>
      </c>
      <c r="M10" s="19" t="n">
        <v>106.1</v>
      </c>
      <c r="N10" s="19" t="n">
        <v>109.3</v>
      </c>
      <c r="O10" s="19" t="n">
        <v>112.6</v>
      </c>
      <c r="P10" s="5" t="s">
        <v>63</v>
      </c>
    </row>
    <row r="11" customFormat="false" ht="26.85" hidden="false" customHeight="false" outlineLevel="0" collapsed="false">
      <c r="A11" s="4" t="s">
        <v>35</v>
      </c>
      <c r="B11" s="17" t="n">
        <v>9</v>
      </c>
      <c r="C11" s="18" t="n">
        <v>0.7</v>
      </c>
      <c r="D11" s="6"/>
      <c r="E11" s="19" t="n">
        <v>800</v>
      </c>
      <c r="F11" s="19" t="n">
        <v>800</v>
      </c>
      <c r="G11" s="19" t="n">
        <v>800</v>
      </c>
      <c r="H11" s="19" t="n">
        <v>800</v>
      </c>
      <c r="I11" s="6"/>
      <c r="J11" s="6"/>
      <c r="K11" s="19" t="n">
        <v>30</v>
      </c>
      <c r="L11" s="19" t="n">
        <v>30</v>
      </c>
      <c r="M11" s="19" t="n">
        <v>30</v>
      </c>
      <c r="N11" s="19" t="n">
        <v>30</v>
      </c>
      <c r="O11" s="6"/>
      <c r="P11" s="5" t="s">
        <v>64</v>
      </c>
    </row>
    <row r="13" customFormat="false" ht="15" hidden="false" customHeight="false" outlineLevel="0" collapsed="false">
      <c r="A13" s="13" t="s">
        <v>65</v>
      </c>
    </row>
    <row r="14" customFormat="false" ht="15" hidden="false" customHeight="false" outlineLevel="0" collapsed="false">
      <c r="A14" s="20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2026-10-22T05:51:18Z</dcterms:created>
  <dc:creator>openpyxl</dc:creator>
  <dc:description/>
  <dc:language>en-US</dc:language>
  <cp:lastModifiedBy/>
  <dcterms:modified xsi:type="dcterms:W3CDTF">2026-10-22T05:51:18Z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