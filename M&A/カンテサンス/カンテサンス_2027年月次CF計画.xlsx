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前提" sheetId="1" state="visible" r:id="rId3"/>
    <sheet name="月次CF" sheetId="2" state="visible" r:id="rId4"/>
    <sheet name="買収資金"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<sst xmlns="http://schemas.openxmlformats.org/spreadsheetml/2006/main" count="119" uniqueCount="114">
  <si>
    <r>
      <rPr>
        <b val="true"/>
        <sz val="13"/>
        <color rgb="FF6D2E46"/>
        <rFont val="WenQuanYi Zen Hei"/>
        <family val="2"/>
      </rPr>
      <t xml:space="preserve">カンテサンス </t>
    </r>
    <r>
      <rPr>
        <b val="true"/>
        <sz val="13"/>
        <color rgb="FF6D2E46"/>
        <rFont val="Arial"/>
        <family val="0"/>
        <charset val="1"/>
      </rPr>
      <t xml:space="preserve">2027</t>
    </r>
    <r>
      <rPr>
        <b val="true"/>
        <sz val="13"/>
        <color rgb="FF6D2E46"/>
        <rFont val="WenQuanYi Zen Hei"/>
        <family val="2"/>
      </rPr>
      <t xml:space="preserve">年 月次キャッシュフロー計画 ― 前提条件</t>
    </r>
  </si>
  <si>
    <t xml:space="preserve">単位：百万円。青字＝入力値、黒字＝計算式、黄色＝感応度を見るための主要レバー。</t>
  </si>
  <si>
    <r>
      <rPr>
        <b val="true"/>
        <sz val="10"/>
        <color rgb="FFFFFFFF"/>
        <rFont val="Arial"/>
        <family val="0"/>
        <charset val="1"/>
      </rPr>
      <t xml:space="preserve">1. </t>
    </r>
    <r>
      <rPr>
        <b val="true"/>
        <sz val="10"/>
        <color rgb="FFFFFFFF"/>
        <rFont val="WenQuanYi Zen Hei"/>
        <family val="2"/>
      </rPr>
      <t xml:space="preserve">損益前提（</t>
    </r>
    <r>
      <rPr>
        <b val="true"/>
        <sz val="10"/>
        <color rgb="FFFFFFFF"/>
        <rFont val="Arial"/>
        <family val="0"/>
        <charset val="1"/>
      </rPr>
      <t xml:space="preserve">2026</t>
    </r>
    <r>
      <rPr>
        <b val="true"/>
        <sz val="10"/>
        <color rgb="FFFFFFFF"/>
        <rFont val="WenQuanYi Zen Hei"/>
        <family val="2"/>
      </rPr>
      <t xml:space="preserve">年</t>
    </r>
    <r>
      <rPr>
        <b val="true"/>
        <sz val="10"/>
        <color rgb="FFFFFFFF"/>
        <rFont val="Arial"/>
        <family val="0"/>
        <charset val="1"/>
      </rPr>
      <t xml:space="preserve">12</t>
    </r>
    <r>
      <rPr>
        <b val="true"/>
        <sz val="10"/>
        <color rgb="FFFFFFFF"/>
        <rFont val="WenQuanYi Zen Hei"/>
        <family val="2"/>
      </rPr>
      <t xml:space="preserve">月期の会社計画と同水準で横ばい）</t>
    </r>
  </si>
  <si>
    <t xml:space="preserve">売上高（年間）</t>
  </si>
  <si>
    <r>
      <rPr>
        <sz val="9"/>
        <color rgb="FF808080"/>
        <rFont val="Arial"/>
        <family val="0"/>
        <charset val="1"/>
      </rPr>
      <t xml:space="preserve">IM p.40 </t>
    </r>
    <r>
      <rPr>
        <sz val="9"/>
        <color rgb="FF808080"/>
        <rFont val="WenQuanYi Zen Hei"/>
        <family val="2"/>
      </rPr>
      <t xml:space="preserve">の</t>
    </r>
    <r>
      <rPr>
        <sz val="9"/>
        <color rgb="FF808080"/>
        <rFont val="Arial"/>
        <family val="0"/>
        <charset val="1"/>
      </rPr>
      <t xml:space="preserve">2026</t>
    </r>
    <r>
      <rPr>
        <sz val="9"/>
        <color rgb="FF808080"/>
        <rFont val="WenQuanYi Zen Hei"/>
        <family val="2"/>
      </rPr>
      <t xml:space="preserve">年</t>
    </r>
    <r>
      <rPr>
        <sz val="9"/>
        <color rgb="FF808080"/>
        <rFont val="Arial"/>
        <family val="0"/>
        <charset val="1"/>
      </rPr>
      <t xml:space="preserve">12</t>
    </r>
    <r>
      <rPr>
        <sz val="9"/>
        <color rgb="FF808080"/>
        <rFont val="WenQuanYi Zen Hei"/>
        <family val="2"/>
      </rPr>
      <t xml:space="preserve">月期 会社計画</t>
    </r>
  </si>
  <si>
    <t xml:space="preserve">営業利益（年間）</t>
  </si>
  <si>
    <t xml:space="preserve">同上。役員報酬・賞与を控除した後の金額</t>
  </si>
  <si>
    <t xml:space="preserve">変動費率（食材・ドリンク原価）</t>
  </si>
  <si>
    <r>
      <rPr>
        <sz val="9"/>
        <color rgb="FF808080"/>
        <rFont val="WenQuanYi Zen Hei"/>
        <family val="2"/>
      </rPr>
      <t xml:space="preserve">ドリンク原価</t>
    </r>
    <r>
      <rPr>
        <sz val="9"/>
        <color rgb="FF808080"/>
        <rFont val="Arial"/>
        <family val="0"/>
        <charset val="1"/>
      </rPr>
      <t xml:space="preserve">0.9</t>
    </r>
    <r>
      <rPr>
        <sz val="9"/>
        <color rgb="FF808080"/>
        <rFont val="WenQuanYi Zen Hei"/>
        <family val="2"/>
      </rPr>
      <t xml:space="preserve">万円</t>
    </r>
    <r>
      <rPr>
        <sz val="9"/>
        <color rgb="FF808080"/>
        <rFont val="Arial"/>
        <family val="0"/>
        <charset val="1"/>
      </rPr>
      <t xml:space="preserve">/</t>
    </r>
    <r>
      <rPr>
        <sz val="9"/>
        <color rgb="FF808080"/>
        <rFont val="WenQuanYi Zen Hei"/>
        <family val="2"/>
      </rPr>
      <t xml:space="preserve">人</t>
    </r>
    <r>
      <rPr>
        <sz val="9"/>
        <color rgb="FF808080"/>
        <rFont val="Arial"/>
        <family val="0"/>
        <charset val="1"/>
      </rPr>
      <t xml:space="preserve">×1.4</t>
    </r>
    <r>
      <rPr>
        <sz val="9"/>
        <color rgb="FF808080"/>
        <rFont val="WenQuanYi Zen Hei"/>
        <family val="2"/>
      </rPr>
      <t xml:space="preserve">万人＋食材原価から逆算</t>
    </r>
  </si>
  <si>
    <t xml:space="preserve">月次固定費</t>
  </si>
  <si>
    <r>
      <rPr>
        <sz val="9"/>
        <color rgb="FF808080"/>
        <rFont val="WenQuanYi Zen Hei"/>
        <family val="2"/>
      </rPr>
      <t xml:space="preserve">＝（売上高</t>
    </r>
    <r>
      <rPr>
        <sz val="9"/>
        <color rgb="FF808080"/>
        <rFont val="Arial"/>
        <family val="0"/>
        <charset val="1"/>
      </rPr>
      <t xml:space="preserve">×(1−</t>
    </r>
    <r>
      <rPr>
        <sz val="9"/>
        <color rgb="FF808080"/>
        <rFont val="WenQuanYi Zen Hei"/>
        <family val="2"/>
      </rPr>
      <t xml:space="preserve">変動費率</t>
    </r>
    <r>
      <rPr>
        <sz val="9"/>
        <color rgb="FF808080"/>
        <rFont val="Arial"/>
        <family val="0"/>
        <charset val="1"/>
      </rPr>
      <t xml:space="preserve">)−</t>
    </r>
    <r>
      <rPr>
        <sz val="9"/>
        <color rgb="FF808080"/>
        <rFont val="WenQuanYi Zen Hei"/>
        <family val="2"/>
      </rPr>
      <t xml:space="preserve">営業利益）</t>
    </r>
    <r>
      <rPr>
        <sz val="9"/>
        <color rgb="FF808080"/>
        <rFont val="Arial"/>
        <family val="0"/>
        <charset val="1"/>
      </rPr>
      <t xml:space="preserve">÷12</t>
    </r>
    <r>
      <rPr>
        <sz val="9"/>
        <color rgb="FF808080"/>
        <rFont val="WenQuanYi Zen Hei"/>
        <family val="2"/>
      </rPr>
      <t xml:space="preserve">。人件費・役員報酬・賃料等</t>
    </r>
  </si>
  <si>
    <r>
      <rPr>
        <b val="true"/>
        <sz val="10"/>
        <color rgb="FFFFFFFF"/>
        <rFont val="Arial"/>
        <family val="0"/>
        <charset val="1"/>
      </rPr>
      <t xml:space="preserve">2. </t>
    </r>
    <r>
      <rPr>
        <b val="true"/>
        <sz val="10"/>
        <color rgb="FFFFFFFF"/>
        <rFont val="WenQuanYi Zen Hei"/>
        <family val="2"/>
      </rPr>
      <t xml:space="preserve">月次の営業日数（年間</t>
    </r>
    <r>
      <rPr>
        <b val="true"/>
        <sz val="10"/>
        <color rgb="FFFFFFFF"/>
        <rFont val="Arial"/>
        <family val="0"/>
        <charset val="1"/>
      </rPr>
      <t xml:space="preserve">252</t>
    </r>
    <r>
      <rPr>
        <b val="true"/>
        <sz val="10"/>
        <color rgb="FFFFFFFF"/>
        <rFont val="WenQuanYi Zen Hei"/>
        <family val="2"/>
      </rPr>
      <t xml:space="preserve">日）</t>
    </r>
  </si>
  <si>
    <t xml:space="preserve">月</t>
  </si>
  <si>
    <r>
      <rPr>
        <b val="true"/>
        <sz val="10"/>
        <rFont val="Arial"/>
        <family val="0"/>
        <charset val="1"/>
      </rPr>
      <t xml:space="preserve">1</t>
    </r>
    <r>
      <rPr>
        <b val="true"/>
        <sz val="10"/>
        <rFont val="WenQuanYi Zen Hei"/>
        <family val="2"/>
      </rPr>
      <t xml:space="preserve">月</t>
    </r>
  </si>
  <si>
    <r>
      <rPr>
        <b val="true"/>
        <sz val="10"/>
        <rFont val="Arial"/>
        <family val="0"/>
        <charset val="1"/>
      </rPr>
      <t xml:space="preserve">2</t>
    </r>
    <r>
      <rPr>
        <b val="true"/>
        <sz val="10"/>
        <rFont val="WenQuanYi Zen Hei"/>
        <family val="2"/>
      </rPr>
      <t xml:space="preserve">月</t>
    </r>
  </si>
  <si>
    <r>
      <rPr>
        <b val="true"/>
        <sz val="10"/>
        <rFont val="Arial"/>
        <family val="0"/>
        <charset val="1"/>
      </rPr>
      <t xml:space="preserve">3</t>
    </r>
    <r>
      <rPr>
        <b val="true"/>
        <sz val="10"/>
        <rFont val="WenQuanYi Zen Hei"/>
        <family val="2"/>
      </rPr>
      <t xml:space="preserve">月</t>
    </r>
  </si>
  <si>
    <r>
      <rPr>
        <b val="true"/>
        <sz val="10"/>
        <rFont val="Arial"/>
        <family val="0"/>
        <charset val="1"/>
      </rPr>
      <t xml:space="preserve">4</t>
    </r>
    <r>
      <rPr>
        <b val="true"/>
        <sz val="10"/>
        <rFont val="WenQuanYi Zen Hei"/>
        <family val="2"/>
      </rPr>
      <t xml:space="preserve">月</t>
    </r>
  </si>
  <si>
    <r>
      <rPr>
        <b val="true"/>
        <sz val="10"/>
        <rFont val="Arial"/>
        <family val="0"/>
        <charset val="1"/>
      </rPr>
      <t xml:space="preserve">5</t>
    </r>
    <r>
      <rPr>
        <b val="true"/>
        <sz val="10"/>
        <rFont val="WenQuanYi Zen Hei"/>
        <family val="2"/>
      </rPr>
      <t xml:space="preserve">月</t>
    </r>
  </si>
  <si>
    <r>
      <rPr>
        <b val="true"/>
        <sz val="10"/>
        <rFont val="Arial"/>
        <family val="0"/>
        <charset val="1"/>
      </rPr>
      <t xml:space="preserve">6</t>
    </r>
    <r>
      <rPr>
        <b val="true"/>
        <sz val="10"/>
        <rFont val="WenQuanYi Zen Hei"/>
        <family val="2"/>
      </rPr>
      <t xml:space="preserve">月</t>
    </r>
  </si>
  <si>
    <r>
      <rPr>
        <b val="true"/>
        <sz val="10"/>
        <rFont val="Arial"/>
        <family val="0"/>
        <charset val="1"/>
      </rPr>
      <t xml:space="preserve">7</t>
    </r>
    <r>
      <rPr>
        <b val="true"/>
        <sz val="10"/>
        <rFont val="WenQuanYi Zen Hei"/>
        <family val="2"/>
      </rPr>
      <t xml:space="preserve">月</t>
    </r>
  </si>
  <si>
    <r>
      <rPr>
        <b val="true"/>
        <sz val="10"/>
        <rFont val="Arial"/>
        <family val="0"/>
        <charset val="1"/>
      </rPr>
      <t xml:space="preserve">8</t>
    </r>
    <r>
      <rPr>
        <b val="true"/>
        <sz val="10"/>
        <rFont val="WenQuanYi Zen Hei"/>
        <family val="2"/>
      </rPr>
      <t xml:space="preserve">月</t>
    </r>
  </si>
  <si>
    <r>
      <rPr>
        <b val="true"/>
        <sz val="10"/>
        <rFont val="Arial"/>
        <family val="0"/>
        <charset val="1"/>
      </rPr>
      <t xml:space="preserve">9</t>
    </r>
    <r>
      <rPr>
        <b val="true"/>
        <sz val="10"/>
        <rFont val="WenQuanYi Zen Hei"/>
        <family val="2"/>
      </rPr>
      <t xml:space="preserve">月</t>
    </r>
  </si>
  <si>
    <r>
      <rPr>
        <b val="true"/>
        <sz val="10"/>
        <rFont val="Arial"/>
        <family val="0"/>
        <charset val="1"/>
      </rPr>
      <t xml:space="preserve">10</t>
    </r>
    <r>
      <rPr>
        <b val="true"/>
        <sz val="10"/>
        <rFont val="WenQuanYi Zen Hei"/>
        <family val="2"/>
      </rPr>
      <t xml:space="preserve">月</t>
    </r>
  </si>
  <si>
    <r>
      <rPr>
        <b val="true"/>
        <sz val="10"/>
        <rFont val="Arial"/>
        <family val="0"/>
        <charset val="1"/>
      </rPr>
      <t xml:space="preserve">11</t>
    </r>
    <r>
      <rPr>
        <b val="true"/>
        <sz val="10"/>
        <rFont val="WenQuanYi Zen Hei"/>
        <family val="2"/>
      </rPr>
      <t xml:space="preserve">月</t>
    </r>
  </si>
  <si>
    <r>
      <rPr>
        <b val="true"/>
        <sz val="10"/>
        <rFont val="Arial"/>
        <family val="0"/>
        <charset val="1"/>
      </rPr>
      <t xml:space="preserve">12</t>
    </r>
    <r>
      <rPr>
        <b val="true"/>
        <sz val="10"/>
        <rFont val="WenQuanYi Zen Hei"/>
        <family val="2"/>
      </rPr>
      <t xml:space="preserve">月</t>
    </r>
  </si>
  <si>
    <t xml:space="preserve">合計</t>
  </si>
  <si>
    <t xml:space="preserve">営業日数</t>
  </si>
  <si>
    <r>
      <rPr>
        <sz val="9"/>
        <color rgb="FF808080"/>
        <rFont val="Arial"/>
        <family val="0"/>
        <charset val="1"/>
      </rPr>
      <t xml:space="preserve">※ 1</t>
    </r>
    <r>
      <rPr>
        <sz val="9"/>
        <color rgb="FF808080"/>
        <rFont val="WenQuanYi Zen Hei"/>
        <family val="2"/>
      </rPr>
      <t xml:space="preserve">月は年始休業、</t>
    </r>
    <r>
      <rPr>
        <sz val="9"/>
        <color rgb="FF808080"/>
        <rFont val="Arial"/>
        <family val="0"/>
        <charset val="1"/>
      </rPr>
      <t xml:space="preserve">8</t>
    </r>
    <r>
      <rPr>
        <sz val="9"/>
        <color rgb="FF808080"/>
        <rFont val="WenQuanYi Zen Hei"/>
        <family val="2"/>
      </rPr>
      <t xml:space="preserve">月は夏季休業、</t>
    </r>
    <r>
      <rPr>
        <sz val="9"/>
        <color rgb="FF808080"/>
        <rFont val="Arial"/>
        <family val="0"/>
        <charset val="1"/>
      </rPr>
      <t xml:space="preserve">12</t>
    </r>
    <r>
      <rPr>
        <sz val="9"/>
        <color rgb="FF808080"/>
        <rFont val="WenQuanYi Zen Hei"/>
        <family val="2"/>
      </rPr>
      <t xml:space="preserve">月は繁忙期のため営業日数を増やす前提。月次売上は営業日数に比例させている。</t>
    </r>
  </si>
  <si>
    <r>
      <rPr>
        <b val="true"/>
        <sz val="10"/>
        <color rgb="FFFFFFFF"/>
        <rFont val="Arial"/>
        <family val="0"/>
        <charset val="1"/>
      </rPr>
      <t xml:space="preserve">3. </t>
    </r>
    <r>
      <rPr>
        <b val="true"/>
        <sz val="10"/>
        <color rgb="FFFFFFFF"/>
        <rFont val="WenQuanYi Zen Hei"/>
        <family val="2"/>
      </rPr>
      <t xml:space="preserve">税金</t>
    </r>
  </si>
  <si>
    <r>
      <rPr>
        <sz val="10"/>
        <rFont val="Arial"/>
        <family val="0"/>
        <charset val="1"/>
      </rPr>
      <t xml:space="preserve">2026</t>
    </r>
    <r>
      <rPr>
        <sz val="10"/>
        <rFont val="WenQuanYi Zen Hei"/>
        <family val="2"/>
      </rPr>
      <t xml:space="preserve">年</t>
    </r>
    <r>
      <rPr>
        <sz val="10"/>
        <rFont val="Arial"/>
        <family val="0"/>
        <charset val="1"/>
      </rPr>
      <t xml:space="preserve">12</t>
    </r>
    <r>
      <rPr>
        <sz val="10"/>
        <rFont val="WenQuanYi Zen Hei"/>
        <family val="2"/>
      </rPr>
      <t xml:space="preserve">月期の未払法人税等・未払消費税（</t>
    </r>
    <r>
      <rPr>
        <sz val="10"/>
        <rFont val="Arial"/>
        <family val="0"/>
        <charset val="1"/>
      </rPr>
      <t xml:space="preserve">2027</t>
    </r>
    <r>
      <rPr>
        <sz val="10"/>
        <rFont val="WenQuanYi Zen Hei"/>
        <family val="2"/>
      </rPr>
      <t xml:space="preserve">年</t>
    </r>
    <r>
      <rPr>
        <sz val="10"/>
        <rFont val="Arial"/>
        <family val="0"/>
        <charset val="1"/>
      </rPr>
      <t xml:space="preserve">2</t>
    </r>
    <r>
      <rPr>
        <sz val="10"/>
        <rFont val="WenQuanYi Zen Hei"/>
        <family val="2"/>
      </rPr>
      <t xml:space="preserve">月納付）</t>
    </r>
  </si>
  <si>
    <r>
      <rPr>
        <sz val="9"/>
        <color rgb="FF808080"/>
        <rFont val="Arial"/>
        <family val="0"/>
        <charset val="1"/>
      </rPr>
      <t xml:space="preserve">2026</t>
    </r>
    <r>
      <rPr>
        <sz val="9"/>
        <color rgb="FF808080"/>
        <rFont val="WenQuanYi Zen Hei"/>
        <family val="2"/>
      </rPr>
      <t xml:space="preserve">年</t>
    </r>
    <r>
      <rPr>
        <sz val="9"/>
        <color rgb="FF808080"/>
        <rFont val="Arial"/>
        <family val="0"/>
        <charset val="1"/>
      </rPr>
      <t xml:space="preserve">12</t>
    </r>
    <r>
      <rPr>
        <sz val="9"/>
        <color rgb="FF808080"/>
        <rFont val="WenQuanYi Zen Hei"/>
        <family val="2"/>
      </rPr>
      <t xml:space="preserve">月期末</t>
    </r>
    <r>
      <rPr>
        <sz val="9"/>
        <color rgb="FF808080"/>
        <rFont val="Arial"/>
        <family val="0"/>
        <charset val="1"/>
      </rPr>
      <t xml:space="preserve">BS</t>
    </r>
    <r>
      <rPr>
        <sz val="9"/>
        <color rgb="FF808080"/>
        <rFont val="WenQuanYi Zen Hei"/>
        <family val="2"/>
      </rPr>
      <t xml:space="preserve">の負債に計上されている金額。取得後の会社が納付する</t>
    </r>
  </si>
  <si>
    <r>
      <rPr>
        <sz val="10"/>
        <rFont val="WenQuanYi Zen Hei"/>
        <family val="2"/>
      </rPr>
      <t xml:space="preserve">法人税等 </t>
    </r>
    <r>
      <rPr>
        <sz val="10"/>
        <rFont val="Arial"/>
        <family val="0"/>
        <charset val="1"/>
      </rPr>
      <t xml:space="preserve">2027</t>
    </r>
    <r>
      <rPr>
        <sz val="10"/>
        <rFont val="WenQuanYi Zen Hei"/>
        <family val="2"/>
      </rPr>
      <t xml:space="preserve">年度 中間納付（</t>
    </r>
    <r>
      <rPr>
        <sz val="10"/>
        <rFont val="Arial"/>
        <family val="0"/>
        <charset val="1"/>
      </rPr>
      <t xml:space="preserve">2027</t>
    </r>
    <r>
      <rPr>
        <sz val="10"/>
        <rFont val="WenQuanYi Zen Hei"/>
        <family val="2"/>
      </rPr>
      <t xml:space="preserve">年</t>
    </r>
    <r>
      <rPr>
        <sz val="10"/>
        <rFont val="Arial"/>
        <family val="0"/>
        <charset val="1"/>
      </rPr>
      <t xml:space="preserve">8</t>
    </r>
    <r>
      <rPr>
        <sz val="10"/>
        <rFont val="WenQuanYi Zen Hei"/>
        <family val="2"/>
      </rPr>
      <t xml:space="preserve">月）</t>
    </r>
  </si>
  <si>
    <r>
      <rPr>
        <sz val="9"/>
        <color rgb="FF808080"/>
        <rFont val="WenQuanYi Zen Hei"/>
        <family val="2"/>
      </rPr>
      <t xml:space="preserve">前事業年度の確定法人税額の</t>
    </r>
    <r>
      <rPr>
        <sz val="9"/>
        <color rgb="FF808080"/>
        <rFont val="Arial"/>
        <family val="0"/>
        <charset val="1"/>
      </rPr>
      <t xml:space="preserve">2</t>
    </r>
    <r>
      <rPr>
        <sz val="9"/>
        <color rgb="FF808080"/>
        <rFont val="WenQuanYi Zen Hei"/>
        <family val="2"/>
      </rPr>
      <t xml:space="preserve">分の</t>
    </r>
    <r>
      <rPr>
        <sz val="9"/>
        <color rgb="FF808080"/>
        <rFont val="Arial"/>
        <family val="0"/>
        <charset val="1"/>
      </rPr>
      <t xml:space="preserve">1</t>
    </r>
  </si>
  <si>
    <t xml:space="preserve">（期中の消費税）</t>
  </si>
  <si>
    <t xml:space="preserve">売上高は税抜表示であり、消費税は預り金の性質を持つ。顧客からの預りと税務署への納付が年間を通じて相殺されるため、本モデルでは計上していない</t>
  </si>
  <si>
    <r>
      <rPr>
        <sz val="9"/>
        <color rgb="FF808080"/>
        <rFont val="Arial"/>
        <family val="0"/>
        <charset val="1"/>
      </rPr>
      <t xml:space="preserve">※ 2026</t>
    </r>
    <r>
      <rPr>
        <sz val="9"/>
        <color rgb="FF808080"/>
        <rFont val="WenQuanYi Zen Hei"/>
        <family val="2"/>
      </rPr>
      <t xml:space="preserve">年</t>
    </r>
    <r>
      <rPr>
        <sz val="9"/>
        <color rgb="FF808080"/>
        <rFont val="Arial"/>
        <family val="0"/>
        <charset val="1"/>
      </rPr>
      <t xml:space="preserve">12</t>
    </r>
    <r>
      <rPr>
        <sz val="9"/>
        <color rgb="FF808080"/>
        <rFont val="WenQuanYi Zen Hei"/>
        <family val="2"/>
      </rPr>
      <t xml:space="preserve">月期の未払税金は、譲受価額の算定において控除していない（事業価値の算定は現預金と役員貸付金のみを非事業用資産として扱っている）。</t>
    </r>
    <r>
      <rPr>
        <sz val="9"/>
        <color rgb="FF808080"/>
        <rFont val="Arial"/>
        <family val="0"/>
        <charset val="1"/>
      </rPr>
      <t xml:space="preserve">
※ </t>
    </r>
    <r>
      <rPr>
        <sz val="9"/>
        <color rgb="FF808080"/>
        <rFont val="WenQuanYi Zen Hei"/>
        <family val="2"/>
      </rPr>
      <t xml:space="preserve">合併に伴う資産調整勘定（税務上ののれん）の損金算入は、保守的に織り込んでいない。認められる場合、</t>
    </r>
    <r>
      <rPr>
        <sz val="9"/>
        <color rgb="FF808080"/>
        <rFont val="Arial"/>
        <family val="0"/>
        <charset val="1"/>
      </rPr>
      <t xml:space="preserve">2027</t>
    </r>
    <r>
      <rPr>
        <sz val="9"/>
        <color rgb="FF808080"/>
        <rFont val="WenQuanYi Zen Hei"/>
        <family val="2"/>
      </rPr>
      <t xml:space="preserve">年度の法人税はほぼ発生しない。</t>
    </r>
  </si>
  <si>
    <r>
      <rPr>
        <b val="true"/>
        <sz val="10"/>
        <color rgb="FFFFFFFF"/>
        <rFont val="Arial"/>
        <family val="0"/>
        <charset val="1"/>
      </rPr>
      <t xml:space="preserve">4. </t>
    </r>
    <r>
      <rPr>
        <b val="true"/>
        <sz val="10"/>
        <color rgb="FFFFFFFF"/>
        <rFont val="WenQuanYi Zen Hei"/>
        <family val="2"/>
      </rPr>
      <t xml:space="preserve">買収ファイナンスと期首現金</t>
    </r>
  </si>
  <si>
    <r>
      <rPr>
        <sz val="10"/>
        <rFont val="WenQuanYi Zen Hei"/>
        <family val="2"/>
      </rPr>
      <t xml:space="preserve">有利子負債（</t>
    </r>
    <r>
      <rPr>
        <sz val="10"/>
        <rFont val="Arial"/>
        <family val="0"/>
        <charset val="1"/>
      </rPr>
      <t xml:space="preserve">2027</t>
    </r>
    <r>
      <rPr>
        <sz val="10"/>
        <rFont val="WenQuanYi Zen Hei"/>
        <family val="2"/>
      </rPr>
      <t xml:space="preserve">年</t>
    </r>
    <r>
      <rPr>
        <sz val="10"/>
        <rFont val="Arial"/>
        <family val="0"/>
        <charset val="1"/>
      </rPr>
      <t xml:space="preserve">1</t>
    </r>
    <r>
      <rPr>
        <sz val="10"/>
        <rFont val="WenQuanYi Zen Hei"/>
        <family val="2"/>
      </rPr>
      <t xml:space="preserve">月</t>
    </r>
    <r>
      <rPr>
        <sz val="10"/>
        <rFont val="Arial"/>
        <family val="0"/>
        <charset val="1"/>
      </rPr>
      <t xml:space="preserve">1</t>
    </r>
    <r>
      <rPr>
        <sz val="10"/>
        <rFont val="WenQuanYi Zen Hei"/>
        <family val="2"/>
      </rPr>
      <t xml:space="preserve">日、ブリッジ返済後）</t>
    </r>
  </si>
  <si>
    <r>
      <rPr>
        <sz val="9"/>
        <color rgb="FF808080"/>
        <rFont val="WenQuanYi Zen Hei"/>
        <family val="2"/>
      </rPr>
      <t xml:space="preserve">タームローン</t>
    </r>
    <r>
      <rPr>
        <sz val="9"/>
        <color rgb="FF808080"/>
        <rFont val="Arial"/>
        <family val="0"/>
        <charset val="1"/>
      </rPr>
      <t xml:space="preserve">A 14.0</t>
    </r>
    <r>
      <rPr>
        <sz val="9"/>
        <color rgb="FF808080"/>
        <rFont val="WenQuanYi Zen Hei"/>
        <family val="2"/>
      </rPr>
      <t xml:space="preserve">億円＋タームローン</t>
    </r>
    <r>
      <rPr>
        <sz val="9"/>
        <color rgb="FF808080"/>
        <rFont val="Arial"/>
        <family val="0"/>
        <charset val="1"/>
      </rPr>
      <t xml:space="preserve">B 6.0</t>
    </r>
    <r>
      <rPr>
        <sz val="9"/>
        <color rgb="FF808080"/>
        <rFont val="WenQuanYi Zen Hei"/>
        <family val="2"/>
      </rPr>
      <t xml:space="preserve">億円</t>
    </r>
  </si>
  <si>
    <t xml:space="preserve">金利</t>
  </si>
  <si>
    <t xml:space="preserve">みずほ銀行との協議前提</t>
  </si>
  <si>
    <t xml:space="preserve">四半期の元本返済額</t>
  </si>
  <si>
    <r>
      <rPr>
        <sz val="9"/>
        <color rgb="FF808080"/>
        <rFont val="WenQuanYi Zen Hei"/>
        <family val="2"/>
      </rPr>
      <t xml:space="preserve">タームローン</t>
    </r>
    <r>
      <rPr>
        <sz val="9"/>
        <color rgb="FF808080"/>
        <rFont val="Arial"/>
        <family val="0"/>
        <charset val="1"/>
      </rPr>
      <t xml:space="preserve">A 14.0</t>
    </r>
    <r>
      <rPr>
        <sz val="9"/>
        <color rgb="FF808080"/>
        <rFont val="WenQuanYi Zen Hei"/>
        <family val="2"/>
      </rPr>
      <t xml:space="preserve">億円を</t>
    </r>
    <r>
      <rPr>
        <sz val="9"/>
        <color rgb="FF808080"/>
        <rFont val="Arial"/>
        <family val="0"/>
        <charset val="1"/>
      </rPr>
      <t xml:space="preserve">7</t>
    </r>
    <r>
      <rPr>
        <sz val="9"/>
        <color rgb="FF808080"/>
        <rFont val="WenQuanYi Zen Hei"/>
        <family val="2"/>
      </rPr>
      <t xml:space="preserve">年元金均等＝年</t>
    </r>
    <r>
      <rPr>
        <sz val="9"/>
        <color rgb="FF808080"/>
        <rFont val="Arial"/>
        <family val="0"/>
        <charset val="1"/>
      </rPr>
      <t xml:space="preserve">2.0</t>
    </r>
    <r>
      <rPr>
        <sz val="9"/>
        <color rgb="FF808080"/>
        <rFont val="WenQuanYi Zen Hei"/>
        <family val="2"/>
      </rPr>
      <t xml:space="preserve">億円。</t>
    </r>
    <r>
      <rPr>
        <sz val="9"/>
        <color rgb="FF808080"/>
        <rFont val="Arial"/>
        <family val="0"/>
        <charset val="1"/>
      </rPr>
      <t xml:space="preserve">3</t>
    </r>
    <r>
      <rPr>
        <sz val="9"/>
        <color rgb="FF808080"/>
        <rFont val="WenQuanYi Zen Hei"/>
        <family val="2"/>
      </rPr>
      <t xml:space="preserve">月・</t>
    </r>
    <r>
      <rPr>
        <sz val="9"/>
        <color rgb="FF808080"/>
        <rFont val="Arial"/>
        <family val="0"/>
        <charset val="1"/>
      </rPr>
      <t xml:space="preserve">6</t>
    </r>
    <r>
      <rPr>
        <sz val="9"/>
        <color rgb="FF808080"/>
        <rFont val="WenQuanYi Zen Hei"/>
        <family val="2"/>
      </rPr>
      <t xml:space="preserve">月・</t>
    </r>
    <r>
      <rPr>
        <sz val="9"/>
        <color rgb="FF808080"/>
        <rFont val="Arial"/>
        <family val="0"/>
        <charset val="1"/>
      </rPr>
      <t xml:space="preserve">9</t>
    </r>
    <r>
      <rPr>
        <sz val="9"/>
        <color rgb="FF808080"/>
        <rFont val="WenQuanYi Zen Hei"/>
        <family val="2"/>
      </rPr>
      <t xml:space="preserve">月・</t>
    </r>
    <r>
      <rPr>
        <sz val="9"/>
        <color rgb="FF808080"/>
        <rFont val="Arial"/>
        <family val="0"/>
        <charset val="1"/>
      </rPr>
      <t xml:space="preserve">12</t>
    </r>
    <r>
      <rPr>
        <sz val="9"/>
        <color rgb="FF808080"/>
        <rFont val="WenQuanYi Zen Hei"/>
        <family val="2"/>
      </rPr>
      <t xml:space="preserve">月に返済</t>
    </r>
  </si>
  <si>
    <t xml:space="preserve">期首現金（対象会社に留保する運転資金）</t>
  </si>
  <si>
    <t xml:space="preserve">★ 本モデルの主要レバー。ここを増減させると買収時に必要な中野氏の拠出額が同額だけ変動する</t>
  </si>
  <si>
    <r>
      <rPr>
        <b val="true"/>
        <sz val="13"/>
        <color rgb="FF6D2E46"/>
        <rFont val="Arial"/>
        <family val="0"/>
        <charset val="1"/>
      </rPr>
      <t xml:space="preserve">2027</t>
    </r>
    <r>
      <rPr>
        <b val="true"/>
        <sz val="13"/>
        <color rgb="FF6D2E46"/>
        <rFont val="WenQuanYi Zen Hei"/>
        <family val="2"/>
      </rPr>
      <t xml:space="preserve">年 月次キャッシュフロー計画（百万円）</t>
    </r>
  </si>
  <si>
    <r>
      <rPr>
        <sz val="9"/>
        <color rgb="FF808080"/>
        <rFont val="WenQuanYi Zen Hei"/>
        <family val="2"/>
      </rPr>
      <t xml:space="preserve">計画どおり（</t>
    </r>
    <r>
      <rPr>
        <sz val="9"/>
        <color rgb="FF808080"/>
        <rFont val="Arial"/>
        <family val="0"/>
        <charset val="1"/>
      </rPr>
      <t xml:space="preserve">2026</t>
    </r>
    <r>
      <rPr>
        <sz val="9"/>
        <color rgb="FF808080"/>
        <rFont val="WenQuanYi Zen Hei"/>
        <family val="2"/>
      </rPr>
      <t xml:space="preserve">年</t>
    </r>
    <r>
      <rPr>
        <sz val="9"/>
        <color rgb="FF808080"/>
        <rFont val="Arial"/>
        <family val="0"/>
        <charset val="1"/>
      </rPr>
      <t xml:space="preserve">12</t>
    </r>
    <r>
      <rPr>
        <sz val="9"/>
        <color rgb="FF808080"/>
        <rFont val="WenQuanYi Zen Hei"/>
        <family val="2"/>
      </rPr>
      <t xml:space="preserve">月期の会社計画と同水準）に推移した場合。すべて『前提』シートを参照している。</t>
    </r>
  </si>
  <si>
    <r>
      <rPr>
        <b val="true"/>
        <sz val="10"/>
        <color rgb="FFFFFFFF"/>
        <rFont val="Arial"/>
        <family val="0"/>
        <charset val="1"/>
      </rPr>
      <t xml:space="preserve">2027</t>
    </r>
    <r>
      <rPr>
        <b val="true"/>
        <sz val="10"/>
        <color rgb="FFFFFFFF"/>
        <rFont val="WenQuanYi Zen Hei"/>
        <family val="2"/>
      </rPr>
      <t xml:space="preserve">年</t>
    </r>
  </si>
  <si>
    <r>
      <rPr>
        <b val="true"/>
        <sz val="10"/>
        <color rgb="FFFFFFFF"/>
        <rFont val="Arial"/>
        <family val="0"/>
        <charset val="1"/>
      </rPr>
      <t xml:space="preserve">1</t>
    </r>
    <r>
      <rPr>
        <b val="true"/>
        <sz val="10"/>
        <color rgb="FFFFFFFF"/>
        <rFont val="WenQuanYi Zen Hei"/>
        <family val="2"/>
      </rPr>
      <t xml:space="preserve">月</t>
    </r>
  </si>
  <si>
    <r>
      <rPr>
        <b val="true"/>
        <sz val="10"/>
        <color rgb="FFFFFFFF"/>
        <rFont val="Arial"/>
        <family val="0"/>
        <charset val="1"/>
      </rPr>
      <t xml:space="preserve">2</t>
    </r>
    <r>
      <rPr>
        <b val="true"/>
        <sz val="10"/>
        <color rgb="FFFFFFFF"/>
        <rFont val="WenQuanYi Zen Hei"/>
        <family val="2"/>
      </rPr>
      <t xml:space="preserve">月</t>
    </r>
  </si>
  <si>
    <r>
      <rPr>
        <b val="true"/>
        <sz val="10"/>
        <color rgb="FFFFFFFF"/>
        <rFont val="Arial"/>
        <family val="0"/>
        <charset val="1"/>
      </rPr>
      <t xml:space="preserve">3</t>
    </r>
    <r>
      <rPr>
        <b val="true"/>
        <sz val="10"/>
        <color rgb="FFFFFFFF"/>
        <rFont val="WenQuanYi Zen Hei"/>
        <family val="2"/>
      </rPr>
      <t xml:space="preserve">月</t>
    </r>
  </si>
  <si>
    <r>
      <rPr>
        <b val="true"/>
        <sz val="10"/>
        <color rgb="FFFFFFFF"/>
        <rFont val="Arial"/>
        <family val="0"/>
        <charset val="1"/>
      </rPr>
      <t xml:space="preserve">4</t>
    </r>
    <r>
      <rPr>
        <b val="true"/>
        <sz val="10"/>
        <color rgb="FFFFFFFF"/>
        <rFont val="WenQuanYi Zen Hei"/>
        <family val="2"/>
      </rPr>
      <t xml:space="preserve">月</t>
    </r>
  </si>
  <si>
    <r>
      <rPr>
        <b val="true"/>
        <sz val="10"/>
        <color rgb="FFFFFFFF"/>
        <rFont val="Arial"/>
        <family val="0"/>
        <charset val="1"/>
      </rPr>
      <t xml:space="preserve">5</t>
    </r>
    <r>
      <rPr>
        <b val="true"/>
        <sz val="10"/>
        <color rgb="FFFFFFFF"/>
        <rFont val="WenQuanYi Zen Hei"/>
        <family val="2"/>
      </rPr>
      <t xml:space="preserve">月</t>
    </r>
  </si>
  <si>
    <r>
      <rPr>
        <b val="true"/>
        <sz val="10"/>
        <color rgb="FFFFFFFF"/>
        <rFont val="Arial"/>
        <family val="0"/>
        <charset val="1"/>
      </rPr>
      <t xml:space="preserve">6</t>
    </r>
    <r>
      <rPr>
        <b val="true"/>
        <sz val="10"/>
        <color rgb="FFFFFFFF"/>
        <rFont val="WenQuanYi Zen Hei"/>
        <family val="2"/>
      </rPr>
      <t xml:space="preserve">月</t>
    </r>
  </si>
  <si>
    <r>
      <rPr>
        <b val="true"/>
        <sz val="10"/>
        <color rgb="FFFFFFFF"/>
        <rFont val="Arial"/>
        <family val="0"/>
        <charset val="1"/>
      </rPr>
      <t xml:space="preserve">7</t>
    </r>
    <r>
      <rPr>
        <b val="true"/>
        <sz val="10"/>
        <color rgb="FFFFFFFF"/>
        <rFont val="WenQuanYi Zen Hei"/>
        <family val="2"/>
      </rPr>
      <t xml:space="preserve">月</t>
    </r>
  </si>
  <si>
    <r>
      <rPr>
        <b val="true"/>
        <sz val="10"/>
        <color rgb="FFFFFFFF"/>
        <rFont val="Arial"/>
        <family val="0"/>
        <charset val="1"/>
      </rPr>
      <t xml:space="preserve">8</t>
    </r>
    <r>
      <rPr>
        <b val="true"/>
        <sz val="10"/>
        <color rgb="FFFFFFFF"/>
        <rFont val="WenQuanYi Zen Hei"/>
        <family val="2"/>
      </rPr>
      <t xml:space="preserve">月</t>
    </r>
  </si>
  <si>
    <r>
      <rPr>
        <b val="true"/>
        <sz val="10"/>
        <color rgb="FFFFFFFF"/>
        <rFont val="Arial"/>
        <family val="0"/>
        <charset val="1"/>
      </rPr>
      <t xml:space="preserve">9</t>
    </r>
    <r>
      <rPr>
        <b val="true"/>
        <sz val="10"/>
        <color rgb="FFFFFFFF"/>
        <rFont val="WenQuanYi Zen Hei"/>
        <family val="2"/>
      </rPr>
      <t xml:space="preserve">月</t>
    </r>
  </si>
  <si>
    <r>
      <rPr>
        <b val="true"/>
        <sz val="10"/>
        <color rgb="FFFFFFFF"/>
        <rFont val="Arial"/>
        <family val="0"/>
        <charset val="1"/>
      </rPr>
      <t xml:space="preserve">10</t>
    </r>
    <r>
      <rPr>
        <b val="true"/>
        <sz val="10"/>
        <color rgb="FFFFFFFF"/>
        <rFont val="WenQuanYi Zen Hei"/>
        <family val="2"/>
      </rPr>
      <t xml:space="preserve">月</t>
    </r>
  </si>
  <si>
    <r>
      <rPr>
        <b val="true"/>
        <sz val="10"/>
        <color rgb="FFFFFFFF"/>
        <rFont val="Arial"/>
        <family val="0"/>
        <charset val="1"/>
      </rPr>
      <t xml:space="preserve">11</t>
    </r>
    <r>
      <rPr>
        <b val="true"/>
        <sz val="10"/>
        <color rgb="FFFFFFFF"/>
        <rFont val="WenQuanYi Zen Hei"/>
        <family val="2"/>
      </rPr>
      <t xml:space="preserve">月</t>
    </r>
  </si>
  <si>
    <r>
      <rPr>
        <b val="true"/>
        <sz val="10"/>
        <color rgb="FFFFFFFF"/>
        <rFont val="Arial"/>
        <family val="0"/>
        <charset val="1"/>
      </rPr>
      <t xml:space="preserve">12</t>
    </r>
    <r>
      <rPr>
        <b val="true"/>
        <sz val="10"/>
        <color rgb="FFFFFFFF"/>
        <rFont val="WenQuanYi Zen Hei"/>
        <family val="2"/>
      </rPr>
      <t xml:space="preserve">月</t>
    </r>
  </si>
  <si>
    <t xml:space="preserve">月番号</t>
  </si>
  <si>
    <r>
      <rPr>
        <sz val="10"/>
        <rFont val="Arial"/>
        <family val="0"/>
        <charset val="1"/>
      </rPr>
      <t xml:space="preserve">1</t>
    </r>
    <r>
      <rPr>
        <sz val="10"/>
        <rFont val="WenQuanYi Zen Hei"/>
        <family val="2"/>
      </rPr>
      <t xml:space="preserve">月</t>
    </r>
  </si>
  <si>
    <r>
      <rPr>
        <sz val="10"/>
        <rFont val="Arial"/>
        <family val="0"/>
        <charset val="1"/>
      </rPr>
      <t xml:space="preserve">2</t>
    </r>
    <r>
      <rPr>
        <sz val="10"/>
        <rFont val="WenQuanYi Zen Hei"/>
        <family val="2"/>
      </rPr>
      <t xml:space="preserve">月</t>
    </r>
  </si>
  <si>
    <r>
      <rPr>
        <sz val="10"/>
        <rFont val="Arial"/>
        <family val="0"/>
        <charset val="1"/>
      </rPr>
      <t xml:space="preserve">3</t>
    </r>
    <r>
      <rPr>
        <sz val="10"/>
        <rFont val="WenQuanYi Zen Hei"/>
        <family val="2"/>
      </rPr>
      <t xml:space="preserve">月</t>
    </r>
  </si>
  <si>
    <r>
      <rPr>
        <sz val="10"/>
        <rFont val="Arial"/>
        <family val="0"/>
        <charset val="1"/>
      </rPr>
      <t xml:space="preserve">4</t>
    </r>
    <r>
      <rPr>
        <sz val="10"/>
        <rFont val="WenQuanYi Zen Hei"/>
        <family val="2"/>
      </rPr>
      <t xml:space="preserve">月</t>
    </r>
  </si>
  <si>
    <r>
      <rPr>
        <sz val="10"/>
        <rFont val="Arial"/>
        <family val="0"/>
        <charset val="1"/>
      </rPr>
      <t xml:space="preserve">5</t>
    </r>
    <r>
      <rPr>
        <sz val="10"/>
        <rFont val="WenQuanYi Zen Hei"/>
        <family val="2"/>
      </rPr>
      <t xml:space="preserve">月</t>
    </r>
  </si>
  <si>
    <r>
      <rPr>
        <sz val="10"/>
        <rFont val="Arial"/>
        <family val="0"/>
        <charset val="1"/>
      </rPr>
      <t xml:space="preserve">6</t>
    </r>
    <r>
      <rPr>
        <sz val="10"/>
        <rFont val="WenQuanYi Zen Hei"/>
        <family val="2"/>
      </rPr>
      <t xml:space="preserve">月</t>
    </r>
  </si>
  <si>
    <r>
      <rPr>
        <sz val="10"/>
        <rFont val="Arial"/>
        <family val="0"/>
        <charset val="1"/>
      </rPr>
      <t xml:space="preserve">7</t>
    </r>
    <r>
      <rPr>
        <sz val="10"/>
        <rFont val="WenQuanYi Zen Hei"/>
        <family val="2"/>
      </rPr>
      <t xml:space="preserve">月</t>
    </r>
  </si>
  <si>
    <r>
      <rPr>
        <sz val="10"/>
        <rFont val="Arial"/>
        <family val="0"/>
        <charset val="1"/>
      </rPr>
      <t xml:space="preserve">8</t>
    </r>
    <r>
      <rPr>
        <sz val="10"/>
        <rFont val="WenQuanYi Zen Hei"/>
        <family val="2"/>
      </rPr>
      <t xml:space="preserve">月</t>
    </r>
  </si>
  <si>
    <r>
      <rPr>
        <sz val="10"/>
        <rFont val="Arial"/>
        <family val="0"/>
        <charset val="1"/>
      </rPr>
      <t xml:space="preserve">9</t>
    </r>
    <r>
      <rPr>
        <sz val="10"/>
        <rFont val="WenQuanYi Zen Hei"/>
        <family val="2"/>
      </rPr>
      <t xml:space="preserve">月</t>
    </r>
  </si>
  <si>
    <r>
      <rPr>
        <sz val="10"/>
        <rFont val="Arial"/>
        <family val="0"/>
        <charset val="1"/>
      </rPr>
      <t xml:space="preserve">10</t>
    </r>
    <r>
      <rPr>
        <sz val="10"/>
        <rFont val="WenQuanYi Zen Hei"/>
        <family val="2"/>
      </rPr>
      <t xml:space="preserve">月</t>
    </r>
  </si>
  <si>
    <r>
      <rPr>
        <sz val="10"/>
        <rFont val="Arial"/>
        <family val="0"/>
        <charset val="1"/>
      </rPr>
      <t xml:space="preserve">11</t>
    </r>
    <r>
      <rPr>
        <sz val="10"/>
        <rFont val="WenQuanYi Zen Hei"/>
        <family val="2"/>
      </rPr>
      <t xml:space="preserve">月</t>
    </r>
  </si>
  <si>
    <r>
      <rPr>
        <sz val="10"/>
        <rFont val="Arial"/>
        <family val="0"/>
        <charset val="1"/>
      </rPr>
      <t xml:space="preserve">12</t>
    </r>
    <r>
      <rPr>
        <sz val="10"/>
        <rFont val="WenQuanYi Zen Hei"/>
        <family val="2"/>
      </rPr>
      <t xml:space="preserve">月</t>
    </r>
  </si>
  <si>
    <t xml:space="preserve">売上高</t>
  </si>
  <si>
    <t xml:space="preserve">変動費</t>
  </si>
  <si>
    <t xml:space="preserve">固定費</t>
  </si>
  <si>
    <t xml:space="preserve">営業利益</t>
  </si>
  <si>
    <t xml:space="preserve">営業キャッシュフロー</t>
  </si>
  <si>
    <t xml:space="preserve">法人税等の納付</t>
  </si>
  <si>
    <t xml:space="preserve">支払利息</t>
  </si>
  <si>
    <t xml:space="preserve">借入元本の返済</t>
  </si>
  <si>
    <t xml:space="preserve">当月収支</t>
  </si>
  <si>
    <t xml:space="preserve">現金 期首残高</t>
  </si>
  <si>
    <t xml:space="preserve">現金 期末残高</t>
  </si>
  <si>
    <t xml:space="preserve">借入残高（期末）</t>
  </si>
  <si>
    <t xml:space="preserve">最低現金残高</t>
  </si>
  <si>
    <t xml:space="preserve">＝ 月次固定費の</t>
  </si>
  <si>
    <t xml:space="preserve">年間の営業キャッシュフロー</t>
  </si>
  <si>
    <t xml:space="preserve">年間の元利返済額</t>
  </si>
  <si>
    <r>
      <rPr>
        <b val="true"/>
        <sz val="10"/>
        <rFont val="Arial"/>
        <family val="0"/>
        <charset val="1"/>
      </rPr>
      <t xml:space="preserve">DSCR</t>
    </r>
    <r>
      <rPr>
        <b val="true"/>
        <sz val="10"/>
        <rFont val="WenQuanYi Zen Hei"/>
        <family val="2"/>
      </rPr>
      <t xml:space="preserve">（法人税控除後のキャッシュフローベース）</t>
    </r>
  </si>
  <si>
    <r>
      <rPr>
        <sz val="9"/>
        <color rgb="FF808080"/>
        <rFont val="Arial"/>
        <family val="0"/>
        <charset val="1"/>
      </rPr>
      <t xml:space="preserve">※ 2</t>
    </r>
    <r>
      <rPr>
        <sz val="9"/>
        <color rgb="FF808080"/>
        <rFont val="WenQuanYi Zen Hei"/>
        <family val="2"/>
      </rPr>
      <t xml:space="preserve">月に</t>
    </r>
    <r>
      <rPr>
        <sz val="9"/>
        <color rgb="FF808080"/>
        <rFont val="Arial"/>
        <family val="0"/>
        <charset val="1"/>
      </rPr>
      <t xml:space="preserve">2026</t>
    </r>
    <r>
      <rPr>
        <sz val="9"/>
        <color rgb="FF808080"/>
        <rFont val="WenQuanYi Zen Hei"/>
        <family val="2"/>
      </rPr>
      <t xml:space="preserve">年</t>
    </r>
    <r>
      <rPr>
        <sz val="9"/>
        <color rgb="FF808080"/>
        <rFont val="Arial"/>
        <family val="0"/>
        <charset val="1"/>
      </rPr>
      <t xml:space="preserve">12</t>
    </r>
    <r>
      <rPr>
        <sz val="9"/>
        <color rgb="FF808080"/>
        <rFont val="WenQuanYi Zen Hei"/>
        <family val="2"/>
      </rPr>
      <t xml:space="preserve">月期の未払税金、</t>
    </r>
    <r>
      <rPr>
        <sz val="9"/>
        <color rgb="FF808080"/>
        <rFont val="Arial"/>
        <family val="0"/>
        <charset val="1"/>
      </rPr>
      <t xml:space="preserve">8</t>
    </r>
    <r>
      <rPr>
        <sz val="9"/>
        <color rgb="FF808080"/>
        <rFont val="WenQuanYi Zen Hei"/>
        <family val="2"/>
      </rPr>
      <t xml:space="preserve">月に</t>
    </r>
    <r>
      <rPr>
        <sz val="9"/>
        <color rgb="FF808080"/>
        <rFont val="Arial"/>
        <family val="0"/>
        <charset val="1"/>
      </rPr>
      <t xml:space="preserve">2027</t>
    </r>
    <r>
      <rPr>
        <sz val="9"/>
        <color rgb="FF808080"/>
        <rFont val="WenQuanYi Zen Hei"/>
        <family val="2"/>
      </rPr>
      <t xml:space="preserve">年度の中間納付が集中するため、</t>
    </r>
    <r>
      <rPr>
        <sz val="9"/>
        <color rgb="FF808080"/>
        <rFont val="Arial"/>
        <family val="0"/>
        <charset val="1"/>
      </rPr>
      <t xml:space="preserve">3</t>
    </r>
    <r>
      <rPr>
        <sz val="9"/>
        <color rgb="FF808080"/>
        <rFont val="WenQuanYi Zen Hei"/>
        <family val="2"/>
      </rPr>
      <t xml:space="preserve">月末が年間で最も現金残高が薄くなる。</t>
    </r>
  </si>
  <si>
    <t xml:space="preserve">※ 減価償却費・設備投資・運転資本の増減はいずれも軽微なため、営業利益をそのまま営業キャッシュフローとみなしている。消費税は預り金の性質のため計上していない。</t>
  </si>
  <si>
    <r>
      <rPr>
        <b val="true"/>
        <sz val="13"/>
        <color rgb="FF6D2E46"/>
        <rFont val="WenQuanYi Zen Hei"/>
        <family val="2"/>
      </rPr>
      <t xml:space="preserve">買収資金の調達と使途（譲受価額</t>
    </r>
    <r>
      <rPr>
        <b val="true"/>
        <sz val="13"/>
        <color rgb="FF6D2E46"/>
        <rFont val="Arial"/>
        <family val="0"/>
        <charset val="1"/>
      </rPr>
      <t xml:space="preserve">50.0</t>
    </r>
    <r>
      <rPr>
        <b val="true"/>
        <sz val="13"/>
        <color rgb="FF6D2E46"/>
        <rFont val="WenQuanYi Zen Hei"/>
        <family val="2"/>
      </rPr>
      <t xml:space="preserve">億円のケース）</t>
    </r>
  </si>
  <si>
    <t xml:space="preserve">『前提』シートの留保現金を変更すると、中野氏の必要拠出額が自動で再計算される。</t>
  </si>
  <si>
    <r>
      <rPr>
        <b val="true"/>
        <sz val="10"/>
        <color rgb="FFFFFFFF"/>
        <rFont val="Arial"/>
        <family val="0"/>
        <charset val="1"/>
      </rPr>
      <t xml:space="preserve">1. </t>
    </r>
    <r>
      <rPr>
        <b val="true"/>
        <sz val="10"/>
        <color rgb="FFFFFFFF"/>
        <rFont val="WenQuanYi Zen Hei"/>
        <family val="2"/>
      </rPr>
      <t xml:space="preserve">資金使途（クロージング時）</t>
    </r>
  </si>
  <si>
    <t xml:space="preserve">株式譲受代金</t>
  </si>
  <si>
    <t xml:space="preserve">取得関連費用</t>
  </si>
  <si>
    <r>
      <rPr>
        <b val="true"/>
        <sz val="10"/>
        <color rgb="FFFFFFFF"/>
        <rFont val="Arial"/>
        <family val="0"/>
        <charset val="1"/>
      </rPr>
      <t xml:space="preserve">2. </t>
    </r>
    <r>
      <rPr>
        <b val="true"/>
        <sz val="10"/>
        <color rgb="FFFFFFFF"/>
        <rFont val="WenQuanYi Zen Hei"/>
        <family val="2"/>
      </rPr>
      <t xml:space="preserve">対象会社の現預金（</t>
    </r>
    <r>
      <rPr>
        <b val="true"/>
        <sz val="10"/>
        <color rgb="FFFFFFFF"/>
        <rFont val="Arial"/>
        <family val="0"/>
        <charset val="1"/>
      </rPr>
      <t xml:space="preserve">2026</t>
    </r>
    <r>
      <rPr>
        <b val="true"/>
        <sz val="10"/>
        <color rgb="FFFFFFFF"/>
        <rFont val="WenQuanYi Zen Hei"/>
        <family val="2"/>
      </rPr>
      <t xml:space="preserve">年</t>
    </r>
    <r>
      <rPr>
        <b val="true"/>
        <sz val="10"/>
        <color rgb="FFFFFFFF"/>
        <rFont val="Arial"/>
        <family val="0"/>
        <charset val="1"/>
      </rPr>
      <t xml:space="preserve">12</t>
    </r>
    <r>
      <rPr>
        <b val="true"/>
        <sz val="10"/>
        <color rgb="FFFFFFFF"/>
        <rFont val="WenQuanYi Zen Hei"/>
        <family val="2"/>
      </rPr>
      <t xml:space="preserve">月期末）</t>
    </r>
  </si>
  <si>
    <t xml:space="preserve">現預金</t>
  </si>
  <si>
    <t xml:space="preserve">役員貸付金の回収（クロージング時に岸田氏が現金返済）</t>
  </si>
  <si>
    <t xml:space="preserve">運転資金として留保する現金</t>
  </si>
  <si>
    <t xml:space="preserve">ブリッジローンの返済原資</t>
  </si>
  <si>
    <r>
      <rPr>
        <b val="true"/>
        <sz val="10"/>
        <color rgb="FFFFFFFF"/>
        <rFont val="Arial"/>
        <family val="0"/>
        <charset val="1"/>
      </rPr>
      <t xml:space="preserve">3. </t>
    </r>
    <r>
      <rPr>
        <b val="true"/>
        <sz val="10"/>
        <color rgb="FFFFFFFF"/>
        <rFont val="WenQuanYi Zen Hei"/>
        <family val="2"/>
      </rPr>
      <t xml:space="preserve">調達（クロージング時）</t>
    </r>
  </si>
  <si>
    <t xml:space="preserve">みずほ銀行 タームローン</t>
  </si>
  <si>
    <t xml:space="preserve">みずほ銀行 ブリッジローン</t>
  </si>
  <si>
    <t xml:space="preserve">榊原氏 出資</t>
  </si>
  <si>
    <r>
      <rPr>
        <sz val="11"/>
        <color theme="1"/>
        <rFont val="WenQuanYi Zen Hei"/>
        <family val="2"/>
      </rPr>
      <t xml:space="preserve">中野氏 出資（資本金</t>
    </r>
    <r>
      <rPr>
        <sz val="11"/>
        <color theme="1"/>
        <rFont val="Calibri"/>
        <family val="2"/>
        <charset val="1"/>
      </rPr>
      <t xml:space="preserve">10</t>
    </r>
    <r>
      <rPr>
        <sz val="11"/>
        <color theme="1"/>
        <rFont val="WenQuanYi Zen Hei"/>
        <family val="2"/>
      </rPr>
      <t xml:space="preserve">万円）＋株主貸付</t>
    </r>
  </si>
  <si>
    <t xml:space="preserve">差引（ゼロであること）</t>
  </si>
  <si>
    <t xml:space="preserve">合併後の有利子負債</t>
  </si>
  <si>
    <t xml:space="preserve">合併後の現預金</t>
  </si>
  <si>
    <t xml:space="preserve">ネットデット</t>
  </si>
  <si>
    <r>
      <rPr>
        <sz val="11"/>
        <color theme="1"/>
        <rFont val="WenQuanYi Zen Hei"/>
        <family val="2"/>
      </rPr>
      <t xml:space="preserve">ネットデット／</t>
    </r>
    <r>
      <rPr>
        <sz val="11"/>
        <color theme="1"/>
        <rFont val="Calibri"/>
        <family val="2"/>
        <charset val="1"/>
      </rPr>
      <t xml:space="preserve">EBITDA</t>
    </r>
  </si>
  <si>
    <r>
      <rPr>
        <sz val="9"/>
        <color rgb="FF808080"/>
        <rFont val="WenQuanYi Zen Hei"/>
        <family val="2"/>
      </rPr>
      <t xml:space="preserve">※ ブリッジローンはクロージング後、対象会社の余剰現預金をもって全額返済する。</t>
    </r>
    <r>
      <rPr>
        <sz val="9"/>
        <color rgb="FF808080"/>
        <rFont val="Arial"/>
        <family val="0"/>
        <charset val="1"/>
      </rPr>
      <t xml:space="preserve">
※ </t>
    </r>
    <r>
      <rPr>
        <sz val="9"/>
        <color rgb="FF808080"/>
        <rFont val="WenQuanYi Zen Hei"/>
        <family val="2"/>
      </rPr>
      <t xml:space="preserve">留保する現金を</t>
    </r>
    <r>
      <rPr>
        <sz val="9"/>
        <color rgb="FF808080"/>
        <rFont val="Arial"/>
        <family val="0"/>
        <charset val="1"/>
      </rPr>
      <t xml:space="preserve">1</t>
    </r>
    <r>
      <rPr>
        <sz val="9"/>
        <color rgb="FF808080"/>
        <rFont val="WenQuanYi Zen Hei"/>
        <family val="2"/>
      </rPr>
      <t xml:space="preserve">億円増やすと、中野氏の必要拠出額も</t>
    </r>
    <r>
      <rPr>
        <sz val="9"/>
        <color rgb="FF808080"/>
        <rFont val="Arial"/>
        <family val="0"/>
        <charset val="1"/>
      </rPr>
      <t xml:space="preserve">1</t>
    </r>
    <r>
      <rPr>
        <sz val="9"/>
        <color rgb="FF808080"/>
        <rFont val="WenQuanYi Zen Hei"/>
        <family val="2"/>
      </rPr>
      <t xml:space="preserve">億円増え、</t>
    </r>
    <r>
      <rPr>
        <sz val="9"/>
        <color rgb="FF808080"/>
        <rFont val="Arial"/>
        <family val="0"/>
        <charset val="1"/>
      </rPr>
      <t xml:space="preserve">2027</t>
    </r>
    <r>
      <rPr>
        <sz val="9"/>
        <color rgb="FF808080"/>
        <rFont val="WenQuanYi Zen Hei"/>
        <family val="2"/>
      </rPr>
      <t xml:space="preserve">年の最低現金残高も</t>
    </r>
    <r>
      <rPr>
        <sz val="9"/>
        <color rgb="FF808080"/>
        <rFont val="Arial"/>
        <family val="0"/>
        <charset val="1"/>
      </rPr>
      <t xml:space="preserve">1</t>
    </r>
    <r>
      <rPr>
        <sz val="9"/>
        <color rgb="FF808080"/>
        <rFont val="WenQuanYi Zen Hei"/>
        <family val="2"/>
      </rPr>
      <t xml:space="preserve">億円増える（</t>
    </r>
    <r>
      <rPr>
        <sz val="9"/>
        <color rgb="FF808080"/>
        <rFont val="Arial"/>
        <family val="0"/>
        <charset val="1"/>
      </rPr>
      <t xml:space="preserve">1</t>
    </r>
    <r>
      <rPr>
        <sz val="9"/>
        <color rgb="FF808080"/>
        <rFont val="WenQuanYi Zen Hei"/>
        <family val="2"/>
      </rPr>
      <t xml:space="preserve">対</t>
    </r>
    <r>
      <rPr>
        <sz val="9"/>
        <color rgb="FF808080"/>
        <rFont val="Arial"/>
        <family val="0"/>
        <charset val="1"/>
      </rPr>
      <t xml:space="preserve">1</t>
    </r>
    <r>
      <rPr>
        <sz val="9"/>
        <color rgb="FF808080"/>
        <rFont val="WenQuanYi Zen Hei"/>
        <family val="2"/>
      </rPr>
      <t xml:space="preserve">の関係）。</t>
    </r>
  </si>
  <si>
    <r>
      <rPr>
        <sz val="9"/>
        <color rgb="FF808080"/>
        <rFont val="Arial"/>
        <family val="0"/>
        <charset val="1"/>
      </rPr>
      <t xml:space="preserve">※ EBITDA</t>
    </r>
    <r>
      <rPr>
        <sz val="9"/>
        <color rgb="FF808080"/>
        <rFont val="WenQuanYi Zen Hei"/>
        <family val="2"/>
      </rPr>
      <t xml:space="preserve">は</t>
    </r>
    <r>
      <rPr>
        <sz val="9"/>
        <color rgb="FF808080"/>
        <rFont val="Arial"/>
        <family val="0"/>
        <charset val="1"/>
      </rPr>
      <t xml:space="preserve">2026</t>
    </r>
    <r>
      <rPr>
        <sz val="9"/>
        <color rgb="FF808080"/>
        <rFont val="WenQuanYi Zen Hei"/>
        <family val="2"/>
      </rPr>
      <t xml:space="preserve">年</t>
    </r>
    <r>
      <rPr>
        <sz val="9"/>
        <color rgb="FF808080"/>
        <rFont val="Arial"/>
        <family val="0"/>
        <charset val="1"/>
      </rPr>
      <t xml:space="preserve">12</t>
    </r>
    <r>
      <rPr>
        <sz val="9"/>
        <color rgb="FF808080"/>
        <rFont val="WenQuanYi Zen Hei"/>
        <family val="2"/>
      </rPr>
      <t xml:space="preserve">月期計画の</t>
    </r>
    <r>
      <rPr>
        <sz val="9"/>
        <color rgb="FF808080"/>
        <rFont val="Arial"/>
        <family val="0"/>
        <charset val="1"/>
      </rPr>
      <t xml:space="preserve">529</t>
    </r>
    <r>
      <rPr>
        <sz val="9"/>
        <color rgb="FF808080"/>
        <rFont val="WenQuanYi Zen Hei"/>
        <family val="2"/>
      </rPr>
      <t xml:space="preserve">百万円。</t>
    </r>
  </si>
</sst>
</file>

<file path=xl/styles.xml><?xml version="1.0" encoding="utf-8"?>
<styleSheet xmlns="http://schemas.openxmlformats.org/spreadsheetml/2006/main">
  <numFmts count="6">
    <numFmt numFmtId="164" formatCode="General"/>
    <numFmt numFmtId="165" formatCode="#,##0;\(#,##0\);\-"/>
    <numFmt numFmtId="166" formatCode="0.0%"/>
    <numFmt numFmtId="167" formatCode="0.0&quot;か月分&quot;"/>
    <numFmt numFmtId="168" formatCode="0.00\倍"/>
    <numFmt numFmtId="169" formatCode="0.0\倍"/>
  </numFmts>
  <fonts count="24">
    <font>
      <sz val="11"/>
      <color theme="1"/>
      <name val="Calibri"/>
      <family val="2"/>
      <charset val="1"/>
    </font>
    <font>
      <sz val="10"/>
      <name val="Arial"/>
      <family val="0"/>
    </font>
    <font>
      <sz val="10"/>
      <name val="Arial"/>
      <family val="0"/>
    </font>
    <font>
      <sz val="10"/>
      <name val="Arial"/>
      <family val="0"/>
    </font>
    <font>
      <b val="true"/>
      <sz val="13"/>
      <color rgb="FF6D2E46"/>
      <name val="WenQuanYi Zen Hei"/>
      <family val="2"/>
    </font>
    <font>
      <b val="true"/>
      <sz val="13"/>
      <color rgb="FF6D2E46"/>
      <name val="Arial"/>
      <family val="0"/>
      <charset val="1"/>
    </font>
    <font>
      <sz val="9"/>
      <color rgb="FF808080"/>
      <name val="WenQuanYi Zen Hei"/>
      <family val="2"/>
    </font>
    <font>
      <b val="true"/>
      <sz val="10"/>
      <color rgb="FFFFFFFF"/>
      <name val="Arial"/>
      <family val="0"/>
      <charset val="1"/>
    </font>
    <font>
      <b val="true"/>
      <sz val="10"/>
      <color rgb="FFFFFFFF"/>
      <name val="WenQuanYi Zen Hei"/>
      <family val="2"/>
    </font>
    <font>
      <sz val="10"/>
      <name val="WenQuanYi Zen Hei"/>
      <family val="2"/>
    </font>
    <font>
      <sz val="10"/>
      <color rgb="FF0000FF"/>
      <name val="Arial"/>
      <family val="0"/>
      <charset val="1"/>
    </font>
    <font>
      <sz val="9"/>
      <color rgb="FF808080"/>
      <name val="Arial"/>
      <family val="0"/>
      <charset val="1"/>
    </font>
    <font>
      <sz val="10"/>
      <name val="Arial"/>
      <family val="0"/>
      <charset val="1"/>
    </font>
    <font>
      <b val="true"/>
      <sz val="10"/>
      <name val="WenQuanYi Zen Hei"/>
      <family val="2"/>
    </font>
    <font>
      <b val="true"/>
      <sz val="10"/>
      <name val="Arial"/>
      <family val="0"/>
      <charset val="1"/>
    </font>
    <font>
      <b val="true"/>
      <sz val="10"/>
      <color rgb="FF0000FF"/>
      <name val="Arial"/>
      <family val="0"/>
      <charset val="1"/>
    </font>
    <font>
      <b val="true"/>
      <sz val="10"/>
      <color rgb="FF9B2C2C"/>
      <name val="Arial"/>
      <family val="0"/>
      <charset val="1"/>
    </font>
    <font>
      <b val="true"/>
      <sz val="10"/>
      <color rgb="FF008000"/>
      <name val="Arial"/>
      <family val="0"/>
      <charset val="1"/>
    </font>
    <font>
      <b val="true"/>
      <sz val="18"/>
      <color rgb="FF000000"/>
      <name val="Calibri"/>
      <family val="2"/>
    </font>
    <font>
      <b val="true"/>
      <sz val="18"/>
      <color rgb="FF000000"/>
      <name val="WenQuanYi Zen Hei"/>
      <family val="2"/>
    </font>
    <font>
      <sz val="10"/>
      <color rgb="FF000000"/>
      <name val="Calibri"/>
      <family val="2"/>
    </font>
    <font>
      <b val="true"/>
      <sz val="10"/>
      <color rgb="FF000000"/>
      <name val="WenQuanYi Zen Hei"/>
      <family val="2"/>
    </font>
    <font>
      <sz val="11"/>
      <color theme="1"/>
      <name val="WenQuanYi Zen Hei"/>
      <family val="2"/>
    </font>
    <font>
      <sz val="10"/>
      <color rgb="FF008000"/>
      <name val="Arial"/>
      <family val="0"/>
      <charset val="1"/>
    </font>
  </fonts>
  <fills count="5">
    <fill>
      <patternFill patternType="none"/>
    </fill>
    <fill>
      <patternFill patternType="gray125"/>
    </fill>
    <fill>
      <patternFill patternType="solid">
        <fgColor rgb="FF6D2E46"/>
        <bgColor rgb="FF993366"/>
      </patternFill>
    </fill>
    <fill>
      <patternFill patternType="solid">
        <fgColor rgb="FFFFFF00"/>
        <bgColor rgb="FFFFFF00"/>
      </patternFill>
    </fill>
    <fill>
      <patternFill patternType="solid">
        <fgColor rgb="FFF7F3F4"/>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5" fontId="1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4" fillId="4"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6D2E46"/>
      <rgbColor rgb="FFF7F3F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A26769"/>
      <rgbColor rgb="FF878787"/>
      <rgbColor rgb="FF003366"/>
      <rgbColor rgb="FF339966"/>
      <rgbColor rgb="FF003300"/>
      <rgbColor rgb="FF333300"/>
      <rgbColor rgb="FF9B2C2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2027年 現金残高の推移（百万円）</a:t>
            </a:r>
          </a:p>
        </c:rich>
      </c:tx>
      <c:overlay val="0"/>
      <c:spPr>
        <a:noFill/>
        <a:ln w="0">
          <a:noFill/>
        </a:ln>
      </c:spPr>
    </c:title>
    <c:autoTitleDeleted val="0"/>
    <c:plotArea>
      <c:lineChart>
        <c:grouping val="standard"/>
        <c:varyColors val="0"/>
        <c:ser>
          <c:idx val="0"/>
          <c:order val="0"/>
          <c:tx>
            <c:strRef>
              <c:f>月次CF!A19</c:f>
              <c:strCache>
                <c:ptCount val="1"/>
                <c:pt idx="0">
                  <c:v>現金 期末残高</c:v>
                </c:pt>
              </c:strCache>
            </c:strRef>
          </c:tx>
          <c:spPr>
            <a:solidFill>
              <a:srgbClr val="6d2e46"/>
            </a:solidFill>
            <a:ln w="28080">
              <a:solidFill>
                <a:srgbClr val="6d2e4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月次CF!$B$5:$M$5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月次CF!$B$19:$M$19</c:f>
              <c:numCache>
                <c:formatCode>#,##0;\(#,##0\);\-</c:formatCode>
                <c:ptCount val="12"/>
                <c:pt idx="0">
                  <c:v>134.985833333333</c:v>
                </c:pt>
                <c:pt idx="1">
                  <c:v>61.9811111111111</c:v>
                </c:pt>
                <c:pt idx="2">
                  <c:v>43.9858333333334</c:v>
                </c:pt>
                <c:pt idx="3">
                  <c:v>87.9858333333334</c:v>
                </c:pt>
                <c:pt idx="4">
                  <c:v>131.985833333333</c:v>
                </c:pt>
                <c:pt idx="5">
                  <c:v>114.365555555556</c:v>
                </c:pt>
                <c:pt idx="6">
                  <c:v>161.370277777778</c:v>
                </c:pt>
                <c:pt idx="7">
                  <c:v>101.351388888889</c:v>
                </c:pt>
                <c:pt idx="8">
                  <c:v>81.1013888888889</c:v>
                </c:pt>
                <c:pt idx="9">
                  <c:v>128.106111111111</c:v>
                </c:pt>
                <c:pt idx="10">
                  <c:v>172.106111111111</c:v>
                </c:pt>
                <c:pt idx="11">
                  <c:v>164.25</c:v>
                </c:pt>
              </c:numCache>
            </c:numRef>
          </c:val>
          <c:smooth val="0"/>
        </c:ser>
        <c:hiLowLines>
          <c:spPr>
            <a:ln w="0">
              <a:noFill/>
            </a:ln>
          </c:spPr>
        </c:hiLowLines>
        <c:marker val="0"/>
        <c:axId val="96523684"/>
        <c:axId val="16594243"/>
      </c:lineChart>
      <c:catAx>
        <c:axId val="965236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594243"/>
        <c:crosses val="autoZero"/>
        <c:auto val="1"/>
        <c:lblAlgn val="ctr"/>
        <c:lblOffset val="100"/>
        <c:noMultiLvlLbl val="0"/>
      </c:catAx>
      <c:valAx>
        <c:axId val="165942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現金残高</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52368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2027年 月次の当月収支（百万円）</a:t>
            </a:r>
          </a:p>
        </c:rich>
      </c:tx>
      <c:overlay val="0"/>
      <c:spPr>
        <a:noFill/>
        <a:ln w="0">
          <a:noFill/>
        </a:ln>
      </c:spPr>
    </c:title>
    <c:autoTitleDeleted val="0"/>
    <c:plotArea>
      <c:barChart>
        <c:barDir val="col"/>
        <c:grouping val="clustered"/>
        <c:varyColors val="0"/>
        <c:ser>
          <c:idx val="0"/>
          <c:order val="0"/>
          <c:tx>
            <c:strRef>
              <c:f>月次CF!A16</c:f>
              <c:strCache>
                <c:ptCount val="1"/>
                <c:pt idx="0">
                  <c:v>当月収支</c:v>
                </c:pt>
              </c:strCache>
            </c:strRef>
          </c:tx>
          <c:spPr>
            <a:solidFill>
              <a:srgbClr val="a2676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月次CF!$B$5:$M$5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月次CF!$B$16:$M$16</c:f>
              <c:numCache>
                <c:formatCode>#,##0;\(#,##0\);\-</c:formatCode>
                <c:ptCount val="12"/>
                <c:pt idx="0">
                  <c:v>34.9858333333333</c:v>
                </c:pt>
                <c:pt idx="1">
                  <c:v>-73.0047222222222</c:v>
                </c:pt>
                <c:pt idx="2">
                  <c:v>-17.9952777777778</c:v>
                </c:pt>
                <c:pt idx="3">
                  <c:v>44</c:v>
                </c:pt>
                <c:pt idx="4">
                  <c:v>44</c:v>
                </c:pt>
                <c:pt idx="5">
                  <c:v>-17.6202777777778</c:v>
                </c:pt>
                <c:pt idx="6">
                  <c:v>47.0047222222222</c:v>
                </c:pt>
                <c:pt idx="7">
                  <c:v>-60.0188888888889</c:v>
                </c:pt>
                <c:pt idx="8">
                  <c:v>-20.25</c:v>
                </c:pt>
                <c:pt idx="9">
                  <c:v>47.0047222222222</c:v>
                </c:pt>
                <c:pt idx="10">
                  <c:v>44</c:v>
                </c:pt>
                <c:pt idx="11">
                  <c:v>-7.85611111111111</c:v>
                </c:pt>
              </c:numCache>
            </c:numRef>
          </c:val>
        </c:ser>
        <c:gapWidth val="150"/>
        <c:overlap val="0"/>
        <c:axId val="81308065"/>
        <c:axId val="70808373"/>
      </c:barChart>
      <c:catAx>
        <c:axId val="813080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808373"/>
        <c:crosses val="autoZero"/>
        <c:auto val="1"/>
        <c:lblAlgn val="ctr"/>
        <c:lblOffset val="100"/>
        <c:noMultiLvlLbl val="0"/>
      </c:catAx>
      <c:valAx>
        <c:axId val="7080837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3080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163440</xdr:rowOff>
    </xdr:from>
    <xdr:to>
      <xdr:col>6</xdr:col>
      <xdr:colOff>87480</xdr:colOff>
      <xdr:row>48</xdr:row>
      <xdr:rowOff>66960</xdr:rowOff>
    </xdr:to>
    <xdr:graphicFrame>
      <xdr:nvGraphicFramePr>
        <xdr:cNvPr id="0" name="Chart 1"/>
        <xdr:cNvGraphicFramePr/>
      </xdr:nvGraphicFramePr>
      <xdr:xfrm>
        <a:off x="0" y="6286680"/>
        <a:ext cx="719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50</xdr:row>
      <xdr:rowOff>163440</xdr:rowOff>
    </xdr:from>
    <xdr:to>
      <xdr:col>6</xdr:col>
      <xdr:colOff>87480</xdr:colOff>
      <xdr:row>66</xdr:row>
      <xdr:rowOff>66960</xdr:rowOff>
    </xdr:to>
    <xdr:graphicFrame>
      <xdr:nvGraphicFramePr>
        <xdr:cNvPr id="1" name="Chart 2"/>
        <xdr:cNvGraphicFramePr/>
      </xdr:nvGraphicFramePr>
      <xdr:xfrm>
        <a:off x="0" y="9715680"/>
        <a:ext cx="719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13" min="3" style="0" width="8"/>
  </cols>
  <sheetData>
    <row r="1" customFormat="false" ht="17.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15" hidden="false" customHeight="false" outlineLevel="0" collapsed="false">
      <c r="A5" s="5" t="s">
        <v>3</v>
      </c>
      <c r="B5" s="6" t="n">
        <v>1015</v>
      </c>
      <c r="D5" s="7" t="s">
        <v>4</v>
      </c>
    </row>
    <row r="6" customFormat="false" ht="15" hidden="false" customHeight="false" outlineLevel="0" collapsed="false">
      <c r="A6" s="5" t="s">
        <v>5</v>
      </c>
      <c r="B6" s="6" t="n">
        <v>528</v>
      </c>
      <c r="D6" s="2" t="s">
        <v>6</v>
      </c>
    </row>
    <row r="7" customFormat="false" ht="15" hidden="false" customHeight="false" outlineLevel="0" collapsed="false">
      <c r="A7" s="5" t="s">
        <v>7</v>
      </c>
      <c r="B7" s="8" t="n">
        <v>0.254</v>
      </c>
      <c r="D7" s="2" t="s">
        <v>8</v>
      </c>
    </row>
    <row r="8" customFormat="false" ht="15" hidden="false" customHeight="false" outlineLevel="0" collapsed="false">
      <c r="A8" s="5" t="s">
        <v>9</v>
      </c>
      <c r="B8" s="9" t="n">
        <f aca="false">(B5*(1-B7)-B6)/12</f>
        <v>19.0991666666667</v>
      </c>
      <c r="D8" s="2" t="s">
        <v>10</v>
      </c>
    </row>
    <row r="10" customFormat="false" ht="15" hidden="false" customHeight="false" outlineLevel="0" collapsed="false">
      <c r="A10" s="3" t="s">
        <v>11</v>
      </c>
      <c r="B10" s="4"/>
      <c r="C10" s="4"/>
      <c r="D10" s="4"/>
      <c r="E10" s="4"/>
      <c r="F10" s="4"/>
      <c r="G10" s="4"/>
      <c r="H10" s="4"/>
      <c r="I10" s="4"/>
      <c r="J10" s="4"/>
      <c r="K10" s="4"/>
      <c r="L10" s="4"/>
      <c r="M10" s="4"/>
      <c r="N10" s="4"/>
    </row>
    <row r="11" customFormat="false" ht="15" hidden="false" customHeight="false" outlineLevel="0" collapsed="false">
      <c r="A11" s="10" t="s">
        <v>12</v>
      </c>
      <c r="B11" s="11" t="s">
        <v>13</v>
      </c>
      <c r="C11" s="11" t="s">
        <v>14</v>
      </c>
      <c r="D11" s="11" t="s">
        <v>15</v>
      </c>
      <c r="E11" s="11" t="s">
        <v>16</v>
      </c>
      <c r="F11" s="11" t="s">
        <v>17</v>
      </c>
      <c r="G11" s="11" t="s">
        <v>18</v>
      </c>
      <c r="H11" s="11" t="s">
        <v>19</v>
      </c>
      <c r="I11" s="11" t="s">
        <v>20</v>
      </c>
      <c r="J11" s="11" t="s">
        <v>21</v>
      </c>
      <c r="K11" s="11" t="s">
        <v>22</v>
      </c>
      <c r="L11" s="11" t="s">
        <v>23</v>
      </c>
      <c r="M11" s="11" t="s">
        <v>24</v>
      </c>
      <c r="N11" s="10" t="s">
        <v>25</v>
      </c>
    </row>
    <row r="12" customFormat="false" ht="15" hidden="false" customHeight="false" outlineLevel="0" collapsed="false">
      <c r="A12" s="10" t="s">
        <v>26</v>
      </c>
      <c r="B12" s="6" t="n">
        <v>18</v>
      </c>
      <c r="C12" s="6" t="n">
        <v>20</v>
      </c>
      <c r="D12" s="6" t="n">
        <v>22</v>
      </c>
      <c r="E12" s="6" t="n">
        <v>21</v>
      </c>
      <c r="F12" s="6" t="n">
        <v>21</v>
      </c>
      <c r="G12" s="6" t="n">
        <v>22</v>
      </c>
      <c r="H12" s="6" t="n">
        <v>22</v>
      </c>
      <c r="I12" s="6" t="n">
        <v>17</v>
      </c>
      <c r="J12" s="6" t="n">
        <v>21</v>
      </c>
      <c r="K12" s="6" t="n">
        <v>22</v>
      </c>
      <c r="L12" s="6" t="n">
        <v>21</v>
      </c>
      <c r="M12" s="6" t="n">
        <v>25</v>
      </c>
      <c r="N12" s="12" t="n">
        <f aca="false">SUM(B12:M12)</f>
        <v>252</v>
      </c>
    </row>
    <row r="13" customFormat="false" ht="15" hidden="false" customHeight="false" outlineLevel="0" collapsed="false">
      <c r="A13" s="7" t="s">
        <v>27</v>
      </c>
    </row>
    <row r="15" customFormat="false" ht="15" hidden="false" customHeight="false" outlineLevel="0" collapsed="false">
      <c r="A15" s="3" t="s">
        <v>28</v>
      </c>
      <c r="B15" s="4"/>
      <c r="C15" s="4"/>
      <c r="D15" s="4"/>
    </row>
    <row r="16" customFormat="false" ht="15" hidden="false" customHeight="false" outlineLevel="0" collapsed="false">
      <c r="A16" s="13" t="s">
        <v>29</v>
      </c>
      <c r="B16" s="6" t="n">
        <v>114</v>
      </c>
      <c r="D16" s="7" t="s">
        <v>30</v>
      </c>
    </row>
    <row r="17" customFormat="false" ht="15" hidden="false" customHeight="false" outlineLevel="0" collapsed="false">
      <c r="A17" s="5" t="s">
        <v>31</v>
      </c>
      <c r="B17" s="6" t="n">
        <v>92</v>
      </c>
      <c r="D17" s="2" t="s">
        <v>32</v>
      </c>
    </row>
    <row r="18" customFormat="false" ht="15" hidden="false" customHeight="false" outlineLevel="0" collapsed="false">
      <c r="A18" s="5" t="s">
        <v>33</v>
      </c>
      <c r="B18" s="6" t="n">
        <v>0</v>
      </c>
      <c r="D18" s="2" t="s">
        <v>34</v>
      </c>
    </row>
    <row r="19" customFormat="false" ht="15" hidden="false" customHeight="false" outlineLevel="0" collapsed="false">
      <c r="A19" s="14" t="s">
        <v>35</v>
      </c>
    </row>
    <row r="21" customFormat="false" ht="15" hidden="false" customHeight="false" outlineLevel="0" collapsed="false">
      <c r="A21" s="3" t="s">
        <v>36</v>
      </c>
      <c r="B21" s="4"/>
      <c r="C21" s="4"/>
      <c r="D21" s="4"/>
    </row>
    <row r="22" customFormat="false" ht="15" hidden="false" customHeight="false" outlineLevel="0" collapsed="false">
      <c r="A22" s="5" t="s">
        <v>37</v>
      </c>
      <c r="B22" s="6" t="n">
        <v>2000</v>
      </c>
      <c r="D22" s="2" t="s">
        <v>38</v>
      </c>
    </row>
    <row r="23" customFormat="false" ht="15" hidden="false" customHeight="false" outlineLevel="0" collapsed="false">
      <c r="A23" s="5" t="s">
        <v>39</v>
      </c>
      <c r="B23" s="8" t="n">
        <v>0.03</v>
      </c>
      <c r="D23" s="2" t="s">
        <v>40</v>
      </c>
    </row>
    <row r="24" customFormat="false" ht="15" hidden="false" customHeight="false" outlineLevel="0" collapsed="false">
      <c r="A24" s="5" t="s">
        <v>41</v>
      </c>
      <c r="B24" s="6" t="n">
        <v>50</v>
      </c>
      <c r="D24" s="2" t="s">
        <v>42</v>
      </c>
    </row>
    <row r="25" customFormat="false" ht="15" hidden="false" customHeight="false" outlineLevel="0" collapsed="false">
      <c r="A25" s="5" t="s">
        <v>43</v>
      </c>
      <c r="B25" s="15" t="n">
        <v>100</v>
      </c>
      <c r="D25" s="2"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14" min="2" style="0" width="10"/>
  </cols>
  <sheetData>
    <row r="1" customFormat="false" ht="17.15" hidden="false" customHeight="false" outlineLevel="0" collapsed="false">
      <c r="A1" s="16" t="s">
        <v>45</v>
      </c>
    </row>
    <row r="2" customFormat="false" ht="15" hidden="false" customHeight="false" outlineLevel="0" collapsed="false">
      <c r="A2" s="2" t="s">
        <v>46</v>
      </c>
    </row>
    <row r="3" customFormat="false" ht="15" hidden="false" customHeight="false" outlineLevel="0" collapsed="false">
      <c r="A3" s="3" t="s">
        <v>47</v>
      </c>
      <c r="B3" s="3" t="s">
        <v>48</v>
      </c>
      <c r="C3" s="3" t="s">
        <v>49</v>
      </c>
      <c r="D3" s="3" t="s">
        <v>50</v>
      </c>
      <c r="E3" s="3" t="s">
        <v>51</v>
      </c>
      <c r="F3" s="3" t="s">
        <v>52</v>
      </c>
      <c r="G3" s="3" t="s">
        <v>53</v>
      </c>
      <c r="H3" s="3" t="s">
        <v>54</v>
      </c>
      <c r="I3" s="3" t="s">
        <v>55</v>
      </c>
      <c r="J3" s="3" t="s">
        <v>56</v>
      </c>
      <c r="K3" s="3" t="s">
        <v>57</v>
      </c>
      <c r="L3" s="3" t="s">
        <v>58</v>
      </c>
      <c r="M3" s="3" t="s">
        <v>59</v>
      </c>
      <c r="N3" s="17" t="s">
        <v>25</v>
      </c>
      <c r="O3" s="4"/>
    </row>
    <row r="4" customFormat="false" ht="15" hidden="false" customHeight="false" outlineLevel="0" collapsed="false">
      <c r="A4" s="5" t="s">
        <v>60</v>
      </c>
      <c r="B4" s="2" t="n">
        <v>1</v>
      </c>
      <c r="C4" s="2" t="n">
        <v>2</v>
      </c>
      <c r="D4" s="2" t="n">
        <v>3</v>
      </c>
      <c r="E4" s="2" t="n">
        <v>4</v>
      </c>
      <c r="F4" s="2" t="n">
        <v>5</v>
      </c>
      <c r="G4" s="2" t="n">
        <v>6</v>
      </c>
      <c r="H4" s="2" t="n">
        <v>7</v>
      </c>
      <c r="I4" s="2" t="n">
        <v>8</v>
      </c>
      <c r="J4" s="2" t="n">
        <v>9</v>
      </c>
      <c r="K4" s="2" t="n">
        <v>10</v>
      </c>
      <c r="L4" s="2" t="n">
        <v>11</v>
      </c>
      <c r="M4" s="2" t="n">
        <v>12</v>
      </c>
    </row>
    <row r="5" customFormat="false" ht="15" hidden="false" customHeight="false" outlineLevel="0" collapsed="false">
      <c r="A5" s="5" t="s">
        <v>12</v>
      </c>
      <c r="B5" s="13" t="s">
        <v>61</v>
      </c>
      <c r="C5" s="13" t="s">
        <v>62</v>
      </c>
      <c r="D5" s="13" t="s">
        <v>63</v>
      </c>
      <c r="E5" s="13" t="s">
        <v>64</v>
      </c>
      <c r="F5" s="13" t="s">
        <v>65</v>
      </c>
      <c r="G5" s="13" t="s">
        <v>66</v>
      </c>
      <c r="H5" s="13" t="s">
        <v>67</v>
      </c>
      <c r="I5" s="13" t="s">
        <v>68</v>
      </c>
      <c r="J5" s="13" t="s">
        <v>69</v>
      </c>
      <c r="K5" s="13" t="s">
        <v>70</v>
      </c>
      <c r="L5" s="13" t="s">
        <v>71</v>
      </c>
      <c r="M5" s="13" t="s">
        <v>72</v>
      </c>
    </row>
    <row r="6" customFormat="false" ht="15" hidden="false" customHeight="false" outlineLevel="0" collapsed="false">
      <c r="A6" s="5" t="s">
        <v>26</v>
      </c>
      <c r="B6" s="18" t="n">
        <f aca="false">前提!B12</f>
        <v>18</v>
      </c>
      <c r="C6" s="18" t="n">
        <f aca="false">前提!C12</f>
        <v>20</v>
      </c>
      <c r="D6" s="18" t="n">
        <f aca="false">前提!D12</f>
        <v>22</v>
      </c>
      <c r="E6" s="18" t="n">
        <f aca="false">前提!E12</f>
        <v>21</v>
      </c>
      <c r="F6" s="18" t="n">
        <f aca="false">前提!F12</f>
        <v>21</v>
      </c>
      <c r="G6" s="18" t="n">
        <f aca="false">前提!G12</f>
        <v>22</v>
      </c>
      <c r="H6" s="18" t="n">
        <f aca="false">前提!H12</f>
        <v>22</v>
      </c>
      <c r="I6" s="18" t="n">
        <f aca="false">前提!I12</f>
        <v>17</v>
      </c>
      <c r="J6" s="18" t="n">
        <f aca="false">前提!J12</f>
        <v>21</v>
      </c>
      <c r="K6" s="18" t="n">
        <f aca="false">前提!K12</f>
        <v>22</v>
      </c>
      <c r="L6" s="18" t="n">
        <f aca="false">前提!L12</f>
        <v>21</v>
      </c>
      <c r="M6" s="18" t="n">
        <f aca="false">前提!M12</f>
        <v>25</v>
      </c>
      <c r="N6" s="18" t="n">
        <f aca="false">SUM(B6:M6)</f>
        <v>252</v>
      </c>
    </row>
    <row r="7" customFormat="false" ht="15" hidden="false" customHeight="false" outlineLevel="0" collapsed="false">
      <c r="A7" s="5" t="s">
        <v>73</v>
      </c>
      <c r="B7" s="18" t="n">
        <f aca="false">前提!$B$5*B6/前提!$N$12</f>
        <v>72.5</v>
      </c>
      <c r="C7" s="18" t="n">
        <f aca="false">前提!$B$5*C6/前提!$N$12</f>
        <v>80.5555555555556</v>
      </c>
      <c r="D7" s="18" t="n">
        <f aca="false">前提!$B$5*D6/前提!$N$12</f>
        <v>88.6111111111111</v>
      </c>
      <c r="E7" s="18" t="n">
        <f aca="false">前提!$B$5*E6/前提!$N$12</f>
        <v>84.5833333333333</v>
      </c>
      <c r="F7" s="18" t="n">
        <f aca="false">前提!$B$5*F6/前提!$N$12</f>
        <v>84.5833333333333</v>
      </c>
      <c r="G7" s="18" t="n">
        <f aca="false">前提!$B$5*G6/前提!$N$12</f>
        <v>88.6111111111111</v>
      </c>
      <c r="H7" s="18" t="n">
        <f aca="false">前提!$B$5*H6/前提!$N$12</f>
        <v>88.6111111111111</v>
      </c>
      <c r="I7" s="18" t="n">
        <f aca="false">前提!$B$5*I6/前提!$N$12</f>
        <v>68.4722222222222</v>
      </c>
      <c r="J7" s="18" t="n">
        <f aca="false">前提!$B$5*J6/前提!$N$12</f>
        <v>84.5833333333333</v>
      </c>
      <c r="K7" s="18" t="n">
        <f aca="false">前提!$B$5*K6/前提!$N$12</f>
        <v>88.6111111111111</v>
      </c>
      <c r="L7" s="18" t="n">
        <f aca="false">前提!$B$5*L6/前提!$N$12</f>
        <v>84.5833333333333</v>
      </c>
      <c r="M7" s="18" t="n">
        <f aca="false">前提!$B$5*M6/前提!$N$12</f>
        <v>100.694444444444</v>
      </c>
      <c r="N7" s="18" t="n">
        <f aca="false">SUM(B7:M7)</f>
        <v>1015</v>
      </c>
    </row>
    <row r="8" customFormat="false" ht="15" hidden="false" customHeight="false" outlineLevel="0" collapsed="false">
      <c r="A8" s="5" t="s">
        <v>74</v>
      </c>
      <c r="B8" s="18" t="n">
        <f aca="false">-B7*前提!$B$7</f>
        <v>-18.415</v>
      </c>
      <c r="C8" s="18" t="n">
        <f aca="false">-C7*前提!$B$7</f>
        <v>-20.4611111111111</v>
      </c>
      <c r="D8" s="18" t="n">
        <f aca="false">-D7*前提!$B$7</f>
        <v>-22.5072222222222</v>
      </c>
      <c r="E8" s="18" t="n">
        <f aca="false">-E7*前提!$B$7</f>
        <v>-21.4841666666667</v>
      </c>
      <c r="F8" s="18" t="n">
        <f aca="false">-F7*前提!$B$7</f>
        <v>-21.4841666666667</v>
      </c>
      <c r="G8" s="18" t="n">
        <f aca="false">-G7*前提!$B$7</f>
        <v>-22.5072222222222</v>
      </c>
      <c r="H8" s="18" t="n">
        <f aca="false">-H7*前提!$B$7</f>
        <v>-22.5072222222222</v>
      </c>
      <c r="I8" s="18" t="n">
        <f aca="false">-I7*前提!$B$7</f>
        <v>-17.3919444444444</v>
      </c>
      <c r="J8" s="18" t="n">
        <f aca="false">-J7*前提!$B$7</f>
        <v>-21.4841666666667</v>
      </c>
      <c r="K8" s="18" t="n">
        <f aca="false">-K7*前提!$B$7</f>
        <v>-22.5072222222222</v>
      </c>
      <c r="L8" s="18" t="n">
        <f aca="false">-L7*前提!$B$7</f>
        <v>-21.4841666666667</v>
      </c>
      <c r="M8" s="18" t="n">
        <f aca="false">-M7*前提!$B$7</f>
        <v>-25.5763888888889</v>
      </c>
      <c r="N8" s="18" t="n">
        <f aca="false">SUM(B8:M8)</f>
        <v>-257.81</v>
      </c>
    </row>
    <row r="9" customFormat="false" ht="15" hidden="false" customHeight="false" outlineLevel="0" collapsed="false">
      <c r="A9" s="5" t="s">
        <v>75</v>
      </c>
      <c r="B9" s="18" t="n">
        <f aca="false">-前提!$B$8</f>
        <v>-19.0991666666667</v>
      </c>
      <c r="C9" s="18" t="n">
        <f aca="false">-前提!$B$8</f>
        <v>-19.0991666666667</v>
      </c>
      <c r="D9" s="18" t="n">
        <f aca="false">-前提!$B$8</f>
        <v>-19.0991666666667</v>
      </c>
      <c r="E9" s="18" t="n">
        <f aca="false">-前提!$B$8</f>
        <v>-19.0991666666667</v>
      </c>
      <c r="F9" s="18" t="n">
        <f aca="false">-前提!$B$8</f>
        <v>-19.0991666666667</v>
      </c>
      <c r="G9" s="18" t="n">
        <f aca="false">-前提!$B$8</f>
        <v>-19.0991666666667</v>
      </c>
      <c r="H9" s="18" t="n">
        <f aca="false">-前提!$B$8</f>
        <v>-19.0991666666667</v>
      </c>
      <c r="I9" s="18" t="n">
        <f aca="false">-前提!$B$8</f>
        <v>-19.0991666666667</v>
      </c>
      <c r="J9" s="18" t="n">
        <f aca="false">-前提!$B$8</f>
        <v>-19.0991666666667</v>
      </c>
      <c r="K9" s="18" t="n">
        <f aca="false">-前提!$B$8</f>
        <v>-19.0991666666667</v>
      </c>
      <c r="L9" s="18" t="n">
        <f aca="false">-前提!$B$8</f>
        <v>-19.0991666666667</v>
      </c>
      <c r="M9" s="18" t="n">
        <f aca="false">-前提!$B$8</f>
        <v>-19.0991666666667</v>
      </c>
      <c r="N9" s="18" t="n">
        <f aca="false">SUM(B9:M9)</f>
        <v>-229.19</v>
      </c>
    </row>
    <row r="10" customFormat="false" ht="15" hidden="false" customHeight="false" outlineLevel="0" collapsed="false">
      <c r="A10" s="10" t="s">
        <v>76</v>
      </c>
      <c r="B10" s="12" t="n">
        <f aca="false">SUM(B7:B9)</f>
        <v>34.9858333333333</v>
      </c>
      <c r="C10" s="12" t="n">
        <f aca="false">SUM(C7:C9)</f>
        <v>40.9952777777778</v>
      </c>
      <c r="D10" s="12" t="n">
        <f aca="false">SUM(D7:D9)</f>
        <v>47.0047222222222</v>
      </c>
      <c r="E10" s="12" t="n">
        <f aca="false">SUM(E7:E9)</f>
        <v>44</v>
      </c>
      <c r="F10" s="12" t="n">
        <f aca="false">SUM(F7:F9)</f>
        <v>44</v>
      </c>
      <c r="G10" s="12" t="n">
        <f aca="false">SUM(G7:G9)</f>
        <v>47.0047222222222</v>
      </c>
      <c r="H10" s="12" t="n">
        <f aca="false">SUM(H7:H9)</f>
        <v>47.0047222222222</v>
      </c>
      <c r="I10" s="12" t="n">
        <f aca="false">SUM(I7:I9)</f>
        <v>31.9811111111111</v>
      </c>
      <c r="J10" s="12" t="n">
        <f aca="false">SUM(J7:J9)</f>
        <v>44</v>
      </c>
      <c r="K10" s="12" t="n">
        <f aca="false">SUM(K7:K9)</f>
        <v>47.0047222222222</v>
      </c>
      <c r="L10" s="12" t="n">
        <f aca="false">SUM(L7:L9)</f>
        <v>44</v>
      </c>
      <c r="M10" s="12" t="n">
        <f aca="false">SUM(M7:M9)</f>
        <v>56.0188888888889</v>
      </c>
      <c r="N10" s="12" t="n">
        <f aca="false">SUM(B10:M10)</f>
        <v>528</v>
      </c>
    </row>
    <row r="12" customFormat="false" ht="15" hidden="false" customHeight="false" outlineLevel="0" collapsed="false">
      <c r="A12" s="10" t="s">
        <v>77</v>
      </c>
      <c r="B12" s="18" t="n">
        <f aca="false">B10</f>
        <v>34.9858333333333</v>
      </c>
      <c r="C12" s="18" t="n">
        <f aca="false">C10</f>
        <v>40.9952777777778</v>
      </c>
      <c r="D12" s="18" t="n">
        <f aca="false">D10</f>
        <v>47.0047222222222</v>
      </c>
      <c r="E12" s="18" t="n">
        <f aca="false">E10</f>
        <v>44</v>
      </c>
      <c r="F12" s="18" t="n">
        <f aca="false">F10</f>
        <v>44</v>
      </c>
      <c r="G12" s="18" t="n">
        <f aca="false">G10</f>
        <v>47.0047222222222</v>
      </c>
      <c r="H12" s="18" t="n">
        <f aca="false">H10</f>
        <v>47.0047222222222</v>
      </c>
      <c r="I12" s="18" t="n">
        <f aca="false">I10</f>
        <v>31.9811111111111</v>
      </c>
      <c r="J12" s="18" t="n">
        <f aca="false">J10</f>
        <v>44</v>
      </c>
      <c r="K12" s="18" t="n">
        <f aca="false">K10</f>
        <v>47.0047222222222</v>
      </c>
      <c r="L12" s="18" t="n">
        <f aca="false">L10</f>
        <v>44</v>
      </c>
      <c r="M12" s="18" t="n">
        <f aca="false">M10</f>
        <v>56.0188888888889</v>
      </c>
      <c r="N12" s="18" t="n">
        <f aca="false">SUM(B12:M12)</f>
        <v>528</v>
      </c>
    </row>
    <row r="13" customFormat="false" ht="15" hidden="false" customHeight="false" outlineLevel="0" collapsed="false">
      <c r="A13" s="5" t="s">
        <v>78</v>
      </c>
      <c r="B13" s="18" t="n">
        <f aca="false">IF(B4=2,-前提!$B$16,IF(B4=8,-前提!$B$17,0))</f>
        <v>0</v>
      </c>
      <c r="C13" s="18" t="n">
        <f aca="false">IF(C4=2,-前提!$B$16,IF(C4=8,-前提!$B$17,0))</f>
        <v>-114</v>
      </c>
      <c r="D13" s="18" t="n">
        <f aca="false">IF(D4=2,-前提!$B$16,IF(D4=8,-前提!$B$17,0))</f>
        <v>0</v>
      </c>
      <c r="E13" s="18" t="n">
        <f aca="false">IF(E4=2,-前提!$B$16,IF(E4=8,-前提!$B$17,0))</f>
        <v>0</v>
      </c>
      <c r="F13" s="18" t="n">
        <f aca="false">IF(F4=2,-前提!$B$16,IF(F4=8,-前提!$B$17,0))</f>
        <v>0</v>
      </c>
      <c r="G13" s="18" t="n">
        <f aca="false">IF(G4=2,-前提!$B$16,IF(G4=8,-前提!$B$17,0))</f>
        <v>0</v>
      </c>
      <c r="H13" s="18" t="n">
        <f aca="false">IF(H4=2,-前提!$B$16,IF(H4=8,-前提!$B$17,0))</f>
        <v>0</v>
      </c>
      <c r="I13" s="18" t="n">
        <f aca="false">IF(I4=2,-前提!$B$16,IF(I4=8,-前提!$B$17,0))</f>
        <v>-92</v>
      </c>
      <c r="J13" s="18" t="n">
        <f aca="false">IF(J4=2,-前提!$B$16,IF(J4=8,-前提!$B$17,0))</f>
        <v>0</v>
      </c>
      <c r="K13" s="18" t="n">
        <f aca="false">IF(K4=2,-前提!$B$16,IF(K4=8,-前提!$B$17,0))</f>
        <v>0</v>
      </c>
      <c r="L13" s="18" t="n">
        <f aca="false">IF(L4=2,-前提!$B$16,IF(L4=8,-前提!$B$17,0))</f>
        <v>0</v>
      </c>
      <c r="M13" s="18" t="n">
        <f aca="false">IF(M4=2,-前提!$B$16,IF(M4=8,-前提!$B$17,0))</f>
        <v>0</v>
      </c>
      <c r="N13" s="18" t="n">
        <f aca="false">SUM(B13:M13)</f>
        <v>-206</v>
      </c>
    </row>
    <row r="14" customFormat="false" ht="15" hidden="false" customHeight="false" outlineLevel="0" collapsed="false">
      <c r="A14" s="5" t="s">
        <v>79</v>
      </c>
      <c r="B14" s="18" t="n">
        <f aca="false">IF(MOD(B4,3)=0,-前提!$B$22*前提!$B$23/4,0)</f>
        <v>0</v>
      </c>
      <c r="C14" s="18" t="n">
        <f aca="false">IF(MOD(C4,3)=0,-B21*前提!$B$23/4,0)</f>
        <v>0</v>
      </c>
      <c r="D14" s="18" t="n">
        <f aca="false">IF(MOD(D4,3)=0,-C21*前提!$B$23/4,0)</f>
        <v>-15</v>
      </c>
      <c r="E14" s="18" t="n">
        <f aca="false">IF(MOD(E4,3)=0,-D21*前提!$B$23/4,0)</f>
        <v>0</v>
      </c>
      <c r="F14" s="18" t="n">
        <f aca="false">IF(MOD(F4,3)=0,-E21*前提!$B$23/4,0)</f>
        <v>0</v>
      </c>
      <c r="G14" s="18" t="n">
        <f aca="false">IF(MOD(G4,3)=0,-F21*前提!$B$23/4,0)</f>
        <v>-14.625</v>
      </c>
      <c r="H14" s="18" t="n">
        <f aca="false">IF(MOD(H4,3)=0,-G21*前提!$B$23/4,0)</f>
        <v>0</v>
      </c>
      <c r="I14" s="18" t="n">
        <f aca="false">IF(MOD(I4,3)=0,-H21*前提!$B$23/4,0)</f>
        <v>0</v>
      </c>
      <c r="J14" s="18" t="n">
        <f aca="false">IF(MOD(J4,3)=0,-I21*前提!$B$23/4,0)</f>
        <v>-14.25</v>
      </c>
      <c r="K14" s="18" t="n">
        <f aca="false">IF(MOD(K4,3)=0,-J21*前提!$B$23/4,0)</f>
        <v>0</v>
      </c>
      <c r="L14" s="18" t="n">
        <f aca="false">IF(MOD(L4,3)=0,-K21*前提!$B$23/4,0)</f>
        <v>0</v>
      </c>
      <c r="M14" s="18" t="n">
        <f aca="false">IF(MOD(M4,3)=0,-L21*前提!$B$23/4,0)</f>
        <v>-13.875</v>
      </c>
      <c r="N14" s="18" t="n">
        <f aca="false">SUM(B14:M14)</f>
        <v>-57.75</v>
      </c>
    </row>
    <row r="15" customFormat="false" ht="15" hidden="false" customHeight="false" outlineLevel="0" collapsed="false">
      <c r="A15" s="5" t="s">
        <v>80</v>
      </c>
      <c r="B15" s="18" t="n">
        <f aca="false">IF(MOD(B4,3)=0,-前提!$B$24,0)</f>
        <v>0</v>
      </c>
      <c r="C15" s="18" t="n">
        <f aca="false">IF(MOD(C4,3)=0,-前提!$B$24,0)</f>
        <v>0</v>
      </c>
      <c r="D15" s="18" t="n">
        <f aca="false">IF(MOD(D4,3)=0,-前提!$B$24,0)</f>
        <v>-50</v>
      </c>
      <c r="E15" s="18" t="n">
        <f aca="false">IF(MOD(E4,3)=0,-前提!$B$24,0)</f>
        <v>0</v>
      </c>
      <c r="F15" s="18" t="n">
        <f aca="false">IF(MOD(F4,3)=0,-前提!$B$24,0)</f>
        <v>0</v>
      </c>
      <c r="G15" s="18" t="n">
        <f aca="false">IF(MOD(G4,3)=0,-前提!$B$24,0)</f>
        <v>-50</v>
      </c>
      <c r="H15" s="18" t="n">
        <f aca="false">IF(MOD(H4,3)=0,-前提!$B$24,0)</f>
        <v>0</v>
      </c>
      <c r="I15" s="18" t="n">
        <f aca="false">IF(MOD(I4,3)=0,-前提!$B$24,0)</f>
        <v>0</v>
      </c>
      <c r="J15" s="18" t="n">
        <f aca="false">IF(MOD(J4,3)=0,-前提!$B$24,0)</f>
        <v>-50</v>
      </c>
      <c r="K15" s="18" t="n">
        <f aca="false">IF(MOD(K4,3)=0,-前提!$B$24,0)</f>
        <v>0</v>
      </c>
      <c r="L15" s="18" t="n">
        <f aca="false">IF(MOD(L4,3)=0,-前提!$B$24,0)</f>
        <v>0</v>
      </c>
      <c r="M15" s="18" t="n">
        <f aca="false">IF(MOD(M4,3)=0,-前提!$B$24,0)</f>
        <v>-50</v>
      </c>
      <c r="N15" s="18" t="n">
        <f aca="false">SUM(B15:M15)</f>
        <v>-200</v>
      </c>
    </row>
    <row r="16" customFormat="false" ht="15" hidden="false" customHeight="false" outlineLevel="0" collapsed="false">
      <c r="A16" s="5" t="s">
        <v>81</v>
      </c>
      <c r="B16" s="12" t="n">
        <f aca="false">SUM(B12:B15)</f>
        <v>34.9858333333333</v>
      </c>
      <c r="C16" s="12" t="n">
        <f aca="false">SUM(C12:C15)</f>
        <v>-73.0047222222222</v>
      </c>
      <c r="D16" s="12" t="n">
        <f aca="false">SUM(D12:D15)</f>
        <v>-17.9952777777778</v>
      </c>
      <c r="E16" s="12" t="n">
        <f aca="false">SUM(E12:E15)</f>
        <v>44</v>
      </c>
      <c r="F16" s="12" t="n">
        <f aca="false">SUM(F12:F15)</f>
        <v>44</v>
      </c>
      <c r="G16" s="12" t="n">
        <f aca="false">SUM(G12:G15)</f>
        <v>-17.6202777777778</v>
      </c>
      <c r="H16" s="12" t="n">
        <f aca="false">SUM(H12:H15)</f>
        <v>47.0047222222222</v>
      </c>
      <c r="I16" s="12" t="n">
        <f aca="false">SUM(I12:I15)</f>
        <v>-60.0188888888889</v>
      </c>
      <c r="J16" s="12" t="n">
        <f aca="false">SUM(J12:J15)</f>
        <v>-20.25</v>
      </c>
      <c r="K16" s="12" t="n">
        <f aca="false">SUM(K12:K15)</f>
        <v>47.0047222222222</v>
      </c>
      <c r="L16" s="12" t="n">
        <f aca="false">SUM(L12:L15)</f>
        <v>44</v>
      </c>
      <c r="M16" s="12" t="n">
        <f aca="false">SUM(M12:M15)</f>
        <v>-7.85611111111111</v>
      </c>
      <c r="N16" s="12" t="n">
        <f aca="false">SUM(B16:M16)</f>
        <v>64.25</v>
      </c>
    </row>
    <row r="18" customFormat="false" ht="15" hidden="false" customHeight="false" outlineLevel="0" collapsed="false">
      <c r="A18" s="5" t="s">
        <v>82</v>
      </c>
      <c r="B18" s="18" t="n">
        <f aca="false">前提!$B$25</f>
        <v>100</v>
      </c>
      <c r="C18" s="18" t="n">
        <f aca="false">B19</f>
        <v>134.985833333333</v>
      </c>
      <c r="D18" s="18" t="n">
        <f aca="false">C19</f>
        <v>61.9811111111111</v>
      </c>
      <c r="E18" s="18" t="n">
        <f aca="false">D19</f>
        <v>43.9858333333334</v>
      </c>
      <c r="F18" s="18" t="n">
        <f aca="false">E19</f>
        <v>87.9858333333334</v>
      </c>
      <c r="G18" s="18" t="n">
        <f aca="false">F19</f>
        <v>131.985833333333</v>
      </c>
      <c r="H18" s="18" t="n">
        <f aca="false">G19</f>
        <v>114.365555555556</v>
      </c>
      <c r="I18" s="18" t="n">
        <f aca="false">H19</f>
        <v>161.370277777778</v>
      </c>
      <c r="J18" s="18" t="n">
        <f aca="false">I19</f>
        <v>101.351388888889</v>
      </c>
      <c r="K18" s="18" t="n">
        <f aca="false">J19</f>
        <v>81.1013888888889</v>
      </c>
      <c r="L18" s="18" t="n">
        <f aca="false">K19</f>
        <v>128.106111111111</v>
      </c>
      <c r="M18" s="18" t="n">
        <f aca="false">L19</f>
        <v>172.106111111111</v>
      </c>
      <c r="N18" s="18" t="n">
        <f aca="false">B18</f>
        <v>100</v>
      </c>
    </row>
    <row r="19" customFormat="false" ht="15" hidden="false" customHeight="false" outlineLevel="0" collapsed="false">
      <c r="A19" s="5" t="s">
        <v>83</v>
      </c>
      <c r="B19" s="19" t="n">
        <f aca="false">B18+B16</f>
        <v>134.985833333333</v>
      </c>
      <c r="C19" s="19" t="n">
        <f aca="false">C18+C16</f>
        <v>61.9811111111111</v>
      </c>
      <c r="D19" s="19" t="n">
        <f aca="false">D18+D16</f>
        <v>43.9858333333334</v>
      </c>
      <c r="E19" s="19" t="n">
        <f aca="false">E18+E16</f>
        <v>87.9858333333334</v>
      </c>
      <c r="F19" s="19" t="n">
        <f aca="false">F18+F16</f>
        <v>131.985833333333</v>
      </c>
      <c r="G19" s="19" t="n">
        <f aca="false">G18+G16</f>
        <v>114.365555555556</v>
      </c>
      <c r="H19" s="19" t="n">
        <f aca="false">H18+H16</f>
        <v>161.370277777778</v>
      </c>
      <c r="I19" s="19" t="n">
        <f aca="false">I18+I16</f>
        <v>101.351388888889</v>
      </c>
      <c r="J19" s="19" t="n">
        <f aca="false">J18+J16</f>
        <v>81.1013888888889</v>
      </c>
      <c r="K19" s="19" t="n">
        <f aca="false">K18+K16</f>
        <v>128.106111111111</v>
      </c>
      <c r="L19" s="19" t="n">
        <f aca="false">L18+L16</f>
        <v>172.106111111111</v>
      </c>
      <c r="M19" s="19" t="n">
        <f aca="false">M18+M16</f>
        <v>164.25</v>
      </c>
      <c r="N19" s="19" t="n">
        <f aca="false">M19</f>
        <v>164.25</v>
      </c>
    </row>
    <row r="21" customFormat="false" ht="15" hidden="false" customHeight="false" outlineLevel="0" collapsed="false">
      <c r="A21" s="5" t="s">
        <v>84</v>
      </c>
      <c r="B21" s="12" t="n">
        <f aca="false">前提!$B$22+B15</f>
        <v>2000</v>
      </c>
      <c r="C21" s="12" t="n">
        <f aca="false">B21+C15</f>
        <v>2000</v>
      </c>
      <c r="D21" s="12" t="n">
        <f aca="false">C21+D15</f>
        <v>1950</v>
      </c>
      <c r="E21" s="12" t="n">
        <f aca="false">D21+E15</f>
        <v>1950</v>
      </c>
      <c r="F21" s="12" t="n">
        <f aca="false">E21+F15</f>
        <v>1950</v>
      </c>
      <c r="G21" s="12" t="n">
        <f aca="false">F21+G15</f>
        <v>1900</v>
      </c>
      <c r="H21" s="12" t="n">
        <f aca="false">G21+H15</f>
        <v>1900</v>
      </c>
      <c r="I21" s="12" t="n">
        <f aca="false">H21+I15</f>
        <v>1900</v>
      </c>
      <c r="J21" s="12" t="n">
        <f aca="false">I21+J15</f>
        <v>1850</v>
      </c>
      <c r="K21" s="12" t="n">
        <f aca="false">J21+K15</f>
        <v>1850</v>
      </c>
      <c r="L21" s="12" t="n">
        <f aca="false">K21+L15</f>
        <v>1850</v>
      </c>
      <c r="M21" s="12" t="n">
        <f aca="false">L21+M15</f>
        <v>1800</v>
      </c>
      <c r="N21" s="12" t="n">
        <f aca="false">M21</f>
        <v>1800</v>
      </c>
    </row>
    <row r="24" customFormat="false" ht="15" hidden="false" customHeight="false" outlineLevel="0" collapsed="false">
      <c r="A24" s="10" t="s">
        <v>85</v>
      </c>
      <c r="B24" s="20" t="n">
        <f aca="false">MIN(B19:M19)</f>
        <v>43.9858333333334</v>
      </c>
      <c r="D24" s="5" t="s">
        <v>86</v>
      </c>
      <c r="E24" s="21" t="n">
        <f aca="false">B24/前提!$B$8</f>
        <v>2.30302369213317</v>
      </c>
    </row>
    <row r="25" customFormat="false" ht="15" hidden="false" customHeight="false" outlineLevel="0" collapsed="false">
      <c r="A25" s="5" t="s">
        <v>87</v>
      </c>
      <c r="B25" s="9" t="n">
        <f aca="false">N12</f>
        <v>528</v>
      </c>
    </row>
    <row r="26" customFormat="false" ht="15" hidden="false" customHeight="false" outlineLevel="0" collapsed="false">
      <c r="A26" s="5" t="s">
        <v>88</v>
      </c>
      <c r="B26" s="9" t="n">
        <f aca="false">-N14-N15</f>
        <v>257.75</v>
      </c>
    </row>
    <row r="27" customFormat="false" ht="15" hidden="false" customHeight="false" outlineLevel="0" collapsed="false">
      <c r="A27" s="11" t="s">
        <v>89</v>
      </c>
      <c r="B27" s="22" t="n">
        <f aca="false">(N12+N13)/B26</f>
        <v>1.24927255092144</v>
      </c>
    </row>
    <row r="29" customFormat="false" ht="15" hidden="false" customHeight="false" outlineLevel="0" collapsed="false">
      <c r="A29" s="7" t="s">
        <v>90</v>
      </c>
    </row>
    <row r="30" customFormat="false" ht="15" hidden="false" customHeight="false" outlineLevel="0" collapsed="false">
      <c r="A30" s="2"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4"/>
  </cols>
  <sheetData>
    <row r="1" customFormat="false" ht="17.15" hidden="false" customHeight="false" outlineLevel="0" collapsed="false">
      <c r="A1" s="1" t="s">
        <v>92</v>
      </c>
    </row>
    <row r="2" customFormat="false" ht="15" hidden="false" customHeight="false" outlineLevel="0" collapsed="false">
      <c r="A2" s="2" t="s">
        <v>93</v>
      </c>
    </row>
    <row r="4" customFormat="false" ht="15" hidden="false" customHeight="false" outlineLevel="0" collapsed="false">
      <c r="A4" s="3" t="s">
        <v>94</v>
      </c>
      <c r="B4" s="4"/>
      <c r="C4" s="4"/>
    </row>
    <row r="5" customFormat="false" ht="15" hidden="false" customHeight="false" outlineLevel="0" collapsed="false">
      <c r="A5" s="23" t="s">
        <v>95</v>
      </c>
      <c r="B5" s="6" t="n">
        <v>5000</v>
      </c>
    </row>
    <row r="6" customFormat="false" ht="15" hidden="false" customHeight="false" outlineLevel="0" collapsed="false">
      <c r="A6" s="23" t="s">
        <v>96</v>
      </c>
      <c r="B6" s="6" t="n">
        <v>150</v>
      </c>
    </row>
    <row r="7" customFormat="false" ht="15" hidden="false" customHeight="false" outlineLevel="0" collapsed="false">
      <c r="A7" s="10" t="s">
        <v>25</v>
      </c>
      <c r="B7" s="12" t="n">
        <f aca="false">SUM(B5:B6)</f>
        <v>5150</v>
      </c>
    </row>
    <row r="9" customFormat="false" ht="15" hidden="false" customHeight="false" outlineLevel="0" collapsed="false">
      <c r="A9" s="3" t="s">
        <v>97</v>
      </c>
      <c r="B9" s="4"/>
      <c r="C9" s="4"/>
    </row>
    <row r="10" customFormat="false" ht="15" hidden="false" customHeight="false" outlineLevel="0" collapsed="false">
      <c r="A10" s="23" t="s">
        <v>98</v>
      </c>
      <c r="B10" s="6" t="n">
        <v>1743</v>
      </c>
    </row>
    <row r="11" customFormat="false" ht="15" hidden="false" customHeight="false" outlineLevel="0" collapsed="false">
      <c r="A11" s="23" t="s">
        <v>99</v>
      </c>
      <c r="B11" s="6" t="n">
        <v>500</v>
      </c>
    </row>
    <row r="12" customFormat="false" ht="15" hidden="false" customHeight="false" outlineLevel="0" collapsed="false">
      <c r="A12" s="23" t="s">
        <v>100</v>
      </c>
      <c r="B12" s="24" t="n">
        <f aca="false">-前提!$B$25</f>
        <v>-100</v>
      </c>
    </row>
    <row r="13" customFormat="false" ht="15" hidden="false" customHeight="false" outlineLevel="0" collapsed="false">
      <c r="A13" s="10" t="s">
        <v>101</v>
      </c>
      <c r="B13" s="12" t="n">
        <f aca="false">SUM(B10:B12)</f>
        <v>2143</v>
      </c>
    </row>
    <row r="15" customFormat="false" ht="15" hidden="false" customHeight="false" outlineLevel="0" collapsed="false">
      <c r="A15" s="3" t="s">
        <v>102</v>
      </c>
      <c r="B15" s="4"/>
      <c r="C15" s="4"/>
    </row>
    <row r="16" customFormat="false" ht="15" hidden="false" customHeight="false" outlineLevel="0" collapsed="false">
      <c r="A16" s="23" t="s">
        <v>103</v>
      </c>
      <c r="B16" s="24" t="n">
        <f aca="false">前提!$B$22</f>
        <v>2000</v>
      </c>
    </row>
    <row r="17" customFormat="false" ht="15" hidden="false" customHeight="false" outlineLevel="0" collapsed="false">
      <c r="A17" s="23" t="s">
        <v>104</v>
      </c>
      <c r="B17" s="9" t="n">
        <f aca="false">B13</f>
        <v>2143</v>
      </c>
    </row>
    <row r="18" customFormat="false" ht="15" hidden="false" customHeight="false" outlineLevel="0" collapsed="false">
      <c r="A18" s="23" t="s">
        <v>105</v>
      </c>
      <c r="B18" s="6" t="n">
        <v>1000</v>
      </c>
    </row>
    <row r="19" customFormat="false" ht="15" hidden="false" customHeight="false" outlineLevel="0" collapsed="false">
      <c r="A19" s="23" t="s">
        <v>106</v>
      </c>
      <c r="B19" s="20" t="n">
        <f aca="false">B7-B16-B17-B18</f>
        <v>7</v>
      </c>
    </row>
    <row r="20" customFormat="false" ht="15" hidden="false" customHeight="false" outlineLevel="0" collapsed="false">
      <c r="A20" s="10" t="s">
        <v>25</v>
      </c>
      <c r="B20" s="12" t="n">
        <f aca="false">SUM(B16:B19)</f>
        <v>5150</v>
      </c>
    </row>
    <row r="22" customFormat="false" ht="15" hidden="false" customHeight="false" outlineLevel="0" collapsed="false">
      <c r="A22" s="23" t="s">
        <v>107</v>
      </c>
      <c r="B22" s="12" t="n">
        <f aca="false">B7-B20</f>
        <v>0</v>
      </c>
    </row>
    <row r="24" customFormat="false" ht="15" hidden="false" customHeight="false" outlineLevel="0" collapsed="false">
      <c r="A24" s="10" t="s">
        <v>108</v>
      </c>
      <c r="B24" s="12" t="n">
        <f aca="false">B16</f>
        <v>2000</v>
      </c>
    </row>
    <row r="25" customFormat="false" ht="15" hidden="false" customHeight="false" outlineLevel="0" collapsed="false">
      <c r="A25" s="10" t="s">
        <v>109</v>
      </c>
      <c r="B25" s="12" t="n">
        <f aca="false">前提!$B$25</f>
        <v>100</v>
      </c>
    </row>
    <row r="26" customFormat="false" ht="15" hidden="false" customHeight="false" outlineLevel="0" collapsed="false">
      <c r="A26" s="10" t="s">
        <v>110</v>
      </c>
      <c r="B26" s="12" t="n">
        <f aca="false">B24-B25</f>
        <v>1900</v>
      </c>
    </row>
    <row r="27" customFormat="false" ht="15" hidden="false" customHeight="false" outlineLevel="0" collapsed="false">
      <c r="A27" s="23" t="s">
        <v>111</v>
      </c>
      <c r="B27" s="25" t="n">
        <f aca="false">B26/529</f>
        <v>3.59168241965974</v>
      </c>
    </row>
    <row r="29" customFormat="false" ht="15" hidden="false" customHeight="false" outlineLevel="0" collapsed="false">
      <c r="A29" s="26" t="s">
        <v>112</v>
      </c>
    </row>
    <row r="30" customFormat="false" ht="15" hidden="false" customHeight="false" outlineLevel="0" collapsed="false">
      <c r="A30" s="7"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2026-09-20T07:57:39Z</dcterms:created>
  <dc:creator>openpyxl</dc:creator>
  <dc:description/>
  <dc:language>en-US</dc:language>
  <cp:lastModifiedBy/>
  <dcterms:modified xsi:type="dcterms:W3CDTF">2026-09-20T07:57:41Z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