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4301c70fd78d1e9e/デスクトップ/"/>
    </mc:Choice>
  </mc:AlternateContent>
  <xr:revisionPtr revIDLastSave="0" documentId="8_{05372BF7-7769-49B5-9DF3-EDF69BA607C1}" xr6:coauthVersionLast="47" xr6:coauthVersionMax="47" xr10:uidLastSave="{00000000-0000-0000-0000-000000000000}"/>
  <bookViews>
    <workbookView xWindow="-110" yWindow="-110" windowWidth="19420" windowHeight="11500" xr2:uid="{D809E1CE-6ABE-406F-81BA-5A58D82AA7C3}"/>
  </bookViews>
  <sheets>
    <sheet name="Sheet1" sheetId="1" r:id="rId1"/>
    <sheet name="Sheet2" sheetId="2" r:id="rId2"/>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24" i="1" l="1"/>
  <c r="C14" i="1"/>
  <c r="C15" i="1"/>
  <c r="C12" i="1"/>
  <c r="C13" i="1"/>
  <c r="C30" i="1"/>
  <c r="C11" i="1"/>
  <c r="C31" i="1"/>
  <c r="C32" i="1"/>
  <c r="C33" i="1"/>
  <c r="C34" i="1"/>
  <c r="C35" i="1"/>
  <c r="C29" i="1"/>
  <c r="C36" i="1"/>
  <c r="C18" i="1"/>
  <c r="C19" i="1"/>
  <c r="C20" i="1"/>
  <c r="C22" i="1"/>
  <c r="C21" i="1"/>
  <c r="C4" i="1"/>
  <c r="C5" i="1"/>
  <c r="C6" i="1"/>
  <c r="C7" i="1"/>
  <c r="C8" i="1"/>
  <c r="C9" i="1"/>
  <c r="C10" i="1"/>
  <c r="C16" i="1"/>
  <c r="C17" i="1"/>
  <c r="C23" i="1"/>
  <c r="C25" i="1"/>
  <c r="C26" i="1"/>
  <c r="C27" i="1"/>
  <c r="C28" i="1"/>
  <c r="C3" i="1"/>
</calcChain>
</file>

<file path=xl/sharedStrings.xml><?xml version="1.0" encoding="utf-8"?>
<sst xmlns="http://schemas.openxmlformats.org/spreadsheetml/2006/main" count="224" uniqueCount="177">
  <si>
    <t>ご質問日</t>
    <rPh sb="1" eb="4">
      <t>シツモンビ</t>
    </rPh>
    <phoneticPr fontId="2"/>
  </si>
  <si>
    <t>ご質問No.</t>
    <rPh sb="1" eb="3">
      <t>シツモン</t>
    </rPh>
    <phoneticPr fontId="2"/>
  </si>
  <si>
    <t>項目</t>
    <rPh sb="0" eb="2">
      <t>コウモク</t>
    </rPh>
    <phoneticPr fontId="2"/>
  </si>
  <si>
    <t>ご質問事項</t>
    <rPh sb="1" eb="3">
      <t>シツモン</t>
    </rPh>
    <rPh sb="3" eb="5">
      <t>ジコウ</t>
    </rPh>
    <phoneticPr fontId="2"/>
  </si>
  <si>
    <t>ご回答欄</t>
    <rPh sb="1" eb="3">
      <t>カイトウ</t>
    </rPh>
    <rPh sb="3" eb="4">
      <t>ラン</t>
    </rPh>
    <phoneticPr fontId="2"/>
  </si>
  <si>
    <t>全般</t>
    <rPh sb="0" eb="2">
      <t>ゼンパン</t>
    </rPh>
    <phoneticPr fontId="2"/>
  </si>
  <si>
    <t>添付</t>
    <rPh sb="0" eb="2">
      <t>テンプ</t>
    </rPh>
    <phoneticPr fontId="2"/>
  </si>
  <si>
    <t>添付</t>
    <rPh sb="0" eb="1">
      <t>テンプ</t>
    </rPh>
    <phoneticPr fontId="2"/>
  </si>
  <si>
    <t>今回の取引対象は、株式会社プティ・ボノム及びその子会社である株式会社カンテサンスプラスの2社となります。</t>
    <phoneticPr fontId="2"/>
  </si>
  <si>
    <t>株式会社BISは、主に飲食店等に対するコンサルティング、監修・プロデュース業務を行っております。現在は名古屋のレストラン「Brillance」の監修・プロデュース等を行っています。
関与は、必要に応じた電話・メッセージによる助言や、休日等を利用した現地訪問が中心で、定例的な拘束時間はありません。また、カンテサンスの営業中に店舗を離れて対応することは原則としてありません。本件実施後も、カンテサンスの運営に支障を生じさせない範囲で継続する想定です。</t>
    <phoneticPr fontId="2"/>
  </si>
  <si>
    <t>ご認識のとおり、Brillanceとプティ・ボノム、カンテサンスプラス及び岸田個人との間に資本関係はなく、岸田個人からの出資もありません。
また、Brillanceの監修業務に係る報酬は株式会社BISが受領しており、本件の取引対象会社であるプティ・ボノム若しくはカンテサンスプラス、又は岸田個人における監修フィーの授受はありません。</t>
    <phoneticPr fontId="2"/>
  </si>
  <si>
    <t>労務</t>
    <rPh sb="0" eb="2">
      <t>ロウム</t>
    </rPh>
    <phoneticPr fontId="2"/>
  </si>
  <si>
    <t>財務</t>
    <rPh sb="0" eb="2">
      <t>ザイム</t>
    </rPh>
    <phoneticPr fontId="2"/>
  </si>
  <si>
    <t>①現在の役員報酬・役員賞与の配分は、社会保険料等の負担を踏まえた報酬設計として、月額の役員報酬を抑え、事前確定届出給与による役員賞与に配分したものです。
②監修体制への移行前後を含む具体的な金額については現時点では設定しておらず、買収価格、本件実施後の役割・業務範囲、稼働量等の取引条件全体とのバランスを踏まえ、協議のうえ決定したいと考えております。</t>
    <phoneticPr fontId="2"/>
  </si>
  <si>
    <t>①日々の現金取扱いは、サービス責任者を含む複数名（3名程度）が対応しています。営業終了時には岸田様が現金残高をカウントし、カードのバウチャー等を含む各決済手段の売上と照合のうえ、差異がないことを最終確認しています。
②伝票・バウチャー等についても、営業終了時の売上確認において各決済手段の売上と突合し、最終的に岸田が確認しています。
③営業終了後の現金は、岸田のみが基本的にアクセス可能な施錠されたスペースに保管しています。翌営業日に岸田からレジ担当者へ現金を引き渡し、その際に再度金額を確認し、差異がないことを確認したうえで営業を開始しています。</t>
    <phoneticPr fontId="2"/>
  </si>
  <si>
    <t>法務</t>
    <rPh sb="0" eb="2">
      <t>ホウム</t>
    </rPh>
    <phoneticPr fontId="2"/>
  </si>
  <si>
    <t>現時点で把握している限り、株主又は代表者の変更に伴い、事前通知・承諾等を明示的に求めるチェンジオブコントロール条項が含まれる契約は認識しておりません。
一方、一部の希少なワイン等については、契約上の定めというよりも、長年の取引関係や信頼関係を背景に供給量が決定されているものがあります。特に希少性の高い商材については供給元の判断に左右される可能性があるため、本件実施に際しては、取引継続に支障が生じないよう、必要に応じて岸田から主要取引先への説明・引継ぎを行う想定です。</t>
    <phoneticPr fontId="2"/>
  </si>
  <si>
    <t>事業</t>
    <rPh sb="0" eb="2">
      <t>ジギョウ</t>
    </rPh>
    <phoneticPr fontId="2"/>
  </si>
  <si>
    <t xml:space="preserve">直近の抽選販売（応募期間：9月5日～9月11日）では、応募者数は約470名を見込んでおります。
これに対し、現時点の既存販売枠の残数118個に加え、追加で200個の販売枠を設定する予定であり、今回の販売可能枠は合計318個を想定しております。
</t>
    <phoneticPr fontId="2"/>
  </si>
  <si>
    <t>8月14日から20日までの1週間（営業日数5日間）に発行した領収書は、合計80枚、1日平均16枚でした。1日当たりの来店数は16～18組、平均来店者数は約54名であることから、領収書の発行割合は比較的高いと認識しております。
なお、領収書のみから法人利用（社長個人による立替精算を含む）と個人利用を正確に区分することは難しく、それぞれの割合までは把握できておりません。</t>
    <phoneticPr fontId="2"/>
  </si>
  <si>
    <t>ペアリングをご注文されるお客様は、全体の約半数です。
残りのお客様については、ボトルワイン、水、グラスワイン、その他の飲料をご注文されていますが、それぞれの正確な割合までは把握できておりません。</t>
    <phoneticPr fontId="2"/>
  </si>
  <si>
    <t>資料添付いたします。</t>
    <rPh sb="0" eb="1">
      <t>シリョウ</t>
    </rPh>
    <phoneticPr fontId="3"/>
  </si>
  <si>
    <t>資料添付いたします。</t>
    <rPh sb="0" eb="4">
      <t>シリョウ</t>
    </rPh>
    <phoneticPr fontId="3"/>
  </si>
  <si>
    <t>従業員の方々への給与支給及び日々の労務管理について、以下ご教示いただけますでしょうか。
①過去5年間における36協定の遵守状況
　→ 36協定に基づき運用しておりますが、一部運用面で確認を要する事項がございます。
②残業代支給の有無及び支給形態（実働額を支給 or 裁量労働制により毎月の給与に含んでいる or みなし残業により、毎月定額支給している。等）
　→固定残業給として毎月定額での支払いしております。
③未払残業代があればその金額（過去３年間）
　→ 現時点では未払残業代はない認識です。
④労働時間の管理方法（タイムカード or 手書きで入力等）
　→ 出退勤時間については、手書きで記録・管理しております
⑤可能であれば、給与規定をご提供いただけますと幸いです。
　→送付いたします。</t>
  </si>
  <si>
    <t>ペアリングをご注文される人数の割合、ボトル注文の割合、水だけの注文の割合など、わかる範囲で構いませんのでご教示いただけますと幸いです。</t>
    <rPh sb="7" eb="9">
      <t>チュウモン</t>
    </rPh>
    <rPh sb="12" eb="14">
      <t>ニンズウ</t>
    </rPh>
    <rPh sb="15" eb="17">
      <t>ワリアイ</t>
    </rPh>
    <rPh sb="21" eb="23">
      <t>チュウモン</t>
    </rPh>
    <rPh sb="24" eb="26">
      <t>ワリアイ</t>
    </rPh>
    <rPh sb="27" eb="28">
      <t>ミズ</t>
    </rPh>
    <rPh sb="31" eb="33">
      <t>チュウモン</t>
    </rPh>
    <rPh sb="34" eb="36">
      <t>ワリアイ</t>
    </rPh>
    <rPh sb="42" eb="44">
      <t>ハンイ</t>
    </rPh>
    <rPh sb="45" eb="46">
      <t>カマ</t>
    </rPh>
    <rPh sb="53" eb="55">
      <t>キョウジ</t>
    </rPh>
    <rPh sb="62" eb="63">
      <t>サ</t>
    </rPh>
    <phoneticPr fontId="2"/>
  </si>
  <si>
    <t>法人利用（社長個人の領収書清算も含む）と個人利用の割合を確認したく、1週間の領収書の発行数、割合など、わかる範囲でご教示いただけますと幸いです。</t>
    <rPh sb="0" eb="2">
      <t>ホウジン</t>
    </rPh>
    <rPh sb="2" eb="4">
      <t>リヨウ</t>
    </rPh>
    <rPh sb="5" eb="7">
      <t>シャチョウ</t>
    </rPh>
    <rPh sb="7" eb="9">
      <t>コジン</t>
    </rPh>
    <rPh sb="10" eb="13">
      <t>リョウシュウショ</t>
    </rPh>
    <rPh sb="13" eb="15">
      <t>セイサン</t>
    </rPh>
    <rPh sb="16" eb="17">
      <t>フク</t>
    </rPh>
    <rPh sb="20" eb="22">
      <t>コジン</t>
    </rPh>
    <rPh sb="22" eb="24">
      <t>リヨウ</t>
    </rPh>
    <rPh sb="25" eb="27">
      <t>ワリアイ</t>
    </rPh>
    <rPh sb="28" eb="30">
      <t>カクニン</t>
    </rPh>
    <rPh sb="35" eb="37">
      <t>シュウカン</t>
    </rPh>
    <rPh sb="38" eb="41">
      <t>リョウシュウショ</t>
    </rPh>
    <rPh sb="42" eb="45">
      <t>ハッコウスウ</t>
    </rPh>
    <rPh sb="46" eb="48">
      <t>ワリアイ</t>
    </rPh>
    <rPh sb="54" eb="56">
      <t>ハンイ</t>
    </rPh>
    <rPh sb="58" eb="60">
      <t>キョウジ</t>
    </rPh>
    <rPh sb="67" eb="68">
      <t>サ</t>
    </rPh>
    <phoneticPr fontId="2"/>
  </si>
  <si>
    <t>No.</t>
  </si>
  <si>
    <t>大分類</t>
  </si>
  <si>
    <t>中分類</t>
  </si>
  <si>
    <t>ご質問</t>
    <phoneticPr fontId="6"/>
  </si>
  <si>
    <t>回答</t>
    <rPh sb="0" eb="2">
      <t>カイトウ</t>
    </rPh>
    <phoneticPr fontId="6"/>
  </si>
  <si>
    <t>経営者・取引目的</t>
  </si>
  <si>
    <t>M&amp;Aの目的</t>
  </si>
  <si>
    <t>今回、株式譲渡を検討されるに至った背景と、岸田様が実現したいことをお聞かせください。</t>
    <rPh sb="21" eb="24">
      <t>キシダサマ</t>
    </rPh>
    <phoneticPr fontId="6"/>
  </si>
  <si>
    <t>フランス料理は非常に仕事量が多い業態であり、年齢を重ねた後も現在と同じ水準で料理を続けることは容易ではないと考えております。そのため、以前より料理人として第一線で活躍できる期間を見据え、事業承継について検討してまいりました。そのような中で、他社様よりM&amp;Aに関するご提案をいただいたことを契機に、本格的に事業承継を検討するようになりました。カンテサンスの品質・文化・人材を次世代へ承継し、持続的に発展させることが目的です。</t>
    <phoneticPr fontId="6"/>
  </si>
  <si>
    <t>将来像</t>
  </si>
  <si>
    <t>今後5～10年で、カンテサンスをどのような存在にしていきたいとお考えでしょうか。守るべき価値と変えてよい（変えたい）領域をそれぞれお聞かせください。</t>
    <rPh sb="53" eb="54">
      <t>カ</t>
    </rPh>
    <phoneticPr fontId="6"/>
  </si>
  <si>
    <t>今後も本店の料理品質、三つ星ブランド、希少性、生産者・スタッフとの関係は守ります。一方、岸田に依存する技術・判断の承継、経営体制の整備、品質を損なわない物販・一品特化業態は段階的に進めたいと考えています。</t>
    <phoneticPr fontId="6"/>
  </si>
  <si>
    <t>買収後関与</t>
  </si>
  <si>
    <t>仮にM&amp;Aが成立した場合、カンテサンスに対しては岸田様ご自身はどのような役割で、どの程度の期間・稼働で関与することを想定されていますか。</t>
    <rPh sb="0" eb="1">
      <t>カリ</t>
    </rPh>
    <rPh sb="6" eb="8">
      <t>セイリツ</t>
    </rPh>
    <rPh sb="10" eb="12">
      <t>バアイ</t>
    </rPh>
    <rPh sb="20" eb="21">
      <t>タイ</t>
    </rPh>
    <rPh sb="24" eb="27">
      <t>キシダサマ</t>
    </rPh>
    <phoneticPr fontId="6"/>
  </si>
  <si>
    <t>長年にわたり人材育成を重視してまいりましたので、店舗運営に関するノウハウや技術は組織内に十分蓄積されており、運営面の引継ぎは可能であると考えております。一方で、「岸田＝カンテサンス」というイメージが広く浸透していることも事実であり、急激な世代交代は望ましくないと考えております。そのため、監修等の立場で一定期間関与しながら、段階的に承継を進めていくことが現実的であると考えております。</t>
    <phoneticPr fontId="6"/>
  </si>
  <si>
    <t>意思決定</t>
  </si>
  <si>
    <t>現在、商品、価格、仕入、人事、予約、投資等の重要事項を貴社内でどのように決定しているかご教示ください。</t>
    <rPh sb="27" eb="30">
      <t>キシャナイ</t>
    </rPh>
    <rPh sb="44" eb="46">
      <t>キョウジ</t>
    </rPh>
    <phoneticPr fontId="4"/>
  </si>
  <si>
    <t>現在、商品、価格、仕入、人事、予約、投資等の重要事項を貴社内でどのように決定しているかご教示ください。</t>
    <rPh sb="27" eb="30">
      <t>キシャナイ</t>
    </rPh>
    <rPh sb="44" eb="46">
      <t>キョウジ</t>
    </rPh>
    <phoneticPr fontId="6"/>
  </si>
  <si>
    <t>料理・商品、価格、重要な仕入、採用・人事、設備投資等は、各責任者からの提案を踏まえ岸田が最終判断しています。</t>
    <phoneticPr fontId="6"/>
  </si>
  <si>
    <t>事業・ブランド</t>
  </si>
  <si>
    <t>ミシュラン対応</t>
  </si>
  <si>
    <t>ミシュラン三つ星を維持する上で重視される評価要素と、現状ご認識されている維持上の課題をお聞かせください。</t>
    <phoneticPr fontId="6"/>
  </si>
  <si>
    <t>当店の最大の強みは、料理そのものの品質にあると考えております。内装や店舗の豪華さではなく、料理の品質によって評価をいただくことを重視しております。また、スタッフとの信頼関係を大切にしながらも、高い基準を求め続けることで品質の維持・向上を徹底しております。さらに、独自の技術やノウハウを有していることに加え、人材育成にも力を入れており、多くの卒業生が独立後に活躍していることも当店の強みの一つであると考えております。</t>
    <phoneticPr fontId="6"/>
  </si>
  <si>
    <t>業績・収益性</t>
  </si>
  <si>
    <t>実績の質</t>
  </si>
  <si>
    <t>20年連続増収増益および2025年12月期の高利益率について、主要な増減要因と一過性要因の有無をお聞かせください。</t>
  </si>
  <si>
    <t>高い利益率を維持できている要因としては、広告宣伝費がほとんど発生していないこと、人材採用に係るコストが限定的であること、またロイヤリティ負担のない完全な自社ブランドであることが挙げられます。また、客単価の向上や予約管理の最適化を継続的に行うことで、売上・利益ともに成長を続けております。</t>
  </si>
  <si>
    <t>修正営業利益</t>
  </si>
  <si>
    <t>資料記載の「修正営業利益5.8億円」と会計上の営業利益約5.0億円の差額について、調整項目と算定根拠をご教示ください。</t>
    <rPh sb="52" eb="54">
      <t>キョウジ</t>
    </rPh>
    <phoneticPr fontId="4"/>
  </si>
  <si>
    <t>資料記載の「修正営業利益5.8億円」と会計上の営業利益約5.0億円の差額について、調整項目と算定根拠をご教示ください。</t>
    <rPh sb="52" eb="54">
      <t>キョウジ</t>
    </rPh>
    <phoneticPr fontId="6"/>
  </si>
  <si>
    <t>修正営業利益と会計上の営業利益との差額につきましては、主として私（岸田）の役員報酬が要因となっております。一般的な経営者報酬水準を前提とした場合、実質的な収益力としては修正営業利益ベースの数値が実態に近いものと考えております。</t>
    <phoneticPr fontId="6"/>
  </si>
  <si>
    <t>財務・資産</t>
  </si>
  <si>
    <t>現預金</t>
  </si>
  <si>
    <t>現預金が2025/12月期末時点で約14億円とのことですが、事業運営上必要な手元資金と余剰資金の内訳をご教示ください。</t>
    <rPh sb="11" eb="13">
      <t>ガツキ</t>
    </rPh>
    <rPh sb="13" eb="14">
      <t>マツ</t>
    </rPh>
    <rPh sb="14" eb="16">
      <t>ジテン</t>
    </rPh>
    <rPh sb="48" eb="50">
      <t>ウチワケ</t>
    </rPh>
    <rPh sb="52" eb="54">
      <t>キョウジ</t>
    </rPh>
    <phoneticPr fontId="4"/>
  </si>
  <si>
    <t>現預金が2025/12月期末時点で約14億円とのことですが、事業運営上必要な手元資金と余剰資金の内訳をご教示ください。</t>
    <rPh sb="11" eb="13">
      <t>ガツキ</t>
    </rPh>
    <rPh sb="13" eb="14">
      <t>マツ</t>
    </rPh>
    <rPh sb="14" eb="16">
      <t>ジテン</t>
    </rPh>
    <rPh sb="48" eb="50">
      <t>ウチワケ</t>
    </rPh>
    <rPh sb="52" eb="54">
      <t>キョウジ</t>
    </rPh>
    <phoneticPr fontId="6"/>
  </si>
  <si>
    <t>手元資金は必要としていません。 支払いよりも早くそれ以上の入金があるので手元資金が0でも問題なく運営ができます。 大きな支払いの予定もありません。</t>
    <phoneticPr fontId="6"/>
  </si>
  <si>
    <t>長期貸付金</t>
  </si>
  <si>
    <t>長期貸付金5億円の貸付先、条件、資金使途、回収見込み、担保・保証の有無をご教示ください。</t>
    <rPh sb="37" eb="39">
      <t>キョウジ</t>
    </rPh>
    <phoneticPr fontId="4"/>
  </si>
  <si>
    <t>長期貸付金5億円の貸付先、条件、資金使途、回収見込み、担保・保証の有無をご教示ください。</t>
    <rPh sb="37" eb="39">
      <t>キョウジ</t>
    </rPh>
    <phoneticPr fontId="6"/>
  </si>
  <si>
    <t>貸し受け先は岸田個人です。  条件は年利1%  資金用途は資産運用です 会社で投資をするより個人の方が税率が良いのでただ現金を眠らせないで インデックス投資を行って大きく利益を出していますので暴落が起きたとしても回収に問題はありません  担保や保証となると僕の持株がそれに該当すると思います。</t>
    <phoneticPr fontId="6"/>
  </si>
  <si>
    <t>ワイン在庫</t>
  </si>
  <si>
    <t>ワイン在庫の簿価、時価評価方法、保管状況、回転期間等についてご教示ください。</t>
    <rPh sb="25" eb="26">
      <t>トウ</t>
    </rPh>
    <rPh sb="31" eb="33">
      <t>キョウジ</t>
    </rPh>
    <phoneticPr fontId="4"/>
  </si>
  <si>
    <t>ワイン在庫の簿価、時価評価方法、保管状況、回転期間等についてご教示ください。</t>
    <rPh sb="25" eb="26">
      <t>トウ</t>
    </rPh>
    <rPh sb="31" eb="33">
      <t>キョウジ</t>
    </rPh>
    <phoneticPr fontId="6"/>
  </si>
  <si>
    <t>在庫は常に変化しますが現在1.2億円ほどとなります。 ワインの時価評価方法というのは実は無いので市場価格を見て調べるしか無いのですが、ここ数年のワインの値上がりは過去にないほど急激な物ですから、価値は相当上がっていると思います。  保管方法は全てセラーにて保管しています 回転は問題なくしていますし、何年か寝かせているものもありますが ビンテージワインも必要な物なので問題はないと思います。</t>
    <phoneticPr fontId="6"/>
  </si>
  <si>
    <t>設備投資</t>
  </si>
  <si>
    <t>店舗設備、厨房、内装等について、今後5年間に必要と見込む更新投資・修繕費の見通しをご提示ください。</t>
    <rPh sb="37" eb="39">
      <t>ミトオ</t>
    </rPh>
    <phoneticPr fontId="4"/>
  </si>
  <si>
    <t>店舗設備、厨房、内装等について、今後5年間に必要と見込む更新投資・修繕費の見通しをご提示ください。</t>
    <rPh sb="37" eb="39">
      <t>ミトオ</t>
    </rPh>
    <phoneticPr fontId="6"/>
  </si>
  <si>
    <t>老朽化はそれなりにしていますので随時修繕や買い替えするものはあると思います 現在移転の誘致の話もきていますので それも検討したいと思っています。</t>
    <phoneticPr fontId="6"/>
  </si>
  <si>
    <t>顧客・予約</t>
  </si>
  <si>
    <t>顧客構成</t>
  </si>
  <si>
    <t>顧客の新規・リピーター比率、国内・海外比率、法人・個人比率、上位顧客への売上集中度をお聞かせください。
また、性別、年齢層、居住地域別のシェアにつきましてもご教示ください。</t>
    <rPh sb="66" eb="67">
      <t>ベツ</t>
    </rPh>
    <rPh sb="79" eb="81">
      <t>キョウジ</t>
    </rPh>
    <phoneticPr fontId="4"/>
  </si>
  <si>
    <t>顧客の新規・リピーター比率、国内・海外比率、法人・個人比率、上位顧客への売上集中度をお聞かせください。
また、性別、年齢層、居住地域別のシェアにつきましてもご教示ください。</t>
    <rPh sb="66" eb="67">
      <t>ベツ</t>
    </rPh>
    <rPh sb="79" eb="81">
      <t>キョウジ</t>
    </rPh>
    <phoneticPr fontId="6"/>
  </si>
  <si>
    <t>リピート希望率は7割ほどで非常に高いですが、新規のお客様も受け入れていかないとダメなので、意図的にリピート客は調整しています。  予約希望者の問い合わせも半数以上は海外からですが、これも意図的に絞っています。  法人はよほどのことがない限り優先的には予約は取りませんので、ほぼ個人です。  上位顧客と言っても料理の代金は一律ですので高額なワインを頼むくらいしかさはありません。 性別も年齢も偏らせないように幅広く受け入れています。</t>
    <phoneticPr fontId="6"/>
  </si>
  <si>
    <t>予約チャネル</t>
  </si>
  <si>
    <t>OMAKASE、電話、AMEX、VISA、帝国ホテル等の予約経路別に、売上構成、手数料、契約期間、解約条件等をご説明ください。</t>
    <rPh sb="53" eb="54">
      <t>トウ</t>
    </rPh>
    <phoneticPr fontId="4"/>
  </si>
  <si>
    <t>OMAKASE、電話、AMEX、VISA、帝国ホテル等の予約経路別に、売上構成、手数料、契約期間、解約条件等をご説明ください。</t>
    <rPh sb="53" eb="54">
      <t>トウ</t>
    </rPh>
    <phoneticPr fontId="6"/>
  </si>
  <si>
    <t>どことも契約はしていませんので 手数料を支払う事は1円もありません。  visaさんの最上位顧客用の予約枠については1件につき20万円頂く約束になっています</t>
    <phoneticPr fontId="6"/>
  </si>
  <si>
    <t>顧客データ</t>
  </si>
  <si>
    <t>氏名、電話番号、来店履歴、注文内容等の顧客情報について、取得・保管方法をご教示ください。</t>
    <rPh sb="33" eb="35">
      <t>ホウホウ</t>
    </rPh>
    <rPh sb="37" eb="39">
      <t>キョウジ</t>
    </rPh>
    <phoneticPr fontId="4"/>
  </si>
  <si>
    <t>氏名、電話番号、来店履歴、注文内容等の顧客情報について、取得・保管方法をご教示ください。</t>
    <rPh sb="33" eb="35">
      <t>ホウホウ</t>
    </rPh>
    <rPh sb="37" eb="39">
      <t>キョウジ</t>
    </rPh>
    <phoneticPr fontId="6"/>
  </si>
  <si>
    <t>顧客情報につきましては専用システムを活用して管理しております。来店履歴、お客様のお好み、過去の会話内容等を蓄積しており、特に常連のお客様については詳細な情報を把握し、サービス品質の向上に活用しております。</t>
    <phoneticPr fontId="6"/>
  </si>
  <si>
    <t>仕入・在庫</t>
  </si>
  <si>
    <t>食材調達</t>
  </si>
  <si>
    <t>農家・漁連・肉卸等の主要仕入先・希少ワインの仕入ルートの継続可能性について教えてください。岸田様個人の関係性に依存しており、資本関係の変更により取引が難しくなる等のリスクはございますでしょうか。</t>
    <rPh sb="10" eb="12">
      <t>シュヨウ</t>
    </rPh>
    <rPh sb="12" eb="15">
      <t>シイレサキ</t>
    </rPh>
    <rPh sb="16" eb="18">
      <t>キショウ</t>
    </rPh>
    <rPh sb="22" eb="24">
      <t>シイ</t>
    </rPh>
    <rPh sb="28" eb="30">
      <t>ケイゾク</t>
    </rPh>
    <rPh sb="30" eb="33">
      <t>カノウセイ</t>
    </rPh>
    <rPh sb="37" eb="38">
      <t>オシ</t>
    </rPh>
    <rPh sb="45" eb="47">
      <t>キシダ</t>
    </rPh>
    <rPh sb="47" eb="48">
      <t>サマ</t>
    </rPh>
    <rPh sb="55" eb="57">
      <t>イゾン</t>
    </rPh>
    <rPh sb="62" eb="66">
      <t>シホンカンケイ</t>
    </rPh>
    <rPh sb="67" eb="69">
      <t>ヘンコウ</t>
    </rPh>
    <rPh sb="72" eb="74">
      <t>トリヒキ</t>
    </rPh>
    <rPh sb="75" eb="76">
      <t>ムズカ</t>
    </rPh>
    <rPh sb="80" eb="81">
      <t>トウ</t>
    </rPh>
    <phoneticPr fontId="4"/>
  </si>
  <si>
    <t>農家・漁連・肉卸等の主要仕入先・希少ワインの仕入ルートの継続可能性について教えてください。岸田様個人の関係性に依存しており、資本関係の変更により取引が難しくなる等のリスクはございますでしょうか。</t>
    <rPh sb="10" eb="12">
      <t>シュヨウ</t>
    </rPh>
    <rPh sb="12" eb="15">
      <t>シイレサキ</t>
    </rPh>
    <rPh sb="16" eb="18">
      <t>キショウ</t>
    </rPh>
    <rPh sb="22" eb="24">
      <t>シイ</t>
    </rPh>
    <rPh sb="28" eb="30">
      <t>ケイゾク</t>
    </rPh>
    <rPh sb="30" eb="33">
      <t>カノウセイ</t>
    </rPh>
    <rPh sb="37" eb="38">
      <t>オシ</t>
    </rPh>
    <rPh sb="45" eb="47">
      <t>キシダ</t>
    </rPh>
    <rPh sb="47" eb="48">
      <t>サマ</t>
    </rPh>
    <rPh sb="55" eb="57">
      <t>イゾン</t>
    </rPh>
    <rPh sb="62" eb="66">
      <t>シホンカンケイ</t>
    </rPh>
    <rPh sb="67" eb="69">
      <t>ヘンコウ</t>
    </rPh>
    <rPh sb="72" eb="74">
      <t>トリヒキ</t>
    </rPh>
    <rPh sb="75" eb="76">
      <t>ムズカ</t>
    </rPh>
    <rPh sb="80" eb="81">
      <t>トウ</t>
    </rPh>
    <phoneticPr fontId="6"/>
  </si>
  <si>
    <t>ワインにつきましては、長年にわたり維持してきたミシュラン三つ星ブランドへの信頼により、希少性の高いワインについても優先的な供給を受けられる関係を構築しております。また、食材につきましても20年以上をかけて生産者とのネットワークを築いてまいりました。これらの関係性は私（岸田）個人ではなく、「カンテサンス」というブランドに紐付いている部分が大きいと考えておりますので、事業承継後も継続可能であると考えております。加えて、調達に関する知見やネットワークについても、後継者へ十分に引き継ぐことが可能であると考えております。</t>
    <phoneticPr fontId="6"/>
  </si>
  <si>
    <t>組織・人材</t>
  </si>
  <si>
    <t>組織体制</t>
  </si>
  <si>
    <t>現在の21名体制について、各人の役割、勤続年数、報酬、残業、離職予定の有無等をご提示ください。
また、年間の入社・退社人数は各何名程度になるでしょうか。</t>
    <rPh sb="32" eb="34">
      <t>ヨテイ</t>
    </rPh>
    <rPh sb="35" eb="37">
      <t>ウム</t>
    </rPh>
    <rPh sb="37" eb="38">
      <t>トウ</t>
    </rPh>
    <rPh sb="51" eb="53">
      <t>ネンカン</t>
    </rPh>
    <rPh sb="54" eb="56">
      <t>ニュウシャ</t>
    </rPh>
    <rPh sb="57" eb="59">
      <t>タイシャ</t>
    </rPh>
    <rPh sb="59" eb="61">
      <t>ニンズウ</t>
    </rPh>
    <rPh sb="62" eb="63">
      <t>カク</t>
    </rPh>
    <rPh sb="63" eb="65">
      <t>ナンメイ</t>
    </rPh>
    <rPh sb="65" eb="67">
      <t>テイド</t>
    </rPh>
    <phoneticPr fontId="6"/>
  </si>
  <si>
    <t>21名の役割、勤続年数、報酬、労働時間、退職予定等は、人員一覧および労務資料として別途提示します。年間の入退社人数についても直近数年の実績を整理して回答します。</t>
    <phoneticPr fontId="6"/>
  </si>
  <si>
    <t>運営</t>
    <rPh sb="0" eb="2">
      <t>ウンエイ</t>
    </rPh>
    <phoneticPr fontId="6"/>
  </si>
  <si>
    <t>岸田様がご不在の中で、営業されることはございますでしょうか。
ある場合、月平均何日程度ありますでしょうか。
また、ご認識されている課題があればご教示ください。</t>
    <rPh sb="2" eb="3">
      <t>サマ</t>
    </rPh>
    <rPh sb="37" eb="39">
      <t>ヘイキン</t>
    </rPh>
    <rPh sb="58" eb="60">
      <t>ニンシキ</t>
    </rPh>
    <rPh sb="65" eb="67">
      <t>カダイ</t>
    </rPh>
    <rPh sb="72" eb="74">
      <t>キョウジ</t>
    </rPh>
    <phoneticPr fontId="4"/>
  </si>
  <si>
    <t>岸田様がご不在の中で、営業されることはございますでしょうか。
ある場合、月平均何日程度ありますでしょうか。
また、ご認識されている課題があればご教示ください。</t>
    <rPh sb="2" eb="3">
      <t>サマ</t>
    </rPh>
    <rPh sb="37" eb="39">
      <t>ヘイキン</t>
    </rPh>
    <rPh sb="58" eb="60">
      <t>ニンシキ</t>
    </rPh>
    <rPh sb="65" eb="67">
      <t>カダイ</t>
    </rPh>
    <rPh sb="72" eb="74">
      <t>キョウジ</t>
    </rPh>
    <phoneticPr fontId="6"/>
  </si>
  <si>
    <t>開業以来20年間、ほぼ毎日現場に立っております。ただし、それは不在では店舗運営が成り立たないためではなく、共に働くスタッフに対する責任と誠意を示したいという考えによるものです。実際には権限委譲や人材育成を進めており、運営面については十分に引継ぎ可能な体制を構築できると考えております。</t>
    <phoneticPr fontId="6"/>
  </si>
  <si>
    <t>キーパーソン</t>
  </si>
  <si>
    <t>岸田様以外で、料理品質、サービス、仕入、予約運営を支えるキーパーソンはいらっしゃいますでしょうか。
また、いらっしゃるとすれば、その方に継続勤務いただく定着策をご教示ください。</t>
    <rPh sb="2" eb="3">
      <t>サマ</t>
    </rPh>
    <rPh sb="66" eb="67">
      <t>カタ</t>
    </rPh>
    <rPh sb="68" eb="70">
      <t>ケイゾク</t>
    </rPh>
    <rPh sb="70" eb="72">
      <t>キンム</t>
    </rPh>
    <rPh sb="76" eb="78">
      <t>テイチャク</t>
    </rPh>
    <rPh sb="78" eb="79">
      <t>サク</t>
    </rPh>
    <rPh sb="81" eb="83">
      <t>キョウジ</t>
    </rPh>
    <phoneticPr fontId="6"/>
  </si>
  <si>
    <t>現在、キッチンスタッフの中で中核を担っている人材は約5名おります。それぞれ高い能力を有しておりますが、将来的なリーダーとしては引き続き育成が必要であると考えております。また、必要に応じて卒業生に復帰を依頼することも可能であり、協議が前提ですが、関係は良好であるため、協力を得られると考えております。</t>
    <phoneticPr fontId="6"/>
  </si>
  <si>
    <t>後継者</t>
  </si>
  <si>
    <t>料理・経営の両面で後継候補はいらっしゃるでしょうか。育成状況と、単独で店舗運営を担える時期の見通しをお聞かせください。</t>
    <phoneticPr fontId="6"/>
  </si>
  <si>
    <t>現在在籍している主力スタッフは非常に優秀である一方、リーダーシップという観点では今後も育成が必要であると認識しております。料理および運営に関するノウハウは組織内に蓄積されており、人材育成についても継続的に取り組んでおります。岸田が一定期間監修しながら、複数名による段階的な承継を行う想定です。</t>
    <phoneticPr fontId="6"/>
  </si>
  <si>
    <t>人材育成</t>
  </si>
  <si>
    <t>レシピ、火入れ、味付け、接客等の教育内容は、どの部分が言語化・標準化され、どの部分が暗黙知となっているのでしょうか。</t>
    <phoneticPr fontId="6"/>
  </si>
  <si>
    <t>高価格帯のレストランでの料理はほとんどが暗黙知となります。 勿論レシピなどは記録しますが 食材の品質が日々安定しないので それも毎日アジャストするものです。 分量を教えるのではなく 美味しいとはなにか？ 良い仕事とはなにか？ を教えなくてはいけませんが これを教えられる人は業界全体でもそう多くはいない中で僕には出来るのが 19年連続して三つ星の理由の一つだと思います</t>
    <phoneticPr fontId="6"/>
  </si>
  <si>
    <t>独立・離職</t>
  </si>
  <si>
    <t>独立を後押しする文化と人材流出リスクの抑制をどのように両立させていますか。今後の独立予定者の有無もお聞かせください。</t>
    <rPh sb="19" eb="21">
      <t>ヨクセイ</t>
    </rPh>
    <phoneticPr fontId="6"/>
  </si>
  <si>
    <t>独立支援を人材育成とブランドネットワークの形成につなげる一方、在籍中は役割・成長機会・処遇を明確にし、継続的な対話で定着を図っています。現時点の具体的な独立予定者の有無は本人確認のうえ別途回答します。</t>
    <phoneticPr fontId="6"/>
  </si>
  <si>
    <t>成長戦略</t>
  </si>
  <si>
    <t>インバウンド</t>
  </si>
  <si>
    <t>外国人顧客を現在1日2組程度に制限している理由をお聞かせください。</t>
    <rPh sb="0" eb="3">
      <t>ガイコクジン</t>
    </rPh>
    <phoneticPr fontId="6"/>
  </si>
  <si>
    <t>海外からのお問い合わせやご予約の需要は非常に多くいただいておりますが、移動や航空機の遅延等によるキャンセル・来店遅延リスクを考慮し、現在は海外のお客様の受入れを一定程度制限しております。現状でも予約は十分に埋まっているため、国内のお客様を中心とした運営を行っております。</t>
    <phoneticPr fontId="6"/>
  </si>
  <si>
    <t>多店舗展開</t>
  </si>
  <si>
    <t>カンテサンス本体の多店舗化に関して品質・人材・ブランド面から許容できる範囲、また、そもそも多店舗化すべきでないという判断も含めて、岸田様のお考えをお聞かせください。</t>
    <rPh sb="14" eb="15">
      <t>カン</t>
    </rPh>
    <rPh sb="45" eb="49">
      <t>タテンポカ</t>
    </rPh>
    <rPh sb="58" eb="60">
      <t>ハンダン</t>
    </rPh>
    <rPh sb="61" eb="62">
      <t>フク</t>
    </rPh>
    <rPh sb="65" eb="67">
      <t>キシダ</t>
    </rPh>
    <rPh sb="67" eb="68">
      <t>サマ</t>
    </rPh>
    <phoneticPr fontId="6"/>
  </si>
  <si>
    <t>レストラン本体の多店舗展開については慎重に考えております。品質維持を最優先としており、店舗数や席数の拡大のみを目的とした展開は望ましくないと考えております。現在の規模だからこそ高い品質を維持できている面もあり、予約をお断りする状況も高級レストランとしては健全な状態であると考えております。</t>
    <phoneticPr fontId="6"/>
  </si>
  <si>
    <t>一品特化業態</t>
  </si>
  <si>
    <t>カフェ・デザート専門店等の一品特化業態について、具体的な構想、必要な人材・投資、岸田様の関与領域等お考えをお聞かせください。</t>
    <rPh sb="42" eb="43">
      <t>サマ</t>
    </rPh>
    <rPh sb="46" eb="48">
      <t>リョウイキ</t>
    </rPh>
    <rPh sb="48" eb="49">
      <t>トウ</t>
    </rPh>
    <rPh sb="50" eb="51">
      <t>カンガ</t>
    </rPh>
    <phoneticPr fontId="6"/>
  </si>
  <si>
    <t>レストラン本体の横展開は難しいと考えておりますが、チーズケーキなどの物販商品や、一品特化型の業態については再現性が高く、展開の可能性があると考えております。また、アイスクリームやコーヒー等を中心としたカフェ業態についても、技術移転や人材育成が比較的行いやすい領域であり、将来的な可能性があると考えております。</t>
    <phoneticPr fontId="6"/>
  </si>
  <si>
    <t>EC・物販</t>
  </si>
  <si>
    <t>ガトー等のEC・店内物販について、生産能力、賞味期限、物流、直近実績等をご説明ください。</t>
    <rPh sb="34" eb="35">
      <t>トウ</t>
    </rPh>
    <phoneticPr fontId="6"/>
  </si>
  <si>
    <t>チーズケーキの売上は年間約7,000万円規模となっております。現在はレストラン内で製造しているため、生産能力が上限に達しており、抽選販売という形式を採用しております。需要は供給を大きく上回っている状況であり、より大きな生産設備や製造体制を確保できれば、更なる販売拡大の余地があると考えております。</t>
    <phoneticPr fontId="6"/>
  </si>
  <si>
    <t>法務・リスク</t>
  </si>
  <si>
    <t>訴訟・税務・労務</t>
  </si>
  <si>
    <t>アレルギー、事故・クレーム、係争、税務調査、未払残業、ハラスメント、取引先との紛争など、現在または過去に重要な問題があればご説明ください。</t>
    <rPh sb="6" eb="8">
      <t>ジコ</t>
    </rPh>
    <phoneticPr fontId="6"/>
  </si>
  <si>
    <t>現時点において、現在または過去に発生した事項を含め、当社の事業運営または財務状況に重大な影響を及ぼす訴訟・係争、税務調査、労務問題、事故・クレーム、ハラスメント、取引先との紛争等の重要事項は認識しておりません。なお、今後の確認過程で追加開示すべき事項が判明した場合には、その発生経緯および対応状況を含め、速やかに開示いたします。</t>
    <phoneticPr fontId="6"/>
  </si>
  <si>
    <t>PMI・提携方針</t>
  </si>
  <si>
    <t>ガバナンス</t>
  </si>
  <si>
    <t>本件検討にあたり、当社グループのどのような点に期待されていますでしょうか。
また、当社グループへのご要望があればご教示ください。</t>
    <rPh sb="0" eb="2">
      <t>ホンケン</t>
    </rPh>
    <rPh sb="2" eb="4">
      <t>ケントウ</t>
    </rPh>
    <rPh sb="9" eb="11">
      <t>トウシャ</t>
    </rPh>
    <rPh sb="21" eb="22">
      <t>テン</t>
    </rPh>
    <rPh sb="23" eb="25">
      <t>キタイ</t>
    </rPh>
    <rPh sb="41" eb="43">
      <t>トウシャ</t>
    </rPh>
    <rPh sb="50" eb="52">
      <t>ヨウボウ</t>
    </rPh>
    <rPh sb="57" eb="59">
      <t>キョウジ</t>
    </rPh>
    <phoneticPr fontId="6"/>
  </si>
  <si>
    <t>長期的視点で本店の品質・ブランド・人材を守りながら、事業承継と成長を支援いただくことを期待しています。外商顧客、店舗・EC、海外拠点等の資産を活用する一方、料理・ブランドに関する一定の自主性と品質承認プロセスを確保いただきたいと考えています。</t>
    <phoneticPr fontId="6"/>
  </si>
  <si>
    <t>シナジー</t>
  </si>
  <si>
    <t>百貨店・商業施設、外商顧客、EC、海外拠点等との連携について、魅力を感じる施策と懸念する施策をお聞かせください。</t>
  </si>
  <si>
    <t>外商顧客向け体験、限定商品、EC、百貨店・海外拠点での実証展開には魅力を感じています。一方、短期間の多店舗化や大量販売はブランド毀損につながる懸念があります。本店を守り、別商品・別業態で検証を重ねる進め方が望ましいと考えています。</t>
  </si>
  <si>
    <t>修正営業利益と会計上の営業利益との差額につきましては、主として私（岸田）の役員報酬が要因となっております。一般的な経営者報酬水準を前提とした場合、実質的な収益力としては修正営業利益ベースの数値が実態に近いものと考えております。</t>
  </si>
  <si>
    <t>手元資金は必要としていません。 支払いよりも早くそれ以上の入金があるので手元資金が0でも問題なく運営ができます。 大きな支払いの予定もありません。</t>
  </si>
  <si>
    <t>貸し受け先は岸田個人です。  条件は年利1%  資金用途は資産運用です 会社で投資をするより個人の方が税率が良いのでただ現金を眠らせないで インデックス投資を行って大きく利益を出していますので暴落が起きたとしても回収に問題はありません  担保や保証となると僕の持株がそれに該当すると思います。</t>
  </si>
  <si>
    <t>在庫は常に変化しますが現在1.2億円ほどとなります。 ワインの時価評価方法というのは実は無いので市場価格を見て調べるしか無いのですが、ここ数年のワインの値上がりは過去にないほど急激な物ですから、価値は相当上がっていると思います。  保管方法は全てセラーにて保管しています 回転は問題なくしていますし、何年か寝かせているものもありますが ビンテージワインも必要な物なので問題はないと思います。</t>
  </si>
  <si>
    <t>老朽化はそれなりにしていますので随時修繕や買い替えするものはあると思います 現在移転の誘致の話もきていますので それも検討したいと思っています。</t>
  </si>
  <si>
    <t>ミシュラン三つ星を維持する上で重視される評価要素と、現状ご認識されている維持上の課題をお聞かせください。</t>
  </si>
  <si>
    <t>当店の最大の強みは、料理そのものの品質にあると考えております。内装や店舗の豪華さではなく、料理の品質によって評価をいただくことを重視しております。また、スタッフとの信頼関係を大切にしながらも、高い基準を求め続けることで品質の維持・向上を徹底しております。さらに、独自の技術やノウハウを有していることに加え、人材育成にも力を入れており、多くの卒業生が独立後に活躍していることも当店の強みの一つであると考えております。</t>
  </si>
  <si>
    <t>料理・商品、価格、重要な仕入、採用・人事、設備投資等は、各責任者からの提案を踏まえ岸田が最終判断しています。</t>
  </si>
  <si>
    <t>リピート希望率は7割ほどで非常に高いですが、新規のお客様も受け入れていかないとダメなので、意図的にリピート客は調整しています。  予約希望者の問い合わせも半数以上は海外からですが、これも意図的に絞っています。  法人はよほどのことがない限り優先的には予約は取りませんので、ほぼ個人です。  上位顧客と言っても料理の代金は一律ですので高額なワインを頼むくらいしかさはありません。 性別も年齢も偏らせないように幅広く受け入れています。</t>
  </si>
  <si>
    <t>どことも契約はしていませんので 手数料を支払う事は1円もありません。  visaさんの最上位顧客用の予約枠については1件につき20万円頂く約束になっています</t>
  </si>
  <si>
    <t>顧客情報につきましては専用システムを活用して管理しております。来店履歴、お客様のお好み、過去の会話内容等を蓄積しており、特に常連のお客様については詳細な情報を把握し、サービス品質の向上に活用しております。</t>
  </si>
  <si>
    <t>ワインにつきましては、長年にわたり維持してきたミシュラン三つ星ブランドへの信頼により、希少性の高いワインについても優先的な供給を受けられる関係を構築しております。また、食材につきましても20年以上をかけて生産者とのネットワークを築いてまいりました。これらの関係性は私（岸田）個人ではなく、「カンテサンス」というブランドに紐付いている部分が大きいと考えておりますので、事業承継後も継続可能であると考えております。加えて、調達に関する知見やネットワークについても、後継者へ十分に引き継ぐことが可能であると考えております。</t>
  </si>
  <si>
    <t>開業以来20年間、ほぼ毎日現場に立っております。ただし、それは不在では店舗運営が成り立たないためではなく、共に働くスタッフに対する責任と誠意を示したいという考えによるものです。実際には権限委譲や人材育成を進めており、運営面については十分に引継ぎ可能な体制を構築できると考えております。</t>
  </si>
  <si>
    <t>組織</t>
    <rPh sb="0" eb="2">
      <t>ソシキ</t>
    </rPh>
    <phoneticPr fontId="2"/>
  </si>
  <si>
    <t>岸田様以外で、料理品質、サービス、仕入、予約運営を支えるキーパーソンはいらっしゃいますでしょうか。
また、いらっしゃるとすれば、その方に継続勤務いただく定着策をご教示ください。</t>
    <rPh sb="2" eb="3">
      <t>サマ</t>
    </rPh>
    <rPh sb="66" eb="67">
      <t>カタ</t>
    </rPh>
    <rPh sb="68" eb="70">
      <t>ケイゾク</t>
    </rPh>
    <rPh sb="70" eb="72">
      <t>キンム</t>
    </rPh>
    <rPh sb="76" eb="78">
      <t>テイチャク</t>
    </rPh>
    <rPh sb="78" eb="79">
      <t>サク</t>
    </rPh>
    <rPh sb="81" eb="83">
      <t>キョウジ</t>
    </rPh>
    <phoneticPr fontId="4"/>
  </si>
  <si>
    <t>現在、キッチンスタッフの中で中核を担っている人材は約5名おります。それぞれ高い能力を有しておりますが、将来的なリーダーとしては引き続き育成が必要であると考えております。また、必要に応じて卒業生に復帰を依頼することも可能であり、協議が前提ですが、関係は良好であるため、協力を得られると考えております。</t>
  </si>
  <si>
    <t>料理・経営の両面で後継候補はいらっしゃるでしょうか。育成状況と、単独で店舗運営を担える時期の見通しをお聞かせください。</t>
  </si>
  <si>
    <t>現在在籍している主力スタッフは非常に優秀である一方、リーダーシップという観点では今後も育成が必要であると認識しております。料理および運営に関するノウハウは組織内に蓄積されており、人材育成についても継続的に取り組んでおります。岸田が一定期間監修しながら、複数名による段階的な承継を行う想定です。</t>
  </si>
  <si>
    <t>レシピ、火入れ、味付け、接客等の教育内容は、どの部分が言語化・標準化され、どの部分が暗黙知となっているのでしょうか。</t>
  </si>
  <si>
    <t>高価格帯のレストランでの料理はほとんどが暗黙知となります。 勿論レシピなどは記録しますが 食材の品質が日々安定しないので それも毎日アジャストするものです。 分量を教えるのではなく 美味しいとはなにか？ 良い仕事とはなにか？ を教えなくてはいけませんが これを教えられる人は業界全体でもそう多くはいない中で僕には出来るのが 19年連続して三つ星の理由の一つだと思います</t>
  </si>
  <si>
    <t>独立を後押しする文化と人材流出リスクの抑制をどのように両立させていますか。今後の独立予定者の有無もお聞かせください。</t>
    <rPh sb="19" eb="21">
      <t>ヨクセイ</t>
    </rPh>
    <phoneticPr fontId="4"/>
  </si>
  <si>
    <t>独立支援を人材育成とブランドネットワークの形成につなげる一方、在籍中は役割・成長機会・処遇を明確にし、継続的な対話で定着を図っています。現時点の具体的な独立予定者の有無は本人確認のうえ別途回答します。</t>
  </si>
  <si>
    <t>カンテサンス本体の多店舗化に関して品質・人材・ブランド面から許容できる範囲、また、そもそも多店舗化すべきでないという判断も含めて、岸田様のお考えをお聞かせください。</t>
    <rPh sb="14" eb="15">
      <t>カン</t>
    </rPh>
    <rPh sb="45" eb="49">
      <t>タテンポカ</t>
    </rPh>
    <rPh sb="58" eb="60">
      <t>ハンダン</t>
    </rPh>
    <rPh sb="61" eb="62">
      <t>フク</t>
    </rPh>
    <rPh sb="65" eb="67">
      <t>キシダ</t>
    </rPh>
    <rPh sb="67" eb="68">
      <t>サマ</t>
    </rPh>
    <phoneticPr fontId="4"/>
  </si>
  <si>
    <t>レストラン本体の多店舗展開については慎重に考えております。品質維持を最優先としており、店舗数や席数の拡大のみを目的とした展開は望ましくないと考えております。現在の規模だからこそ高い品質を維持できている面もあり、予約をお断りする状況も高級レストランとしては健全な状態であると考えております。</t>
  </si>
  <si>
    <t>カフェ・デザート専門店等の一品特化業態について、具体的な構想、必要な人材・投資、岸田様の関与領域等お考えをお聞かせください。</t>
    <rPh sb="42" eb="43">
      <t>サマ</t>
    </rPh>
    <rPh sb="46" eb="48">
      <t>リョウイキ</t>
    </rPh>
    <rPh sb="48" eb="49">
      <t>トウ</t>
    </rPh>
    <rPh sb="50" eb="51">
      <t>カンガ</t>
    </rPh>
    <phoneticPr fontId="4"/>
  </si>
  <si>
    <t>レストラン本体の横展開は難しいと考えておりますが、チーズケーキなどの物販商品や、一品特化型の業態については再現性が高く、展開の可能性があると考えております。また、アイスクリームやコーヒー等を中心としたカフェ業態についても、技術移転や人材育成が比較的行いやすい領域であり、将来的な可能性があると考えております。</t>
  </si>
  <si>
    <t>アレルギー、事故・クレーム、係争、税務調査、未払残業、ハラスメント、取引先との紛争など、現在または過去に重要な問題があればご説明ください。</t>
    <rPh sb="6" eb="8">
      <t>ジコ</t>
    </rPh>
    <phoneticPr fontId="4"/>
  </si>
  <si>
    <t>現時点において、現在または過去に発生した事項を含め、当社の事業運営または財務状況に重大な影響を及ぼす訴訟・係争、税務調査、労務問題、事故・クレーム、ハラスメント、取引先との紛争等の重要事項は認識しておりません。なお、今後の確認過程で追加開示すべき事項が判明した場合には、その発生経緯および対応状況を含め、速やかに開示いたします。</t>
  </si>
  <si>
    <t>プティ・ボノム及びカンテサンスプラスの定款をご提供いただけますでしょうか。</t>
    <rPh sb="7" eb="8">
      <t>オヨ</t>
    </rPh>
    <rPh sb="19" eb="21">
      <t>テイカン</t>
    </rPh>
    <rPh sb="23" eb="25">
      <t>テイキョウ</t>
    </rPh>
    <phoneticPr fontId="2"/>
  </si>
  <si>
    <t>プティ・ボノムの子会社であるカンテサンスプラスの決算書について、過去3期分ご提供いただけますでしょうか。</t>
    <phoneticPr fontId="2"/>
  </si>
  <si>
    <t>今回の取引対象はプティ・ボノムとカンテサンスプラスの２社のみとの理解でお間違いないでしょうか。</t>
    <rPh sb="0" eb="2">
      <t>コンカイ</t>
    </rPh>
    <rPh sb="3" eb="7">
      <t>トリヒキタイショウ</t>
    </rPh>
    <rPh sb="27" eb="28">
      <t>シャ</t>
    </rPh>
    <rPh sb="32" eb="34">
      <t>リカイ</t>
    </rPh>
    <rPh sb="36" eb="38">
      <t>マチガ</t>
    </rPh>
    <phoneticPr fontId="2"/>
  </si>
  <si>
    <t>株式会社BISは本件の取引対象外とのことですが、具体的にどのようなビジネスをされているかご教示いただけますでしょうか。
また、岸田様はどの程度関与されているかも併せてご教示いただけますでしょうか。</t>
    <rPh sb="0" eb="4">
      <t>カブシキガイシャ</t>
    </rPh>
    <rPh sb="8" eb="10">
      <t>ホンケン</t>
    </rPh>
    <rPh sb="11" eb="16">
      <t>トリヒキタイショウガイ</t>
    </rPh>
    <rPh sb="24" eb="27">
      <t>グタイテキ</t>
    </rPh>
    <rPh sb="45" eb="47">
      <t>キョウジ</t>
    </rPh>
    <rPh sb="63" eb="66">
      <t>キシダサマ</t>
    </rPh>
    <rPh sb="69" eb="71">
      <t>テイド</t>
    </rPh>
    <rPh sb="71" eb="73">
      <t>カンヨ</t>
    </rPh>
    <rPh sb="80" eb="81">
      <t>アワ</t>
    </rPh>
    <rPh sb="84" eb="86">
      <t>キョウジ</t>
    </rPh>
    <phoneticPr fontId="2"/>
  </si>
  <si>
    <t>名古屋監修レストランであるBrillanceは、プティ・ボノムと資本関係はない理解ですが、カンテサンスプラス及び岸田様個人とも資本関係はない理解でお間違いないでしょうか。
また、監修に対するフィーを、プティ・ボノム、カンテサンスプラス等の本件取引の対象となる会社及び岸田様個人で授受されている場合、その金額をご教示いただけますでしょうか。</t>
    <rPh sb="0" eb="3">
      <t>ナゴヤ</t>
    </rPh>
    <rPh sb="3" eb="5">
      <t>カンシュウ</t>
    </rPh>
    <rPh sb="32" eb="36">
      <t>シホンカンケイ</t>
    </rPh>
    <rPh sb="39" eb="41">
      <t>リカイ</t>
    </rPh>
    <rPh sb="54" eb="55">
      <t>オヨ</t>
    </rPh>
    <rPh sb="56" eb="59">
      <t>キシダサマ</t>
    </rPh>
    <rPh sb="59" eb="61">
      <t>コジン</t>
    </rPh>
    <rPh sb="63" eb="67">
      <t>シホンカンケイ</t>
    </rPh>
    <rPh sb="70" eb="72">
      <t>リカイ</t>
    </rPh>
    <rPh sb="74" eb="76">
      <t>マチガ</t>
    </rPh>
    <rPh sb="89" eb="91">
      <t>カンシュウ</t>
    </rPh>
    <rPh sb="92" eb="93">
      <t>タイ</t>
    </rPh>
    <rPh sb="117" eb="118">
      <t>ナド</t>
    </rPh>
    <rPh sb="119" eb="121">
      <t>ホンケン</t>
    </rPh>
    <rPh sb="131" eb="132">
      <t>オヨ</t>
    </rPh>
    <rPh sb="133" eb="136">
      <t>キシダサマ</t>
    </rPh>
    <rPh sb="136" eb="138">
      <t>コジン</t>
    </rPh>
    <rPh sb="139" eb="141">
      <t>ジュジュ</t>
    </rPh>
    <rPh sb="146" eb="148">
      <t>バアイ</t>
    </rPh>
    <rPh sb="151" eb="153">
      <t>キンガク</t>
    </rPh>
    <rPh sb="155" eb="157">
      <t>キョウジ</t>
    </rPh>
    <phoneticPr fontId="2"/>
  </si>
  <si>
    <t xml:space="preserve">従業員の方の給与情報含む下記情報をご開示お願い致します（個人名は記載不要です）。
- 直近期における給料手当の金額
- 所属（キッチンorサービス）
- 年齢
- 勤続年数 </t>
    <rPh sb="0" eb="3">
      <t>ジュウギョウイン</t>
    </rPh>
    <rPh sb="4" eb="5">
      <t>カタ</t>
    </rPh>
    <rPh sb="6" eb="10">
      <t>キュウヨジョウホウ</t>
    </rPh>
    <rPh sb="10" eb="11">
      <t>フク</t>
    </rPh>
    <rPh sb="12" eb="16">
      <t>カキジョウホウ</t>
    </rPh>
    <rPh sb="18" eb="20">
      <t>カイジ</t>
    </rPh>
    <rPh sb="21" eb="22">
      <t>ネガ</t>
    </rPh>
    <rPh sb="23" eb="24">
      <t>イタ</t>
    </rPh>
    <rPh sb="28" eb="31">
      <t>コジンメイ</t>
    </rPh>
    <rPh sb="32" eb="34">
      <t>キサイ</t>
    </rPh>
    <rPh sb="34" eb="36">
      <t>フヨウ</t>
    </rPh>
    <rPh sb="43" eb="45">
      <t>チョッキン</t>
    </rPh>
    <rPh sb="45" eb="46">
      <t>キ</t>
    </rPh>
    <rPh sb="50" eb="52">
      <t>キュウリョウ</t>
    </rPh>
    <rPh sb="52" eb="54">
      <t>テアテ</t>
    </rPh>
    <rPh sb="55" eb="57">
      <t>キンガク</t>
    </rPh>
    <rPh sb="60" eb="62">
      <t>ショゾク</t>
    </rPh>
    <rPh sb="77" eb="79">
      <t>ネンレイ</t>
    </rPh>
    <rPh sb="82" eb="86">
      <t>キンゾクネンスウ</t>
    </rPh>
    <phoneticPr fontId="2"/>
  </si>
  <si>
    <t>過去5年間における従業員数の推移（入退社の人数含む）をご開示お願い致します（退社した社員につきましては、退社時点の勤続年数もご教示お願いいたします。）。</t>
    <rPh sb="0" eb="2">
      <t>カコ</t>
    </rPh>
    <rPh sb="3" eb="5">
      <t>ネンカン</t>
    </rPh>
    <rPh sb="9" eb="12">
      <t>ジュウギョウイン</t>
    </rPh>
    <rPh sb="12" eb="13">
      <t>スウ</t>
    </rPh>
    <rPh sb="14" eb="16">
      <t>スイイ</t>
    </rPh>
    <rPh sb="17" eb="20">
      <t>ニュウタイシャ</t>
    </rPh>
    <rPh sb="21" eb="23">
      <t>ニンズウ</t>
    </rPh>
    <rPh sb="23" eb="24">
      <t>フク</t>
    </rPh>
    <rPh sb="28" eb="30">
      <t>カイジ</t>
    </rPh>
    <rPh sb="31" eb="32">
      <t>ネガ</t>
    </rPh>
    <rPh sb="33" eb="34">
      <t>イタ</t>
    </rPh>
    <rPh sb="38" eb="40">
      <t>タイシャ</t>
    </rPh>
    <rPh sb="42" eb="44">
      <t>シャイン</t>
    </rPh>
    <rPh sb="52" eb="56">
      <t>タイシャジテン</t>
    </rPh>
    <rPh sb="57" eb="61">
      <t>キンゾクネンスウ</t>
    </rPh>
    <rPh sb="63" eb="65">
      <t>キョウジ</t>
    </rPh>
    <rPh sb="66" eb="67">
      <t>ネガ</t>
    </rPh>
    <phoneticPr fontId="2"/>
  </si>
  <si>
    <t>従業員の方々への給与支給及び日々の労務管理について、以下ご教示いただけますでしょうか。
①過去5年間における36協定の遵守状況
②残業代支給の有無及び支給形態（実働額を支給 or 裁量労働制により毎月の給与に含んでいる or みなし残業により、毎月定額支給している。等）
③未払残業代があればその金額（過去３年間）
④労働時間の管理方法（タイムカード or 手書きで入力等）
⑤可能であれば、給与規定をご提供いただけますと幸いです。</t>
    <rPh sb="0" eb="3">
      <t>ジュウギョウイン</t>
    </rPh>
    <rPh sb="4" eb="6">
      <t>カタガタ</t>
    </rPh>
    <rPh sb="8" eb="10">
      <t>キュウヨ</t>
    </rPh>
    <rPh sb="10" eb="12">
      <t>シキュウ</t>
    </rPh>
    <rPh sb="12" eb="13">
      <t>オヨ</t>
    </rPh>
    <rPh sb="26" eb="28">
      <t>イカ</t>
    </rPh>
    <rPh sb="29" eb="31">
      <t>キョウジ</t>
    </rPh>
    <rPh sb="45" eb="47">
      <t>カコ</t>
    </rPh>
    <rPh sb="48" eb="50">
      <t>ネンカン</t>
    </rPh>
    <rPh sb="56" eb="58">
      <t>キョウテイ</t>
    </rPh>
    <rPh sb="59" eb="63">
      <t>ジュンシュジョウキョウ</t>
    </rPh>
    <rPh sb="68" eb="70">
      <t>シキュウ</t>
    </rPh>
    <rPh sb="84" eb="86">
      <t>シキュウ</t>
    </rPh>
    <rPh sb="90" eb="95">
      <t>サイリョウロウドウセイ</t>
    </rPh>
    <rPh sb="98" eb="100">
      <t>マイツキ</t>
    </rPh>
    <rPh sb="101" eb="103">
      <t>キュウヨ</t>
    </rPh>
    <rPh sb="104" eb="105">
      <t>フク</t>
    </rPh>
    <rPh sb="116" eb="118">
      <t>ザンギョウ</t>
    </rPh>
    <rPh sb="122" eb="124">
      <t>マイツキ</t>
    </rPh>
    <rPh sb="124" eb="126">
      <t>テイガク</t>
    </rPh>
    <rPh sb="126" eb="128">
      <t>シキュウ</t>
    </rPh>
    <rPh sb="133" eb="134">
      <t>ナド</t>
    </rPh>
    <rPh sb="137" eb="142">
      <t>ミバライザンギョウダイ</t>
    </rPh>
    <rPh sb="148" eb="150">
      <t>キンガク</t>
    </rPh>
    <rPh sb="151" eb="153">
      <t>カコ</t>
    </rPh>
    <rPh sb="154" eb="156">
      <t>ネンカン</t>
    </rPh>
    <phoneticPr fontId="2"/>
  </si>
  <si>
    <t>岸田様の役員報酬に関連して、以下ご教示いただけますでしょうか。
①25/12期決算書によると、(1)役員報酬60万（定期同額給与）、(2)役員賞与9,540万（事前確定届出給与）とされておりますが、(1)役員報酬に極端に寄せて設定されている背景
②本件実施後の役員報酬及び役員賞与としてどのように想定されているか（監修以前、監修後のそれぞれ）</t>
    <rPh sb="110" eb="111">
      <t>ヨ</t>
    </rPh>
    <rPh sb="134" eb="135">
      <t>オヨ</t>
    </rPh>
    <rPh sb="136" eb="140">
      <t>ヤクインショウヨ</t>
    </rPh>
    <rPh sb="157" eb="161">
      <t>カンシュウイゼン</t>
    </rPh>
    <rPh sb="162" eb="165">
      <t>カンシュウゴ</t>
    </rPh>
    <phoneticPr fontId="2"/>
  </si>
  <si>
    <t>バックオフィス業務は岸田様がご担当されていると伺っておりますが、このうち現預金の管理方法について、どなたがどのようにご対応されているかについて、以下を含めてご教示いただけますでしょうか。
①日々の売上の管理方法及び担当者（ホールスタッフないし岸田様が、売上を日報に記載の上、カード、QR及び現金売上の合計と一致していることのチェック等）
②伝票が紛失していないことの確認方法及び担当者（ホールスタッフないし岸田様が、上記①の売上確認時にダブルチェックで対応している等）
③現金売上の翌日の取り扱い及び担当者（ホールスタッフないし岸田様が、前日売上を銀行口座に入金に行っている or 数日分を金庫に保管の上、特定の曜日にまとめて行っている等。）</t>
    <rPh sb="7" eb="9">
      <t>ギョウム</t>
    </rPh>
    <rPh sb="10" eb="13">
      <t>キシダサマ</t>
    </rPh>
    <rPh sb="15" eb="17">
      <t>タントウ</t>
    </rPh>
    <rPh sb="23" eb="24">
      <t>ウカガ</t>
    </rPh>
    <rPh sb="36" eb="39">
      <t>ゲンヨキン</t>
    </rPh>
    <rPh sb="40" eb="44">
      <t>カンリホウホウ</t>
    </rPh>
    <rPh sb="59" eb="61">
      <t>タイオウ</t>
    </rPh>
    <rPh sb="79" eb="81">
      <t>キョウジ</t>
    </rPh>
    <rPh sb="95" eb="97">
      <t>ヒビ</t>
    </rPh>
    <rPh sb="98" eb="100">
      <t>ウリアゲ</t>
    </rPh>
    <rPh sb="101" eb="105">
      <t>カンリホウホウ</t>
    </rPh>
    <rPh sb="105" eb="106">
      <t>オヨ</t>
    </rPh>
    <rPh sb="107" eb="110">
      <t>タントウシャ</t>
    </rPh>
    <rPh sb="121" eb="123">
      <t>キシダ</t>
    </rPh>
    <rPh sb="123" eb="124">
      <t>サマ</t>
    </rPh>
    <rPh sb="126" eb="128">
      <t>ウリアゲ</t>
    </rPh>
    <rPh sb="129" eb="131">
      <t>ニッポウ</t>
    </rPh>
    <rPh sb="132" eb="134">
      <t>キサイ</t>
    </rPh>
    <rPh sb="135" eb="136">
      <t>ウエ</t>
    </rPh>
    <rPh sb="143" eb="144">
      <t>オヨ</t>
    </rPh>
    <rPh sb="147" eb="149">
      <t>ウリアゲ</t>
    </rPh>
    <rPh sb="150" eb="152">
      <t>ゴウケイ</t>
    </rPh>
    <rPh sb="153" eb="155">
      <t>イッチ</t>
    </rPh>
    <rPh sb="166" eb="167">
      <t>ナド</t>
    </rPh>
    <rPh sb="170" eb="172">
      <t>デンピョウ</t>
    </rPh>
    <rPh sb="173" eb="175">
      <t>フンシツ</t>
    </rPh>
    <rPh sb="183" eb="185">
      <t>カクニン</t>
    </rPh>
    <rPh sb="185" eb="187">
      <t>ホウホウ</t>
    </rPh>
    <rPh sb="187" eb="188">
      <t>オヨ</t>
    </rPh>
    <rPh sb="189" eb="192">
      <t>タントウシャ</t>
    </rPh>
    <rPh sb="208" eb="210">
      <t>ジョウキ</t>
    </rPh>
    <rPh sb="212" eb="214">
      <t>ウリアゲ</t>
    </rPh>
    <rPh sb="214" eb="217">
      <t>カクニンジ</t>
    </rPh>
    <rPh sb="226" eb="228">
      <t>タイオウ</t>
    </rPh>
    <rPh sb="232" eb="233">
      <t>ナド</t>
    </rPh>
    <rPh sb="236" eb="238">
      <t>ゲンキン</t>
    </rPh>
    <rPh sb="238" eb="240">
      <t>ウリアゲ</t>
    </rPh>
    <rPh sb="241" eb="243">
      <t>ヨクジツ</t>
    </rPh>
    <rPh sb="244" eb="245">
      <t>ト</t>
    </rPh>
    <rPh sb="246" eb="247">
      <t>アツカ</t>
    </rPh>
    <rPh sb="248" eb="249">
      <t>オヨ</t>
    </rPh>
    <rPh sb="250" eb="253">
      <t>タントウシャ</t>
    </rPh>
    <rPh sb="269" eb="271">
      <t>ゼンジツ</t>
    </rPh>
    <rPh sb="271" eb="273">
      <t>ウリアゲ</t>
    </rPh>
    <rPh sb="274" eb="278">
      <t>ギンコウコウザ</t>
    </rPh>
    <rPh sb="279" eb="281">
      <t>ニュウキン</t>
    </rPh>
    <rPh sb="282" eb="283">
      <t>イ</t>
    </rPh>
    <rPh sb="291" eb="294">
      <t>スウジツブン</t>
    </rPh>
    <rPh sb="295" eb="297">
      <t>キンコ</t>
    </rPh>
    <rPh sb="298" eb="300">
      <t>ホカン</t>
    </rPh>
    <rPh sb="301" eb="302">
      <t>ウエ</t>
    </rPh>
    <rPh sb="303" eb="305">
      <t>トクテイ</t>
    </rPh>
    <rPh sb="306" eb="308">
      <t>ヨウビ</t>
    </rPh>
    <rPh sb="313" eb="314">
      <t>オコナ</t>
    </rPh>
    <rPh sb="318" eb="319">
      <t>ナド</t>
    </rPh>
    <phoneticPr fontId="2"/>
  </si>
  <si>
    <t>20年連続増収増益および2025年12月期の高利益率について、主要な増減要因と一過性要因の有無をお聞かせください。</t>
    <phoneticPr fontId="2"/>
  </si>
  <si>
    <t>取引先との契約において、株主や社長が変わる場合に事前にその旨を伝えなければならない条項（チェンジオブコントロール条項）があれば、該当する取引先及び取引内容をご教示いただけますでしょうか。
（貴社は100を超える生産者の方々との取引があると理解しておりますが、これら1社1社においてそのような条項ないし実質的に同様の取り決めがある場合は、特に重要な取引先についてご教示いただければと存じます。）</t>
    <rPh sb="0" eb="2">
      <t>トリヒキ</t>
    </rPh>
    <rPh sb="2" eb="3">
      <t>サキ</t>
    </rPh>
    <rPh sb="5" eb="7">
      <t>ケイヤク</t>
    </rPh>
    <rPh sb="12" eb="14">
      <t>カブヌシ</t>
    </rPh>
    <rPh sb="15" eb="17">
      <t>シャチョウ</t>
    </rPh>
    <rPh sb="18" eb="19">
      <t>カ</t>
    </rPh>
    <rPh sb="21" eb="23">
      <t>バアイ</t>
    </rPh>
    <rPh sb="24" eb="26">
      <t>ジゼン</t>
    </rPh>
    <rPh sb="29" eb="30">
      <t>ムネ</t>
    </rPh>
    <rPh sb="31" eb="32">
      <t>ツタ</t>
    </rPh>
    <rPh sb="41" eb="43">
      <t>ジョウコウ</t>
    </rPh>
    <rPh sb="56" eb="58">
      <t>ジョウコウ</t>
    </rPh>
    <rPh sb="64" eb="66">
      <t>ガイトウ</t>
    </rPh>
    <rPh sb="68" eb="70">
      <t>トリヒキ</t>
    </rPh>
    <rPh sb="70" eb="71">
      <t>サキ</t>
    </rPh>
    <rPh sb="71" eb="72">
      <t>オヨ</t>
    </rPh>
    <rPh sb="73" eb="75">
      <t>トリヒキ</t>
    </rPh>
    <rPh sb="75" eb="77">
      <t>ナイヨウ</t>
    </rPh>
    <rPh sb="79" eb="81">
      <t>キョウジ</t>
    </rPh>
    <rPh sb="95" eb="97">
      <t>キシャ</t>
    </rPh>
    <rPh sb="102" eb="103">
      <t>コ</t>
    </rPh>
    <rPh sb="105" eb="108">
      <t>セイサンシャ</t>
    </rPh>
    <rPh sb="109" eb="111">
      <t>カタガタ</t>
    </rPh>
    <rPh sb="133" eb="134">
      <t>シャ</t>
    </rPh>
    <rPh sb="135" eb="136">
      <t>シャ</t>
    </rPh>
    <rPh sb="145" eb="147">
      <t>ジョウコウ</t>
    </rPh>
    <rPh sb="150" eb="152">
      <t>ジッシツ</t>
    </rPh>
    <rPh sb="152" eb="153">
      <t>テキ</t>
    </rPh>
    <rPh sb="154" eb="156">
      <t>ドウヨウ</t>
    </rPh>
    <rPh sb="157" eb="158">
      <t>ト</t>
    </rPh>
    <rPh sb="159" eb="160">
      <t>キ</t>
    </rPh>
    <rPh sb="164" eb="166">
      <t>バアイ</t>
    </rPh>
    <rPh sb="168" eb="169">
      <t>トク</t>
    </rPh>
    <rPh sb="170" eb="172">
      <t>ジュウヨウ</t>
    </rPh>
    <rPh sb="173" eb="176">
      <t>トリヒキサキ</t>
    </rPh>
    <rPh sb="181" eb="183">
      <t>キョウジ</t>
    </rPh>
    <rPh sb="190" eb="191">
      <t>ゾン</t>
    </rPh>
    <phoneticPr fontId="2"/>
  </si>
  <si>
    <t>冷凍チーズケーキの物販に関しましては、活況の為、オンライン予約での抽選になっていると理解しております。現状、抽選において、どれくらいの販売個数枠に対して、どれくらいの抽選申し込み数があるか、ご教示お願いいたします。</t>
    <rPh sb="0" eb="2">
      <t>レイトウ</t>
    </rPh>
    <rPh sb="9" eb="11">
      <t>ブッパン</t>
    </rPh>
    <rPh sb="12" eb="13">
      <t>カン</t>
    </rPh>
    <rPh sb="19" eb="21">
      <t>カッキョウ</t>
    </rPh>
    <rPh sb="22" eb="23">
      <t>タメ</t>
    </rPh>
    <rPh sb="29" eb="31">
      <t>ヨヤク</t>
    </rPh>
    <rPh sb="33" eb="35">
      <t>チュウセン</t>
    </rPh>
    <rPh sb="42" eb="44">
      <t>リカイ</t>
    </rPh>
    <rPh sb="51" eb="53">
      <t>ゲンジョウ</t>
    </rPh>
    <rPh sb="54" eb="56">
      <t>チュウセン</t>
    </rPh>
    <rPh sb="67" eb="69">
      <t>ハンバイ</t>
    </rPh>
    <rPh sb="69" eb="71">
      <t>コスウ</t>
    </rPh>
    <rPh sb="71" eb="72">
      <t>ワク</t>
    </rPh>
    <rPh sb="73" eb="74">
      <t>タイ</t>
    </rPh>
    <rPh sb="83" eb="86">
      <t>チュウセンモウ</t>
    </rPh>
    <rPh sb="87" eb="88">
      <t>コ</t>
    </rPh>
    <rPh sb="89" eb="90">
      <t>スウ</t>
    </rPh>
    <rPh sb="96" eb="98">
      <t>キョウジ</t>
    </rPh>
    <rPh sb="99" eb="100">
      <t>ネガ</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</si>
</sst>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d"/>
  </numFmts>
  <fonts count="9" x14ac:knownFonts="1">
    <font>
      <sz val="11"/>
      <color theme="1"/>
      <name val="游ゴシック"/>
      <family val="2"/>
      <charset val="128"/>
      <scheme val="minor"/>
    </font>
    <font>
      <b/>
      <sz val="11"/>
      <color theme="0"/>
      <name val="Meiryo UI"/>
      <family val="3"/>
      <charset val="128"/>
    </font>
    <font>
      <sz val="6"/>
      <name val="游ゴシック"/>
      <family val="2"/>
      <charset val="128"/>
      <scheme val="minor"/>
    </font>
    <font>
      <sz val="10"/>
      <color theme="1"/>
      <name val="Meiryo UI"/>
      <family val="3"/>
      <charset val="128"/>
    </font>
    <font>
      <sz val="10"/>
      <name val="Meiryo UI"/>
      <family val="3"/>
      <charset val="128"/>
    </font>
    <font>
      <b/>
      <sz val="10"/>
      <color rgb="FFFFFFFF"/>
      <name val="Meiryo UI"/>
      <family val="3"/>
      <charset val="128"/>
    </font>
    <font>
      <sz val="6"/>
      <name val="游ゴシック"/>
      <family val="3"/>
      <charset val="128"/>
      <scheme val="minor"/>
    </font>
    <font>
      <sz val="9"/>
      <color rgb="FF666666"/>
      <name val="Meiryo UI"/>
      <family val="3"/>
      <charset val="128"/>
    </font>
    <font>
      <sz val="9"/>
      <color rgb="FF000000"/>
      <name val="Meiryo UI"/>
      <family val="3"/>
      <charset val="128"/>
    </font>
  </fonts>
  <fills count="7">
    <fill>
      <patternFill patternType="none"/>
    </fill>
    <fill>
      <patternFill patternType="gray125"/>
    </fill>
    <fill>
      <patternFill patternType="solid">
        <fgColor rgb="FF002060"/>
        <bgColor indexed="64"/>
      </patternFill>
    </fill>
    <fill>
      <patternFill patternType="solid">
        <fgColor theme="5"/>
        <bgColor indexed="64"/>
      </patternFill>
    </fill>
    <fill>
      <patternFill patternType="solid">
        <fgColor theme="0"/>
        <bgColor indexed="64"/>
      </patternFill>
    </fill>
    <fill>
      <patternFill patternType="solid">
        <fgColor rgb="FF0F6B78"/>
      </patternFill>
    </fill>
    <fill>
      <patternFill patternType="solid">
        <fgColor rgb="FFD9EAF7"/>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thin">
        <color indexed="64"/>
      </right>
      <top style="dotted">
        <color indexed="64"/>
      </top>
      <bottom style="dotted">
        <color indexed="64"/>
      </bottom>
      <diagonal/>
    </border>
    <border>
      <left/>
      <right/>
      <top/>
      <bottom style="hair">
        <color rgb="FFBFBFBF"/>
      </bottom>
      <diagonal/>
    </border>
  </borders>
  <cellStyleXfs count="1">
    <xf numFmtId="0" fontId="0" fillId="0" borderId="0">
      <alignment vertical="center"/>
    </xf>
  </cellStyleXfs>
  <cellXfs count="20">
    <xf numFmtId="0" fontId="0" fillId="0" borderId="0" xfId="0">
      <alignment vertical="center"/>
    </xf>
    <xf numFmtId="176"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top"/>
    </xf>
    <xf numFmtId="0" fontId="1" fillId="3" borderId="1" xfId="0" applyFont="1" applyFill="1" applyBorder="1" applyAlignment="1">
      <alignment horizontal="center" vertical="top" wrapText="1"/>
    </xf>
    <xf numFmtId="14" fontId="3" fillId="0" borderId="2"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4" fillId="0" borderId="3" xfId="0" applyFont="1" applyBorder="1" applyAlignment="1">
      <alignment horizontal="center" vertical="center" wrapText="1"/>
    </xf>
    <xf numFmtId="0" fontId="4" fillId="4" borderId="3" xfId="0" applyFont="1" applyFill="1" applyBorder="1" applyAlignment="1">
      <alignment horizontal="center" vertical="center" wrapText="1"/>
    </xf>
    <xf numFmtId="0" fontId="3" fillId="0" borderId="3" xfId="0" applyFont="1" applyBorder="1" applyAlignment="1">
      <alignment horizontal="justify" vertical="top" wrapText="1"/>
    </xf>
    <xf numFmtId="0" fontId="3" fillId="0" borderId="4" xfId="0" applyFont="1" applyBorder="1" applyAlignment="1">
      <alignment vertical="top" wrapText="1"/>
    </xf>
    <xf numFmtId="0" fontId="0" fillId="0" borderId="0" xfId="0" applyAlignment="1"/>
    <xf numFmtId="0" fontId="5" fillId="5" borderId="5" xfId="0" applyFont="1" applyFill="1" applyBorder="1" applyAlignment="1">
      <alignment horizontal="center" vertical="center" wrapText="1"/>
    </xf>
    <xf numFmtId="0" fontId="7" fillId="0" borderId="5" xfId="0" applyFont="1" applyBorder="1" applyAlignment="1">
      <alignment horizontal="center" vertical="top" wrapText="1"/>
    </xf>
    <xf numFmtId="0" fontId="7" fillId="6" borderId="5" xfId="0" applyFont="1" applyFill="1" applyBorder="1" applyAlignment="1">
      <alignment horizontal="left" vertical="top" wrapText="1"/>
    </xf>
    <xf numFmtId="0" fontId="7" fillId="0" borderId="5" xfId="0" applyFont="1" applyBorder="1" applyAlignment="1">
      <alignment horizontal="left" vertical="top" wrapText="1"/>
    </xf>
    <xf numFmtId="0" fontId="8" fillId="0" borderId="5" xfId="0" applyFont="1" applyBorder="1" applyAlignment="1">
      <alignment horizontal="left" vertical="top" wrapText="1"/>
    </xf>
    <xf numFmtId="0" fontId="4" fillId="0" borderId="3" xfId="0" applyFont="1" applyBorder="1" applyAlignment="1">
      <alignment horizontal="justify" vertical="center" wrapText="1"/>
    </xf>
    <xf numFmtId="0" fontId="3" fillId="4" borderId="4" xfId="0" applyFont="1" applyFill="1" applyBorder="1" applyAlignment="1">
      <alignment vertical="center" wrapText="1"/>
    </xf>
    <xf numFmtId="0" fontId="4" fillId="4" borderId="3" xfId="0" applyFont="1" applyFill="1" applyBorder="1" applyAlignment="1">
      <alignment horizontal="justify" vertical="center" wrapText="1"/>
    </xf>
  </cellXfs>
  <cellStyles count="1">
    <cellStyle name="標準" xfId="0" builtinId="0"/>
  </cellStyles>
  <dxfs count="2">
    <dxf>
      <fill>
        <patternFill>
          <bgColor theme="0" tint="-0.24994659260841701"/>
        </patternFill>
      </fill>
    </dxf>
    <dxf>
      <font>
        <b val="0"/>
        <i val="0"/>
        <strike val="0"/>
        <condense val="0"/>
        <extend val="0"/>
        <outline val="0"/>
        <shadow val="0"/>
        <u val="none"/>
        <vertAlign val="baseline"/>
        <sz val="9"/>
        <color rgb="FF000000"/>
        <name val="Meiryo UI"/>
        <family val="3"/>
        <charset val="128"/>
        <scheme val="none"/>
      </font>
      <fill>
        <patternFill patternType="solid">
          <fgColor indexed="64"/>
          <bgColor theme="0"/>
        </patternFill>
      </fill>
      <alignment horizontal="left" vertical="top" textRotation="0" wrapText="1" indent="0" justifyLastLine="0" shrinkToFit="0" readingOrder="0"/>
      <border diagonalUp="0" diagonalDown="0">
        <left/>
        <right/>
        <top/>
        <bottom style="hair">
          <color rgb="FFBFBFBF"/>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4F280E-EAF7-45AF-8534-633C9A4D6D6A}" name="QuestionsTable" displayName="QuestionsTable" ref="B2:F30">
  <autoFilter ref="B2:F30" xr:uid="{F64F280E-EAF7-45AF-8534-633C9A4D6D6A}"/>
  <tableColumns count="5">
    <tableColumn id="1" xr3:uid="{E87D319A-A226-4431-9D22-473F888CAA71}" name="No."/>
    <tableColumn id="2" xr3:uid="{876D5A55-1383-4EFB-AC32-BCEFDB493135}" name="大分類"/>
    <tableColumn id="3" xr3:uid="{E0A10E38-7BDD-48E6-ACC9-5DC345ADB300}" name="中分類"/>
    <tableColumn id="4" xr3:uid="{75F1A1E9-CF99-4661-A1E7-2F632C626150}" name="ご質問"/>
    <tableColumn id="5" xr3:uid="{A7F3D683-C65D-4F8C-AE55-0428BC84F117}" name="回答" dataDxfId="1"/>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F7B4D-E890-4975-B506-EDCAFC074E52}">
  <dimension ref="B2:F37"/>
  <sheetViews>
    <sheetView showGridLines="0" tabSelected="1" workbookViewId="0"/>
  </sheetViews>
  <sheetFormatPr defaultRowHeight="18" x14ac:dyDescent="0.55000000000000004"/>
  <cols>
    <col min="1" max="1" width="2.58203125" customWidth="1"/>
    <col min="5" max="5" width="75" customWidth="1"/>
    <col min="6" max="6" width="89.08203125" customWidth="1"/>
  </cols>
  <sheetData>
    <row r="2" spans="2:6" x14ac:dyDescent="0.55000000000000004">
      <c r="B2" s="1" t="s">
        <v>0</v>
      </c>
      <c r="C2" s="2" t="s">
        <v>1</v>
      </c>
      <c r="D2" s="2" t="s">
        <v>2</v>
      </c>
      <c r="E2" s="3" t="s">
        <v>3</v>
      </c>
      <c r="F2" s="4" t="s">
        <v>4</v>
      </c>
    </row>
    <row r="3" spans="2:6" x14ac:dyDescent="0.55000000000000004">
      <c r="B3" s="5"/>
      <c r="C3" s="6">
        <f>ROW()-2</f>
        <v>1</v>
      </c>
      <c r="D3" s="7" t="s">
        <v>5</v>
      </c>
      <c r="E3" s="17" t="s">
        <v>165</v>
      </c>
      <c r="F3" s="18" t="s">
        <v>6</v>
      </c>
    </row>
    <row r="4" spans="2:6" x14ac:dyDescent="0.55000000000000004">
      <c r="B4" s="5"/>
      <c r="C4" s="6">
        <f t="shared" ref="C4:C36" si="0">ROW()-2</f>
        <v>2</v>
      </c>
      <c r="D4" s="7" t="s">
        <v>5</v>
      </c>
      <c r="E4" s="17" t="s">
        <v>164</v>
      </c>
      <c r="F4" s="18" t="s">
        <v>7</v>
      </c>
    </row>
    <row r="5" spans="2:6" x14ac:dyDescent="0.55000000000000004">
      <c r="B5" s="5"/>
      <c r="C5" s="6">
        <f t="shared" si="0"/>
        <v>3</v>
      </c>
      <c r="D5" s="7" t="s">
        <v>5</v>
      </c>
      <c r="E5" s="17" t="s">
        <v>166</v>
      </c>
      <c r="F5" s="18" t="s">
        <v>8</v>
      </c>
    </row>
    <row r="6" spans="2:6" ht="67.5" x14ac:dyDescent="0.55000000000000004">
      <c r="B6" s="5"/>
      <c r="C6" s="6">
        <f t="shared" si="0"/>
        <v>4</v>
      </c>
      <c r="D6" s="7" t="s">
        <v>5</v>
      </c>
      <c r="E6" s="17" t="s">
        <v>167</v>
      </c>
      <c r="F6" s="18" t="s">
        <v>9</v>
      </c>
    </row>
    <row r="7" spans="2:6" ht="54" x14ac:dyDescent="0.55000000000000004">
      <c r="B7" s="5"/>
      <c r="C7" s="6">
        <f t="shared" si="0"/>
        <v>5</v>
      </c>
      <c r="D7" s="7" t="s">
        <v>5</v>
      </c>
      <c r="E7" s="17" t="s">
        <v>168</v>
      </c>
      <c r="F7" s="18" t="s">
        <v>10</v>
      </c>
    </row>
    <row r="8" spans="2:6" ht="67.5" x14ac:dyDescent="0.55000000000000004">
      <c r="B8" s="5"/>
      <c r="C8" s="6">
        <f t="shared" si="0"/>
        <v>6</v>
      </c>
      <c r="D8" s="8" t="s">
        <v>11</v>
      </c>
      <c r="E8" s="19" t="s">
        <v>169</v>
      </c>
      <c r="F8" s="18" t="s">
        <v>21</v>
      </c>
    </row>
    <row r="9" spans="2:6" ht="27" x14ac:dyDescent="0.55000000000000004">
      <c r="B9" s="5"/>
      <c r="C9" s="6">
        <f t="shared" si="0"/>
        <v>7</v>
      </c>
      <c r="D9" s="8" t="s">
        <v>11</v>
      </c>
      <c r="E9" s="19" t="s">
        <v>170</v>
      </c>
      <c r="F9" s="18" t="s">
        <v>22</v>
      </c>
    </row>
    <row r="10" spans="2:6" ht="162" x14ac:dyDescent="0.55000000000000004">
      <c r="B10" s="5"/>
      <c r="C10" s="6">
        <f t="shared" si="0"/>
        <v>8</v>
      </c>
      <c r="D10" s="8" t="s">
        <v>11</v>
      </c>
      <c r="E10" s="19" t="s">
        <v>171</v>
      </c>
      <c r="F10" s="18" t="s">
        <v>23</v>
      </c>
    </row>
    <row r="11" spans="2:6" ht="40.5" x14ac:dyDescent="0.55000000000000004">
      <c r="B11" s="5"/>
      <c r="C11" s="6">
        <f t="shared" si="0"/>
        <v>9</v>
      </c>
      <c r="D11" s="7" t="s">
        <v>149</v>
      </c>
      <c r="E11" s="17" t="s">
        <v>97</v>
      </c>
      <c r="F11" s="18" t="s">
        <v>148</v>
      </c>
    </row>
    <row r="12" spans="2:6" ht="40.5" x14ac:dyDescent="0.55000000000000004">
      <c r="B12" s="5"/>
      <c r="C12" s="6">
        <f t="shared" si="0"/>
        <v>10</v>
      </c>
      <c r="D12" s="7" t="s">
        <v>149</v>
      </c>
      <c r="E12" s="17" t="s">
        <v>150</v>
      </c>
      <c r="F12" s="18" t="s">
        <v>151</v>
      </c>
    </row>
    <row r="13" spans="2:6" ht="40.5" x14ac:dyDescent="0.55000000000000004">
      <c r="B13" s="5"/>
      <c r="C13" s="6">
        <f t="shared" si="0"/>
        <v>11</v>
      </c>
      <c r="D13" s="7" t="s">
        <v>149</v>
      </c>
      <c r="E13" s="17" t="s">
        <v>152</v>
      </c>
      <c r="F13" s="18" t="s">
        <v>153</v>
      </c>
    </row>
    <row r="14" spans="2:6" ht="40.5" x14ac:dyDescent="0.55000000000000004">
      <c r="B14" s="5"/>
      <c r="C14" s="6">
        <f t="shared" si="0"/>
        <v>12</v>
      </c>
      <c r="D14" s="7" t="s">
        <v>149</v>
      </c>
      <c r="E14" s="17" t="s">
        <v>154</v>
      </c>
      <c r="F14" s="18" t="s">
        <v>155</v>
      </c>
    </row>
    <row r="15" spans="2:6" ht="27" x14ac:dyDescent="0.55000000000000004">
      <c r="B15" s="5"/>
      <c r="C15" s="6">
        <f t="shared" si="0"/>
        <v>13</v>
      </c>
      <c r="D15" s="7" t="s">
        <v>149</v>
      </c>
      <c r="E15" s="17" t="s">
        <v>156</v>
      </c>
      <c r="F15" s="18" t="s">
        <v>157</v>
      </c>
    </row>
    <row r="16" spans="2:6" ht="54" x14ac:dyDescent="0.55000000000000004">
      <c r="B16" s="5"/>
      <c r="C16" s="6">
        <f t="shared" si="0"/>
        <v>14</v>
      </c>
      <c r="D16" s="8" t="s">
        <v>12</v>
      </c>
      <c r="E16" s="19" t="s">
        <v>172</v>
      </c>
      <c r="F16" s="18" t="s">
        <v>13</v>
      </c>
    </row>
    <row r="17" spans="2:6" ht="108" x14ac:dyDescent="0.55000000000000004">
      <c r="B17" s="5"/>
      <c r="C17" s="6">
        <f t="shared" si="0"/>
        <v>15</v>
      </c>
      <c r="D17" s="7" t="s">
        <v>12</v>
      </c>
      <c r="E17" s="17" t="s">
        <v>173</v>
      </c>
      <c r="F17" s="18" t="s">
        <v>14</v>
      </c>
    </row>
    <row r="18" spans="2:6" ht="40.5" x14ac:dyDescent="0.55000000000000004">
      <c r="B18" s="5"/>
      <c r="C18" s="6">
        <f t="shared" si="0"/>
        <v>16</v>
      </c>
      <c r="D18" s="7" t="s">
        <v>12</v>
      </c>
      <c r="E18" s="17" t="s">
        <v>174</v>
      </c>
      <c r="F18" s="18" t="s">
        <v>52</v>
      </c>
    </row>
    <row r="19" spans="2:6" ht="27" x14ac:dyDescent="0.55000000000000004">
      <c r="B19" s="5"/>
      <c r="C19" s="6">
        <f t="shared" si="0"/>
        <v>17</v>
      </c>
      <c r="D19" s="7" t="s">
        <v>12</v>
      </c>
      <c r="E19" s="17" t="s">
        <v>54</v>
      </c>
      <c r="F19" s="18" t="s">
        <v>136</v>
      </c>
    </row>
    <row r="20" spans="2:6" ht="27" x14ac:dyDescent="0.55000000000000004">
      <c r="B20" s="5"/>
      <c r="C20" s="6">
        <f t="shared" si="0"/>
        <v>18</v>
      </c>
      <c r="D20" s="7" t="s">
        <v>12</v>
      </c>
      <c r="E20" s="17" t="s">
        <v>59</v>
      </c>
      <c r="F20" s="18" t="s">
        <v>137</v>
      </c>
    </row>
    <row r="21" spans="2:6" ht="40.5" x14ac:dyDescent="0.55000000000000004">
      <c r="B21" s="5"/>
      <c r="C21" s="6">
        <f t="shared" si="0"/>
        <v>19</v>
      </c>
      <c r="D21" s="7" t="s">
        <v>12</v>
      </c>
      <c r="E21" s="17" t="s">
        <v>63</v>
      </c>
      <c r="F21" s="18" t="s">
        <v>138</v>
      </c>
    </row>
    <row r="22" spans="2:6" ht="54" x14ac:dyDescent="0.55000000000000004">
      <c r="B22" s="5"/>
      <c r="C22" s="6">
        <f t="shared" si="0"/>
        <v>20</v>
      </c>
      <c r="D22" s="7" t="s">
        <v>12</v>
      </c>
      <c r="E22" s="17" t="s">
        <v>67</v>
      </c>
      <c r="F22" s="18" t="s">
        <v>139</v>
      </c>
    </row>
    <row r="23" spans="2:6" ht="27" x14ac:dyDescent="0.55000000000000004">
      <c r="B23" s="5"/>
      <c r="C23" s="6">
        <f t="shared" si="0"/>
        <v>21</v>
      </c>
      <c r="D23" s="7" t="s">
        <v>12</v>
      </c>
      <c r="E23" s="17" t="s">
        <v>71</v>
      </c>
      <c r="F23" s="18" t="s">
        <v>140</v>
      </c>
    </row>
    <row r="24" spans="2:6" ht="67.5" x14ac:dyDescent="0.55000000000000004">
      <c r="B24" s="5"/>
      <c r="C24" s="6">
        <f t="shared" si="0"/>
        <v>22</v>
      </c>
      <c r="D24" s="7" t="s">
        <v>15</v>
      </c>
      <c r="E24" s="17" t="s">
        <v>175</v>
      </c>
      <c r="F24" s="18" t="s">
        <v>16</v>
      </c>
    </row>
    <row r="25" spans="2:6" ht="40.5" x14ac:dyDescent="0.55000000000000004">
      <c r="B25" s="5"/>
      <c r="C25" s="6">
        <f t="shared" si="0"/>
        <v>23</v>
      </c>
      <c r="D25" s="7" t="s">
        <v>15</v>
      </c>
      <c r="E25" s="17" t="s">
        <v>162</v>
      </c>
      <c r="F25" s="18" t="s">
        <v>163</v>
      </c>
    </row>
    <row r="26" spans="2:6" ht="54" x14ac:dyDescent="0.55000000000000004">
      <c r="B26" s="5"/>
      <c r="C26" s="6">
        <f t="shared" si="0"/>
        <v>24</v>
      </c>
      <c r="D26" s="7" t="s">
        <v>17</v>
      </c>
      <c r="E26" s="17" t="s">
        <v>176</v>
      </c>
      <c r="F26" s="18" t="s">
        <v>18</v>
      </c>
    </row>
    <row r="27" spans="2:6" ht="54" x14ac:dyDescent="0.55000000000000004">
      <c r="B27" s="5"/>
      <c r="C27" s="6">
        <f t="shared" si="0"/>
        <v>25</v>
      </c>
      <c r="D27" s="7" t="s">
        <v>17</v>
      </c>
      <c r="E27" s="17" t="s">
        <v>24</v>
      </c>
      <c r="F27" s="18" t="s">
        <v>19</v>
      </c>
    </row>
    <row r="28" spans="2:6" ht="40.5" x14ac:dyDescent="0.55000000000000004">
      <c r="B28" s="5"/>
      <c r="C28" s="6">
        <f t="shared" si="0"/>
        <v>26</v>
      </c>
      <c r="D28" s="7" t="s">
        <v>17</v>
      </c>
      <c r="E28" s="17" t="s">
        <v>25</v>
      </c>
      <c r="F28" s="18" t="s">
        <v>20</v>
      </c>
    </row>
    <row r="29" spans="2:6" ht="54" x14ac:dyDescent="0.55000000000000004">
      <c r="B29" s="5"/>
      <c r="C29" s="6">
        <f t="shared" si="0"/>
        <v>27</v>
      </c>
      <c r="D29" s="7" t="s">
        <v>17</v>
      </c>
      <c r="E29" s="17" t="s">
        <v>141</v>
      </c>
      <c r="F29" s="18" t="s">
        <v>142</v>
      </c>
    </row>
    <row r="30" spans="2:6" x14ac:dyDescent="0.55000000000000004">
      <c r="B30" s="5"/>
      <c r="C30" s="6">
        <f t="shared" si="0"/>
        <v>28</v>
      </c>
      <c r="D30" s="7" t="s">
        <v>17</v>
      </c>
      <c r="E30" s="17" t="s">
        <v>42</v>
      </c>
      <c r="F30" s="18" t="s">
        <v>143</v>
      </c>
    </row>
    <row r="31" spans="2:6" ht="40.5" x14ac:dyDescent="0.55000000000000004">
      <c r="B31" s="5"/>
      <c r="C31" s="6">
        <f t="shared" si="0"/>
        <v>29</v>
      </c>
      <c r="D31" s="7" t="s">
        <v>17</v>
      </c>
      <c r="E31" s="17" t="s">
        <v>158</v>
      </c>
      <c r="F31" s="18" t="s">
        <v>159</v>
      </c>
    </row>
    <row r="32" spans="2:6" ht="40.5" x14ac:dyDescent="0.55000000000000004">
      <c r="B32" s="5"/>
      <c r="C32" s="6">
        <f t="shared" si="0"/>
        <v>30</v>
      </c>
      <c r="D32" s="7" t="s">
        <v>17</v>
      </c>
      <c r="E32" s="17" t="s">
        <v>160</v>
      </c>
      <c r="F32" s="18" t="s">
        <v>161</v>
      </c>
    </row>
    <row r="33" spans="2:6" ht="54" x14ac:dyDescent="0.55000000000000004">
      <c r="B33" s="5"/>
      <c r="C33" s="6">
        <f t="shared" si="0"/>
        <v>31</v>
      </c>
      <c r="D33" s="7" t="s">
        <v>17</v>
      </c>
      <c r="E33" s="17" t="s">
        <v>76</v>
      </c>
      <c r="F33" s="18" t="s">
        <v>144</v>
      </c>
    </row>
    <row r="34" spans="2:6" ht="27" x14ac:dyDescent="0.55000000000000004">
      <c r="B34" s="5"/>
      <c r="C34" s="6">
        <f t="shared" si="0"/>
        <v>32</v>
      </c>
      <c r="D34" s="7" t="s">
        <v>17</v>
      </c>
      <c r="E34" s="17" t="s">
        <v>80</v>
      </c>
      <c r="F34" s="18" t="s">
        <v>145</v>
      </c>
    </row>
    <row r="35" spans="2:6" ht="27" x14ac:dyDescent="0.55000000000000004">
      <c r="B35" s="5"/>
      <c r="C35" s="6">
        <f t="shared" si="0"/>
        <v>33</v>
      </c>
      <c r="D35" s="7" t="s">
        <v>17</v>
      </c>
      <c r="E35" s="17" t="s">
        <v>84</v>
      </c>
      <c r="F35" s="18" t="s">
        <v>146</v>
      </c>
    </row>
    <row r="36" spans="2:6" ht="67.5" x14ac:dyDescent="0.55000000000000004">
      <c r="B36" s="5"/>
      <c r="C36" s="6">
        <f t="shared" si="0"/>
        <v>34</v>
      </c>
      <c r="D36" s="7" t="s">
        <v>17</v>
      </c>
      <c r="E36" s="17" t="s">
        <v>89</v>
      </c>
      <c r="F36" s="18" t="s">
        <v>147</v>
      </c>
    </row>
    <row r="37" spans="2:6" x14ac:dyDescent="0.55000000000000004">
      <c r="B37" s="5"/>
      <c r="C37" s="6"/>
      <c r="D37" s="6"/>
      <c r="E37" s="9"/>
      <c r="F37" s="10"/>
    </row>
  </sheetData>
  <phoneticPr fontId="2"/>
  <conditionalFormatting sqref="B3:F37">
    <cfRule type="expression" dxfId="0" priority="3">
      <formula>#REF!="Close"</formula>
    </cfRule>
  </conditionalFormatting>
  <pageMargins left="0.7" right="0.7" top="0.75" bottom="0.75" header="0.3" footer="0.3"/>
  <pageSetup paperSize="9" orientation="portrait" copies="6"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221A2-AD54-4AB6-A836-0D30513ACCCD}">
  <dimension ref="B1:F30"/>
  <sheetViews>
    <sheetView showGridLines="0" workbookViewId="0">
      <selection activeCell="E5" sqref="E5"/>
    </sheetView>
  </sheetViews>
  <sheetFormatPr defaultRowHeight="18" x14ac:dyDescent="0.55000000000000004"/>
  <cols>
    <col min="1" max="1" width="3.5" customWidth="1"/>
    <col min="2" max="2" width="8.75" bestFit="1" customWidth="1"/>
    <col min="3" max="3" width="9" customWidth="1"/>
    <col min="5" max="5" width="51.75" customWidth="1"/>
    <col min="6" max="6" width="70.83203125" customWidth="1"/>
  </cols>
  <sheetData>
    <row r="1" spans="2:6" x14ac:dyDescent="0.55000000000000004">
      <c r="B1" s="11"/>
      <c r="C1" s="11"/>
      <c r="D1" s="11"/>
      <c r="E1" s="11"/>
      <c r="F1" s="11"/>
    </row>
    <row r="2" spans="2:6" x14ac:dyDescent="0.55000000000000004">
      <c r="B2" s="12" t="s">
        <v>26</v>
      </c>
      <c r="C2" s="12" t="s">
        <v>27</v>
      </c>
      <c r="D2" s="12" t="s">
        <v>28</v>
      </c>
      <c r="E2" s="12" t="s">
        <v>29</v>
      </c>
      <c r="F2" s="12" t="s">
        <v>30</v>
      </c>
    </row>
    <row r="3" spans="2:6" ht="60.75" customHeight="1" x14ac:dyDescent="0.55000000000000004">
      <c r="B3" s="13">
        <v>1</v>
      </c>
      <c r="C3" s="14" t="s">
        <v>31</v>
      </c>
      <c r="D3" s="15" t="s">
        <v>32</v>
      </c>
      <c r="E3" s="16" t="s">
        <v>33</v>
      </c>
      <c r="F3" s="16" t="s">
        <v>34</v>
      </c>
    </row>
    <row r="4" spans="2:6" ht="60.75" customHeight="1" x14ac:dyDescent="0.55000000000000004">
      <c r="B4" s="13">
        <v>2</v>
      </c>
      <c r="C4" s="14" t="s">
        <v>31</v>
      </c>
      <c r="D4" s="15" t="s">
        <v>35</v>
      </c>
      <c r="E4" s="16" t="s">
        <v>36</v>
      </c>
      <c r="F4" s="16" t="s">
        <v>37</v>
      </c>
    </row>
    <row r="5" spans="2:6" ht="60.75" customHeight="1" x14ac:dyDescent="0.55000000000000004">
      <c r="B5" s="13">
        <v>3</v>
      </c>
      <c r="C5" s="14" t="s">
        <v>31</v>
      </c>
      <c r="D5" s="15" t="s">
        <v>38</v>
      </c>
      <c r="E5" s="16" t="s">
        <v>39</v>
      </c>
      <c r="F5" s="16" t="s">
        <v>40</v>
      </c>
    </row>
    <row r="6" spans="2:6" ht="60.75" customHeight="1" x14ac:dyDescent="0.55000000000000004">
      <c r="B6" s="13">
        <v>4</v>
      </c>
      <c r="C6" s="14" t="s">
        <v>31</v>
      </c>
      <c r="D6" s="15" t="s">
        <v>41</v>
      </c>
      <c r="E6" s="16" t="s">
        <v>43</v>
      </c>
      <c r="F6" s="16" t="s">
        <v>44</v>
      </c>
    </row>
    <row r="7" spans="2:6" ht="60.75" customHeight="1" x14ac:dyDescent="0.55000000000000004">
      <c r="B7" s="13">
        <v>5</v>
      </c>
      <c r="C7" s="14" t="s">
        <v>45</v>
      </c>
      <c r="D7" s="15" t="s">
        <v>46</v>
      </c>
      <c r="E7" s="16" t="s">
        <v>47</v>
      </c>
      <c r="F7" s="16" t="s">
        <v>48</v>
      </c>
    </row>
    <row r="8" spans="2:6" ht="60.75" customHeight="1" x14ac:dyDescent="0.55000000000000004">
      <c r="B8" s="13">
        <v>6</v>
      </c>
      <c r="C8" s="14" t="s">
        <v>49</v>
      </c>
      <c r="D8" s="15" t="s">
        <v>50</v>
      </c>
      <c r="E8" s="16" t="s">
        <v>51</v>
      </c>
      <c r="F8" s="16" t="s">
        <v>52</v>
      </c>
    </row>
    <row r="9" spans="2:6" ht="60.75" customHeight="1" x14ac:dyDescent="0.55000000000000004">
      <c r="B9" s="13">
        <v>7</v>
      </c>
      <c r="C9" s="14" t="s">
        <v>49</v>
      </c>
      <c r="D9" s="15" t="s">
        <v>53</v>
      </c>
      <c r="E9" s="16" t="s">
        <v>55</v>
      </c>
      <c r="F9" s="16" t="s">
        <v>56</v>
      </c>
    </row>
    <row r="10" spans="2:6" ht="60.75" customHeight="1" x14ac:dyDescent="0.55000000000000004">
      <c r="B10" s="13">
        <v>8</v>
      </c>
      <c r="C10" s="14" t="s">
        <v>57</v>
      </c>
      <c r="D10" s="15" t="s">
        <v>58</v>
      </c>
      <c r="E10" s="16" t="s">
        <v>60</v>
      </c>
      <c r="F10" s="16" t="s">
        <v>61</v>
      </c>
    </row>
    <row r="11" spans="2:6" ht="60.75" customHeight="1" x14ac:dyDescent="0.55000000000000004">
      <c r="B11" s="13">
        <v>9</v>
      </c>
      <c r="C11" s="14" t="s">
        <v>57</v>
      </c>
      <c r="D11" s="15" t="s">
        <v>62</v>
      </c>
      <c r="E11" s="16" t="s">
        <v>64</v>
      </c>
      <c r="F11" s="16" t="s">
        <v>65</v>
      </c>
    </row>
    <row r="12" spans="2:6" ht="60.75" customHeight="1" x14ac:dyDescent="0.55000000000000004">
      <c r="B12" s="13">
        <v>10</v>
      </c>
      <c r="C12" s="14" t="s">
        <v>57</v>
      </c>
      <c r="D12" s="15" t="s">
        <v>66</v>
      </c>
      <c r="E12" s="16" t="s">
        <v>68</v>
      </c>
      <c r="F12" s="16" t="s">
        <v>69</v>
      </c>
    </row>
    <row r="13" spans="2:6" ht="60.75" customHeight="1" x14ac:dyDescent="0.55000000000000004">
      <c r="B13" s="13">
        <v>11</v>
      </c>
      <c r="C13" s="14" t="s">
        <v>57</v>
      </c>
      <c r="D13" s="15" t="s">
        <v>70</v>
      </c>
      <c r="E13" s="16" t="s">
        <v>72</v>
      </c>
      <c r="F13" s="16" t="s">
        <v>73</v>
      </c>
    </row>
    <row r="14" spans="2:6" ht="60.75" customHeight="1" x14ac:dyDescent="0.55000000000000004">
      <c r="B14" s="13">
        <v>12</v>
      </c>
      <c r="C14" s="14" t="s">
        <v>74</v>
      </c>
      <c r="D14" s="15" t="s">
        <v>75</v>
      </c>
      <c r="E14" s="16" t="s">
        <v>77</v>
      </c>
      <c r="F14" s="16" t="s">
        <v>78</v>
      </c>
    </row>
    <row r="15" spans="2:6" ht="60.75" customHeight="1" x14ac:dyDescent="0.55000000000000004">
      <c r="B15" s="13">
        <v>13</v>
      </c>
      <c r="C15" s="14" t="s">
        <v>74</v>
      </c>
      <c r="D15" s="15" t="s">
        <v>79</v>
      </c>
      <c r="E15" s="16" t="s">
        <v>81</v>
      </c>
      <c r="F15" s="16" t="s">
        <v>82</v>
      </c>
    </row>
    <row r="16" spans="2:6" ht="60.75" customHeight="1" x14ac:dyDescent="0.55000000000000004">
      <c r="B16" s="13">
        <v>14</v>
      </c>
      <c r="C16" s="14" t="s">
        <v>74</v>
      </c>
      <c r="D16" s="15" t="s">
        <v>83</v>
      </c>
      <c r="E16" s="16" t="s">
        <v>85</v>
      </c>
      <c r="F16" s="16" t="s">
        <v>86</v>
      </c>
    </row>
    <row r="17" spans="2:6" ht="60.75" customHeight="1" x14ac:dyDescent="0.55000000000000004">
      <c r="B17" s="13">
        <v>15</v>
      </c>
      <c r="C17" s="14" t="s">
        <v>87</v>
      </c>
      <c r="D17" s="15" t="s">
        <v>88</v>
      </c>
      <c r="E17" s="16" t="s">
        <v>90</v>
      </c>
      <c r="F17" s="16" t="s">
        <v>91</v>
      </c>
    </row>
    <row r="18" spans="2:6" ht="60.75" customHeight="1" x14ac:dyDescent="0.55000000000000004">
      <c r="B18" s="13">
        <v>16</v>
      </c>
      <c r="C18" s="14" t="s">
        <v>92</v>
      </c>
      <c r="D18" s="15" t="s">
        <v>93</v>
      </c>
      <c r="E18" s="16" t="s">
        <v>94</v>
      </c>
      <c r="F18" s="16" t="s">
        <v>95</v>
      </c>
    </row>
    <row r="19" spans="2:6" ht="60.75" customHeight="1" x14ac:dyDescent="0.55000000000000004">
      <c r="B19" s="13">
        <v>17</v>
      </c>
      <c r="C19" s="14" t="s">
        <v>92</v>
      </c>
      <c r="D19" s="15" t="s">
        <v>96</v>
      </c>
      <c r="E19" s="16" t="s">
        <v>98</v>
      </c>
      <c r="F19" s="16" t="s">
        <v>99</v>
      </c>
    </row>
    <row r="20" spans="2:6" ht="60.75" customHeight="1" x14ac:dyDescent="0.55000000000000004">
      <c r="B20" s="13">
        <v>18</v>
      </c>
      <c r="C20" s="14" t="s">
        <v>92</v>
      </c>
      <c r="D20" s="15" t="s">
        <v>100</v>
      </c>
      <c r="E20" s="16" t="s">
        <v>101</v>
      </c>
      <c r="F20" s="16" t="s">
        <v>102</v>
      </c>
    </row>
    <row r="21" spans="2:6" ht="60.75" customHeight="1" x14ac:dyDescent="0.55000000000000004">
      <c r="B21" s="13">
        <v>19</v>
      </c>
      <c r="C21" s="14" t="s">
        <v>92</v>
      </c>
      <c r="D21" s="15" t="s">
        <v>103</v>
      </c>
      <c r="E21" s="16" t="s">
        <v>104</v>
      </c>
      <c r="F21" s="16" t="s">
        <v>105</v>
      </c>
    </row>
    <row r="22" spans="2:6" ht="60.75" customHeight="1" x14ac:dyDescent="0.55000000000000004">
      <c r="B22" s="13">
        <v>20</v>
      </c>
      <c r="C22" s="14" t="s">
        <v>92</v>
      </c>
      <c r="D22" s="15" t="s">
        <v>106</v>
      </c>
      <c r="E22" s="16" t="s">
        <v>107</v>
      </c>
      <c r="F22" s="16" t="s">
        <v>108</v>
      </c>
    </row>
    <row r="23" spans="2:6" ht="60.75" customHeight="1" x14ac:dyDescent="0.55000000000000004">
      <c r="B23" s="13">
        <v>21</v>
      </c>
      <c r="C23" s="14" t="s">
        <v>92</v>
      </c>
      <c r="D23" s="15" t="s">
        <v>109</v>
      </c>
      <c r="E23" s="16" t="s">
        <v>110</v>
      </c>
      <c r="F23" s="16" t="s">
        <v>111</v>
      </c>
    </row>
    <row r="24" spans="2:6" ht="60.75" customHeight="1" x14ac:dyDescent="0.55000000000000004">
      <c r="B24" s="13">
        <v>22</v>
      </c>
      <c r="C24" s="14" t="s">
        <v>112</v>
      </c>
      <c r="D24" s="15" t="s">
        <v>113</v>
      </c>
      <c r="E24" s="16" t="s">
        <v>114</v>
      </c>
      <c r="F24" s="16" t="s">
        <v>115</v>
      </c>
    </row>
    <row r="25" spans="2:6" ht="60.75" customHeight="1" x14ac:dyDescent="0.55000000000000004">
      <c r="B25" s="13">
        <v>23</v>
      </c>
      <c r="C25" s="14" t="s">
        <v>112</v>
      </c>
      <c r="D25" s="15" t="s">
        <v>116</v>
      </c>
      <c r="E25" s="16" t="s">
        <v>117</v>
      </c>
      <c r="F25" s="16" t="s">
        <v>118</v>
      </c>
    </row>
    <row r="26" spans="2:6" ht="60.75" customHeight="1" x14ac:dyDescent="0.55000000000000004">
      <c r="B26" s="13">
        <v>24</v>
      </c>
      <c r="C26" s="14" t="s">
        <v>112</v>
      </c>
      <c r="D26" s="15" t="s">
        <v>119</v>
      </c>
      <c r="E26" s="16" t="s">
        <v>120</v>
      </c>
      <c r="F26" s="16" t="s">
        <v>121</v>
      </c>
    </row>
    <row r="27" spans="2:6" ht="60.75" customHeight="1" x14ac:dyDescent="0.55000000000000004">
      <c r="B27" s="13">
        <v>25</v>
      </c>
      <c r="C27" s="14" t="s">
        <v>112</v>
      </c>
      <c r="D27" s="15" t="s">
        <v>122</v>
      </c>
      <c r="E27" s="16" t="s">
        <v>123</v>
      </c>
      <c r="F27" s="16" t="s">
        <v>124</v>
      </c>
    </row>
    <row r="28" spans="2:6" ht="60.75" customHeight="1" x14ac:dyDescent="0.55000000000000004">
      <c r="B28" s="13">
        <v>26</v>
      </c>
      <c r="C28" s="14" t="s">
        <v>125</v>
      </c>
      <c r="D28" s="15" t="s">
        <v>126</v>
      </c>
      <c r="E28" s="16" t="s">
        <v>127</v>
      </c>
      <c r="F28" s="16" t="s">
        <v>128</v>
      </c>
    </row>
    <row r="29" spans="2:6" ht="60.75" customHeight="1" x14ac:dyDescent="0.55000000000000004">
      <c r="B29" s="13">
        <v>27</v>
      </c>
      <c r="C29" s="14" t="s">
        <v>129</v>
      </c>
      <c r="D29" s="15" t="s">
        <v>130</v>
      </c>
      <c r="E29" s="16" t="s">
        <v>131</v>
      </c>
      <c r="F29" s="16" t="s">
        <v>132</v>
      </c>
    </row>
    <row r="30" spans="2:6" ht="60.75" customHeight="1" x14ac:dyDescent="0.55000000000000004">
      <c r="B30" s="13">
        <v>28</v>
      </c>
      <c r="C30" s="14" t="s">
        <v>129</v>
      </c>
      <c r="D30" s="15" t="s">
        <v>133</v>
      </c>
      <c r="E30" s="16" t="s">
        <v>134</v>
      </c>
      <c r="F30" s="16" t="s">
        <v>135</v>
      </c>
    </row>
  </sheetData>
  <phoneticPr fontId="2"/>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DA648B2590EE3F4C90CCD98A44427D6D" ma:contentTypeVersion="16" ma:contentTypeDescription="新しいドキュメントを作成します。" ma:contentTypeScope="" ma:versionID="ea72c9bd3baa17cfea63304d2436428f">
  <xsd:schema xmlns:xsd="http://www.w3.org/2001/XMLSchema" xmlns:xs="http://www.w3.org/2001/XMLSchema" xmlns:p="http://schemas.microsoft.com/office/2006/metadata/properties" xmlns:ns2="072853da-7531-41e8-93cf-5eed1af6374e" xmlns:ns3="d6764fc7-c9b4-45d4-a5a9-2e571ecb97da" targetNamespace="http://schemas.microsoft.com/office/2006/metadata/properties" ma:root="true" ma:fieldsID="86bfeb87fc9eb491ee7a70971636b1be" ns2:_="" ns3:_="">
    <xsd:import namespace="072853da-7531-41e8-93cf-5eed1af6374e"/>
    <xsd:import namespace="d6764fc7-c9b4-45d4-a5a9-2e571ecb97da"/>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2853da-7531-41e8-93cf-5eed1af6374e"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画像タグ" ma:readOnly="false" ma:fieldId="{5cf76f15-5ced-4ddc-b409-7134ff3c332f}" ma:taxonomyMulti="true" ma:sspId="2874f74c-8db1-4b35-810b-c2874601587a"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764fc7-c9b4-45d4-a5a9-2e571ecb97da"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81ab8098-8791-4f4f-a288-96d8472b7caa}" ma:internalName="TaxCatchAll" ma:showField="CatchAllData" ma:web="d6764fc7-c9b4-45d4-a5a9-2e571ecb97da">
      <xsd:complexType>
        <xsd:complexContent>
          <xsd:extension base="dms:MultiChoiceLookup">
            <xsd:sequence>
              <xsd:element name="Value" type="dms:Lookup" maxOccurs="unbounded" minOccurs="0" nillable="true"/>
            </xsd:sequence>
          </xsd:extension>
        </xsd:complexContent>
      </xsd:complexType>
    </xsd:element>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72853da-7531-41e8-93cf-5eed1af6374e">
      <Terms xmlns="http://schemas.microsoft.com/office/infopath/2007/PartnerControls"/>
    </lcf76f155ced4ddcb4097134ff3c332f>
    <TaxCatchAll xmlns="d6764fc7-c9b4-45d4-a5a9-2e571ecb97d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C521B92-3FE7-4CD2-8B90-660659AB30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2853da-7531-41e8-93cf-5eed1af6374e"/>
    <ds:schemaRef ds:uri="d6764fc7-c9b4-45d4-a5a9-2e571ecb97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6821427-7C86-4702-A0A9-05E2B7F06665}">
  <ds:schemaRefs>
    <ds:schemaRef ds:uri="http://schemas.microsoft.com/office/2006/metadata/properties"/>
    <ds:schemaRef ds:uri="http://schemas.microsoft.com/office/infopath/2007/PartnerControls"/>
    <ds:schemaRef ds:uri="072853da-7531-41e8-93cf-5eed1af6374e"/>
    <ds:schemaRef ds:uri="d6764fc7-c9b4-45d4-a5a9-2e571ecb97da"/>
  </ds:schemaRefs>
</ds:datastoreItem>
</file>

<file path=customXml/itemProps3.xml><?xml version="1.0" encoding="utf-8"?>
<ds:datastoreItem xmlns:ds="http://schemas.openxmlformats.org/officeDocument/2006/customXml" ds:itemID="{BA8777F7-0388-4405-BA86-E7C5933CAB7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ストライク</dc:creator>
  <cp:lastModifiedBy>Kunihito Nakano</cp:lastModifiedBy>
  <dcterms:created xsi:type="dcterms:W3CDTF">2026-09-24T00:16:44Z</dcterms:created>
  <dcterms:modified xsi:type="dcterms:W3CDTF">2026-09-24T05:38:39Z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0x010100DA648B2590EE3F4C90CCD98A44427D6D</vt:lpwstr>
  </property>
  <property fmtid="{D5CDD505-2E9C-101B-9397-08002B2CF9AE}" pid="3" name="MediaServiceImageTags">
    <vt:lpwstr/>
  </property>
</Properties>
</file>