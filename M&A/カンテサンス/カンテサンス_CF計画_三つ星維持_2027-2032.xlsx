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CF計画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<sst xmlns="http://schemas.openxmlformats.org/spreadsheetml/2006/main" count="145" uniqueCount="119">
  <si>
    <r>
      <rPr>
        <b val="true"/>
        <sz val="14"/>
        <rFont val="WenQuanYi Zen Hei"/>
        <family val="2"/>
      </rPr>
      <t xml:space="preserve">カンテサンス </t>
    </r>
    <r>
      <rPr>
        <b val="true"/>
        <sz val="14"/>
        <rFont val="Arial"/>
        <family val="0"/>
        <charset val="1"/>
      </rPr>
      <t xml:space="preserve">CF</t>
    </r>
    <r>
      <rPr>
        <b val="true"/>
        <sz val="14"/>
        <rFont val="WenQuanYi Zen Hei"/>
        <family val="2"/>
      </rPr>
      <t xml:space="preserve">計画 サマリー（三つ星維持ケース）</t>
    </r>
  </si>
  <si>
    <r>
      <rPr>
        <sz val="9"/>
        <color rgb="FF6E6368"/>
        <rFont val="WenQuanYi Zen Hei"/>
        <family val="2"/>
      </rPr>
      <t xml:space="preserve">単位：百万円。数値はすべて</t>
    </r>
    <r>
      <rPr>
        <sz val="9"/>
        <color rgb="FF6E6368"/>
        <rFont val="Arial"/>
        <family val="0"/>
        <charset val="1"/>
      </rPr>
      <t xml:space="preserve">CF</t>
    </r>
    <r>
      <rPr>
        <sz val="9"/>
        <color rgb="FF6E6368"/>
        <rFont val="WenQuanYi Zen Hei"/>
        <family val="2"/>
      </rPr>
      <t xml:space="preserve">計画シートからの参照です。</t>
    </r>
  </si>
  <si>
    <t xml:space="preserve">指標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</si>
  <si>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</si>
  <si>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</si>
  <si>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</si>
  <si>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</si>
  <si>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</si>
  <si>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</si>
  <si>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年計</t>
    </r>
  </si>
  <si>
    <t xml:space="preserve">売上高</t>
  </si>
  <si>
    <t xml:space="preserve">EBITDA</t>
  </si>
  <si>
    <t xml:space="preserve">営業利益</t>
  </si>
  <si>
    <t xml:space="preserve">当期純利益</t>
  </si>
  <si>
    <r>
      <rPr>
        <sz val="10"/>
        <rFont val="WenQuanYi Zen Hei"/>
        <family val="2"/>
      </rPr>
      <t xml:space="preserve">借入返済後の</t>
    </r>
    <r>
      <rPr>
        <sz val="10"/>
        <rFont val="Arial"/>
        <family val="0"/>
        <charset val="1"/>
      </rPr>
      <t xml:space="preserve">CF</t>
    </r>
  </si>
  <si>
    <t xml:space="preserve">期末現金残高</t>
  </si>
  <si>
    <t xml:space="preserve">借入金期末残高</t>
  </si>
  <si>
    <t xml:space="preserve">DSCR</t>
  </si>
  <si>
    <t xml:space="preserve">節税効果（退職金・コンサル費）</t>
  </si>
  <si>
    <r>
      <rPr>
        <sz val="11"/>
        <color theme="1"/>
        <rFont val="WenQuanYi Zen Hei"/>
        <family val="2"/>
      </rPr>
      <t xml:space="preserve">最低</t>
    </r>
    <r>
      <rPr>
        <sz val="11"/>
        <color theme="1"/>
        <rFont val="Calibri"/>
        <family val="2"/>
        <charset val="1"/>
      </rPr>
      <t xml:space="preserve">DSCR</t>
    </r>
  </si>
  <si>
    <r>
      <rPr>
        <sz val="11"/>
        <color theme="1"/>
        <rFont val="WenQuanYi Zen Hei"/>
        <family val="2"/>
      </rPr>
      <t xml:space="preserve">最低</t>
    </r>
    <r>
      <rPr>
        <sz val="11"/>
        <color theme="1"/>
        <rFont val="Calibri"/>
        <family val="2"/>
        <charset val="1"/>
      </rPr>
      <t xml:space="preserve">DSCR</t>
    </r>
    <r>
      <rPr>
        <sz val="11"/>
        <color theme="1"/>
        <rFont val="WenQuanYi Zen Hei"/>
        <family val="2"/>
      </rPr>
      <t xml:space="preserve">の年</t>
    </r>
  </si>
  <si>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WenQuanYi Zen Hei"/>
        <family val="2"/>
      </rPr>
      <t xml:space="preserve">年末の現金残高</t>
    </r>
  </si>
  <si>
    <r>
      <rPr>
        <sz val="9"/>
        <rFont val="WenQuanYi Zen Hei"/>
        <family val="2"/>
      </rPr>
      <t xml:space="preserve">【主な前提】三つ星を</t>
    </r>
    <r>
      <rPr>
        <sz val="9"/>
        <rFont val="Arial"/>
        <family val="0"/>
        <charset val="1"/>
      </rPr>
      <t xml:space="preserve">2027</t>
    </r>
    <r>
      <rPr>
        <sz val="9"/>
        <rFont val="WenQuanYi Zen Hei"/>
        <family val="2"/>
      </rPr>
      <t xml:space="preserve">〜</t>
    </r>
    <r>
      <rPr>
        <sz val="9"/>
        <rFont val="Arial"/>
        <family val="0"/>
        <charset val="1"/>
      </rPr>
      <t xml:space="preserve">2032</t>
    </r>
    <r>
      <rPr>
        <sz val="9"/>
        <rFont val="WenQuanYi Zen Hei"/>
        <family val="2"/>
      </rPr>
      <t xml:space="preserve">年に維持。客単価は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年間</t>
    </r>
    <r>
      <rPr>
        <sz val="9"/>
        <rFont val="Arial"/>
        <family val="0"/>
        <charset val="1"/>
      </rPr>
      <t xml:space="preserve">5%</t>
    </r>
    <r>
      <rPr>
        <sz val="9"/>
        <rFont val="WenQuanYi Zen Hei"/>
        <family val="2"/>
      </rPr>
      <t xml:space="preserve">、以降</t>
    </r>
    <r>
      <rPr>
        <sz val="9"/>
        <rFont val="Arial"/>
        <family val="0"/>
        <charset val="1"/>
      </rPr>
      <t xml:space="preserve">3%</t>
    </r>
    <r>
      <rPr>
        <sz val="9"/>
        <rFont val="WenQuanYi Zen Hei"/>
        <family val="2"/>
      </rPr>
      <t xml:space="preserve">の値上げ。物販は製造拠点の確保で拡大。費用は食材・ワイン</t>
    </r>
    <r>
      <rPr>
        <sz val="9"/>
        <rFont val="Arial"/>
        <family val="0"/>
        <charset val="1"/>
      </rPr>
      <t xml:space="preserve">3%</t>
    </r>
    <r>
      <rPr>
        <sz val="9"/>
        <rFont val="WenQuanYi Zen Hei"/>
        <family val="2"/>
      </rPr>
      <t xml:space="preserve">、人件費・経費</t>
    </r>
    <r>
      <rPr>
        <sz val="9"/>
        <rFont val="Arial"/>
        <family val="0"/>
        <charset val="1"/>
      </rPr>
      <t xml:space="preserve">3%</t>
    </r>
    <r>
      <rPr>
        <sz val="9"/>
        <rFont val="WenQuanYi Zen Hei"/>
        <family val="2"/>
      </rPr>
      <t xml:space="preserve">の上昇。</t>
    </r>
  </si>
  <si>
    <r>
      <rPr>
        <sz val="9"/>
        <rFont val="WenQuanYi Zen Hei"/>
        <family val="2"/>
      </rPr>
      <t xml:space="preserve">【岸田様へのお支払い】決済時に役員退職金</t>
    </r>
    <r>
      <rPr>
        <sz val="9"/>
        <rFont val="Arial"/>
        <family val="0"/>
        <charset val="1"/>
      </rPr>
      <t xml:space="preserve">2.25</t>
    </r>
    <r>
      <rPr>
        <sz val="9"/>
        <rFont val="WenQuanYi Zen Hei"/>
        <family val="2"/>
      </rPr>
      <t xml:space="preserve">億円（対象会社が支給・</t>
    </r>
    <r>
      <rPr>
        <sz val="9"/>
        <rFont val="Arial"/>
        <family val="0"/>
        <charset val="1"/>
      </rPr>
      <t xml:space="preserve">2026</t>
    </r>
    <r>
      <rPr>
        <sz val="9"/>
        <rFont val="WenQuanYi Zen Hei"/>
        <family val="2"/>
      </rPr>
      <t xml:space="preserve">年度に損金算入）。</t>
    </r>
    <r>
      <rPr>
        <sz val="9"/>
        <rFont val="Arial"/>
        <family val="0"/>
        <charset val="1"/>
      </rPr>
      <t xml:space="preserve">2030</t>
    </r>
    <r>
      <rPr>
        <sz val="9"/>
        <rFont val="WenQuanYi Zen Hei"/>
        <family val="2"/>
      </rPr>
      <t xml:space="preserve">年・</t>
    </r>
    <r>
      <rPr>
        <sz val="9"/>
        <rFont val="Arial"/>
        <family val="0"/>
        <charset val="1"/>
      </rPr>
      <t xml:space="preserve">2031</t>
    </r>
    <r>
      <rPr>
        <sz val="9"/>
        <rFont val="WenQuanYi Zen Hei"/>
        <family val="2"/>
      </rPr>
      <t xml:space="preserve">年に岸田様の法人へコンサルティング費として各</t>
    </r>
    <r>
      <rPr>
        <sz val="9"/>
        <rFont val="Arial"/>
        <family val="0"/>
        <charset val="1"/>
      </rPr>
      <t xml:space="preserve">4</t>
    </r>
    <r>
      <rPr>
        <sz val="9"/>
        <rFont val="WenQuanYi Zen Hei"/>
        <family val="2"/>
      </rPr>
      <t xml:space="preserve">億円（対象会社の費用）。</t>
    </r>
  </si>
  <si>
    <t xml:space="preserve">【税務上の留意点】退職金は賞与を含む実質月額での算定となるため否認リスクあり。コンサルティング費は役務提供の実態と対価の相当性が必要で、実態が伴わない場合は寄附金・株式対価の後払いと認定され損金不算入となるリスクが高い。双方の税理士の確認が前提。</t>
  </si>
  <si>
    <r>
      <rPr>
        <sz val="9"/>
        <rFont val="WenQuanYi Zen Hei"/>
        <family val="2"/>
      </rPr>
      <t xml:space="preserve">【モデルの簡略化】運転資本の増減は無視。法人税は発生年度に納付（</t>
    </r>
    <r>
      <rPr>
        <sz val="9"/>
        <rFont val="Arial"/>
        <family val="0"/>
        <charset val="1"/>
      </rPr>
      <t xml:space="preserve">FY2026</t>
    </r>
    <r>
      <rPr>
        <sz val="9"/>
        <rFont val="WenQuanYi Zen Hei"/>
        <family val="2"/>
      </rPr>
      <t xml:space="preserve">分のみ</t>
    </r>
    <r>
      <rPr>
        <sz val="9"/>
        <rFont val="Arial"/>
        <family val="0"/>
        <charset val="1"/>
      </rPr>
      <t xml:space="preserve">2027</t>
    </r>
    <r>
      <rPr>
        <sz val="9"/>
        <rFont val="WenQuanYi Zen Hei"/>
        <family val="2"/>
      </rPr>
      <t xml:space="preserve">年に納付）。欠損金の繰越は考慮せず。消費税は除く（コンサル費の消費税は仕入税額控除の対象）。買収借入は合併後の会社が返済する前提（</t>
    </r>
    <r>
      <rPr>
        <sz val="9"/>
        <rFont val="Arial"/>
        <family val="0"/>
        <charset val="1"/>
      </rPr>
      <t xml:space="preserve">WineBank</t>
    </r>
    <r>
      <rPr>
        <sz val="9"/>
        <rFont val="WenQuanYi Zen Hei"/>
        <family val="2"/>
      </rPr>
      <t xml:space="preserve">で借りる形の場合は、借入返済後の</t>
    </r>
    <r>
      <rPr>
        <sz val="9"/>
        <rFont val="Arial"/>
        <family val="0"/>
        <charset val="1"/>
      </rPr>
      <t xml:space="preserve">CF</t>
    </r>
    <r>
      <rPr>
        <sz val="9"/>
        <rFont val="WenQuanYi Zen Hei"/>
        <family val="2"/>
      </rPr>
      <t xml:space="preserve">が配当原資になります）。</t>
    </r>
  </si>
  <si>
    <r>
      <rPr>
        <b val="true"/>
        <sz val="14"/>
        <rFont val="WenQuanYi Zen Hei"/>
        <family val="2"/>
      </rPr>
      <t xml:space="preserve">カンテサンス </t>
    </r>
    <r>
      <rPr>
        <b val="true"/>
        <sz val="14"/>
        <rFont val="Arial"/>
        <family val="0"/>
        <charset val="1"/>
      </rPr>
      <t xml:space="preserve">CF</t>
    </r>
    <r>
      <rPr>
        <b val="true"/>
        <sz val="14"/>
        <rFont val="WenQuanYi Zen Hei"/>
        <family val="2"/>
      </rPr>
      <t xml:space="preserve">計画（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2032</t>
    </r>
    <r>
      <rPr>
        <b val="true"/>
        <sz val="14"/>
        <rFont val="WenQuanYi Zen Hei"/>
        <family val="2"/>
      </rPr>
      <t xml:space="preserve">年・三つ星維持ケース）前提条件</t>
    </r>
  </si>
  <si>
    <t xml:space="preserve">単位：百万円。青字＝入力値（変更可）、黒字＝計算式。黄色セルは主要な仮定です。</t>
  </si>
  <si>
    <t xml:space="preserve">項目</t>
  </si>
  <si>
    <r>
      <rPr>
        <b val="true"/>
        <sz val="10"/>
        <color rgb="FFFFFFFF"/>
        <rFont val="Arial"/>
        <family val="0"/>
        <charset val="1"/>
      </rPr>
      <t xml:space="preserve">FY2026</t>
    </r>
    <r>
      <rPr>
        <b val="true"/>
        <sz val="10"/>
        <color rgb="FFFFFFFF"/>
        <rFont val="WenQuanYi Zen Hei"/>
        <family val="2"/>
      </rPr>
      <t xml:space="preserve">／固定値</t>
    </r>
  </si>
  <si>
    <t xml:space="preserve">出所・根拠</t>
  </si>
  <si>
    <r>
      <rPr>
        <b val="true"/>
        <sz val="10"/>
        <rFont val="WenQuanYi Zen Hei"/>
        <family val="2"/>
      </rPr>
      <t xml:space="preserve">■ 基準値（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月期 会社計画）</t>
    </r>
  </si>
  <si>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記載の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</t>
    </r>
    <r>
      <rPr>
        <sz val="9"/>
        <color rgb="FF6E6368"/>
        <rFont val="Arial"/>
        <family val="0"/>
        <charset val="1"/>
      </rPr>
      <t xml:space="preserve">12</t>
    </r>
    <r>
      <rPr>
        <sz val="9"/>
        <color rgb="FF6E6368"/>
        <rFont val="WenQuanYi Zen Hei"/>
        <family val="2"/>
      </rPr>
      <t xml:space="preserve">月期会社計画</t>
    </r>
  </si>
  <si>
    <t xml:space="preserve">うち物販売上</t>
  </si>
  <si>
    <r>
      <rPr>
        <sz val="9"/>
        <color rgb="FF6E6368"/>
        <rFont val="WenQuanYi Zen Hei"/>
        <family val="2"/>
      </rPr>
      <t xml:space="preserve">売主</t>
    </r>
    <r>
      <rPr>
        <sz val="9"/>
        <color rgb="FF6E6368"/>
        <rFont val="Arial"/>
        <family val="0"/>
        <charset val="1"/>
      </rPr>
      <t xml:space="preserve">QA</t>
    </r>
    <r>
      <rPr>
        <sz val="9"/>
        <color rgb="FF6E6368"/>
        <rFont val="WenQuanYi Zen Hei"/>
        <family val="2"/>
      </rPr>
      <t xml:space="preserve">回答：チーズケーキ年商約</t>
    </r>
    <r>
      <rPr>
        <sz val="9"/>
        <color rgb="FF6E6368"/>
        <rFont val="Arial"/>
        <family val="0"/>
        <charset val="1"/>
      </rPr>
      <t xml:space="preserve">7,000</t>
    </r>
    <r>
      <rPr>
        <sz val="9"/>
        <color rgb="FF6E6368"/>
        <rFont val="WenQuanYi Zen Hei"/>
        <family val="2"/>
      </rPr>
      <t xml:space="preserve">万円</t>
    </r>
  </si>
  <si>
    <t xml:space="preserve">売上原価</t>
  </si>
  <si>
    <r>
      <rPr>
        <sz val="9"/>
        <color rgb="FF6E6368"/>
        <rFont val="Arial"/>
        <family val="0"/>
        <charset val="1"/>
      </rPr>
      <t xml:space="preserve">1</t>
    </r>
    <r>
      <rPr>
        <sz val="9"/>
        <color rgb="FF6E6368"/>
        <rFont val="WenQuanYi Zen Hei"/>
        <family val="2"/>
      </rPr>
      <t xml:space="preserve">〜</t>
    </r>
    <r>
      <rPr>
        <sz val="9"/>
        <color rgb="FF6E6368"/>
        <rFont val="Arial"/>
        <family val="0"/>
        <charset val="1"/>
      </rPr>
      <t xml:space="preserve">7</t>
    </r>
    <r>
      <rPr>
        <sz val="9"/>
        <color rgb="FF6E6368"/>
        <rFont val="WenQuanYi Zen Hei"/>
        <family val="2"/>
      </rPr>
      <t xml:space="preserve">月実績の粗利率</t>
    </r>
    <r>
      <rPr>
        <sz val="9"/>
        <color rgb="FF6E6368"/>
        <rFont val="Arial"/>
        <family val="0"/>
        <charset val="1"/>
      </rPr>
      <t xml:space="preserve">77.0%</t>
    </r>
    <r>
      <rPr>
        <sz val="9"/>
        <color rgb="FF6E6368"/>
        <rFont val="WenQuanYi Zen Hei"/>
        <family val="2"/>
      </rPr>
      <t xml:space="preserve">を通期に適用（</t>
    </r>
    <r>
      <rPr>
        <sz val="9"/>
        <color rgb="FF6E6368"/>
        <rFont val="Arial"/>
        <family val="0"/>
        <charset val="1"/>
      </rPr>
      <t xml:space="preserve">1,015×23%</t>
    </r>
    <r>
      <rPr>
        <sz val="9"/>
        <color rgb="FF6E6368"/>
        <rFont val="WenQuanYi Zen Hei"/>
        <family val="2"/>
      </rPr>
      <t xml:space="preserve">）</t>
    </r>
  </si>
  <si>
    <t xml:space="preserve">物販の原価率</t>
  </si>
  <si>
    <t xml:space="preserve">仮定（洋菓子製造の一般的水準）</t>
  </si>
  <si>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記載の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</t>
    </r>
    <r>
      <rPr>
        <sz val="9"/>
        <color rgb="FF6E6368"/>
        <rFont val="Arial"/>
        <family val="0"/>
        <charset val="1"/>
      </rPr>
      <t xml:space="preserve">12</t>
    </r>
    <r>
      <rPr>
        <sz val="9"/>
        <color rgb="FF6E6368"/>
        <rFont val="WenQuanYi Zen Hei"/>
        <family val="2"/>
      </rPr>
      <t xml:space="preserve">月期会社計画（岸田氏報酬控除後）</t>
    </r>
  </si>
  <si>
    <t xml:space="preserve">岸田氏の役員報酬（現行）</t>
  </si>
  <si>
    <r>
      <rPr>
        <sz val="9"/>
        <color rgb="FF6E6368"/>
        <rFont val="WenQuanYi Zen Hei"/>
        <family val="2"/>
      </rPr>
      <t xml:space="preserve">月額</t>
    </r>
    <r>
      <rPr>
        <sz val="9"/>
        <color rgb="FF6E6368"/>
        <rFont val="Arial"/>
        <family val="0"/>
        <charset val="1"/>
      </rPr>
      <t xml:space="preserve">60</t>
    </r>
    <r>
      <rPr>
        <sz val="9"/>
        <color rgb="FF6E6368"/>
        <rFont val="WenQuanYi Zen Hei"/>
        <family val="2"/>
      </rPr>
      <t xml:space="preserve">万円</t>
    </r>
    <r>
      <rPr>
        <sz val="9"/>
        <color rgb="FF6E6368"/>
        <rFont val="Arial"/>
        <family val="0"/>
        <charset val="1"/>
      </rPr>
      <t xml:space="preserve">×12</t>
    </r>
    <r>
      <rPr>
        <sz val="9"/>
        <color rgb="FF6E6368"/>
        <rFont val="WenQuanYi Zen Hei"/>
        <family val="2"/>
      </rPr>
      <t xml:space="preserve">＋事前確定届出給与</t>
    </r>
    <r>
      <rPr>
        <sz val="9"/>
        <color rgb="FF6E6368"/>
        <rFont val="Arial"/>
        <family val="0"/>
        <charset val="1"/>
      </rPr>
      <t xml:space="preserve">95.4</t>
    </r>
    <r>
      <rPr>
        <sz val="9"/>
        <color rgb="FF6E6368"/>
        <rFont val="WenQuanYi Zen Hei"/>
        <family val="2"/>
      </rPr>
      <t xml:space="preserve">百万円</t>
    </r>
  </si>
  <si>
    <t xml:space="preserve">人件費・経費（岸田氏報酬を除く）</t>
  </si>
  <si>
    <t xml:space="preserve">計算：売上高−売上原価−営業利益−岸田氏報酬</t>
  </si>
  <si>
    <t xml:space="preserve">■ 税・投資・資金</t>
  </si>
  <si>
    <t xml:space="preserve">実効税率</t>
  </si>
  <si>
    <r>
      <rPr>
        <sz val="9"/>
        <color rgb="FF6E6368"/>
        <rFont val="Arial"/>
        <family val="0"/>
        <charset val="1"/>
      </rPr>
      <t xml:space="preserve">2025</t>
    </r>
    <r>
      <rPr>
        <sz val="9"/>
        <color rgb="FF6E6368"/>
        <rFont val="WenQuanYi Zen Hei"/>
        <family val="2"/>
      </rPr>
      <t xml:space="preserve">年実績（銀行提出資料と同じ）</t>
    </r>
  </si>
  <si>
    <t xml:space="preserve">減価償却費（年）</t>
  </si>
  <si>
    <t xml:space="preserve">仮定（設備投資に応じて増加）</t>
  </si>
  <si>
    <t xml:space="preserve">設備投資（年）</t>
  </si>
  <si>
    <t xml:space="preserve">仮定（銀行提出資料と同じ保守的な水準）</t>
  </si>
  <si>
    <t xml:space="preserve">決済時の留保現金</t>
  </si>
  <si>
    <r>
      <rPr>
        <sz val="9"/>
        <color rgb="FF6E6368"/>
        <rFont val="WenQuanYi Zen Hei"/>
        <family val="2"/>
      </rPr>
      <t xml:space="preserve">銀行提出資料：運転資金として</t>
    </r>
    <r>
      <rPr>
        <sz val="9"/>
        <color rgb="FF6E6368"/>
        <rFont val="Arial"/>
        <family val="0"/>
        <charset val="1"/>
      </rPr>
      <t xml:space="preserve">1.0</t>
    </r>
    <r>
      <rPr>
        <sz val="9"/>
        <color rgb="FF6E6368"/>
        <rFont val="WenQuanYi Zen Hei"/>
        <family val="2"/>
      </rPr>
      <t xml:space="preserve">億円を留保</t>
    </r>
  </si>
  <si>
    <r>
      <rPr>
        <sz val="10"/>
        <rFont val="Arial"/>
        <family val="0"/>
        <charset val="1"/>
      </rPr>
      <t xml:space="preserve">FY2026 </t>
    </r>
    <r>
      <rPr>
        <sz val="10"/>
        <rFont val="WenQuanYi Zen Hei"/>
        <family val="2"/>
      </rPr>
      <t xml:space="preserve">未払法人税等（退職金控除前）</t>
    </r>
  </si>
  <si>
    <r>
      <rPr>
        <sz val="9"/>
        <color rgb="FF6E6368"/>
        <rFont val="WenQuanYi Zen Hei"/>
        <family val="2"/>
      </rPr>
      <t xml:space="preserve">銀行提出資料：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</t>
    </r>
    <r>
      <rPr>
        <sz val="9"/>
        <color rgb="FF6E6368"/>
        <rFont val="Arial"/>
        <family val="0"/>
        <charset val="1"/>
      </rPr>
      <t xml:space="preserve">12</t>
    </r>
    <r>
      <rPr>
        <sz val="9"/>
        <color rgb="FF6E6368"/>
        <rFont val="WenQuanYi Zen Hei"/>
        <family val="2"/>
      </rPr>
      <t xml:space="preserve">月期の未払税金</t>
    </r>
    <r>
      <rPr>
        <sz val="9"/>
        <color rgb="FF6E6368"/>
        <rFont val="Arial"/>
        <family val="0"/>
        <charset val="1"/>
      </rPr>
      <t xml:space="preserve">1.14</t>
    </r>
    <r>
      <rPr>
        <sz val="9"/>
        <color rgb="FF6E6368"/>
        <rFont val="WenQuanYi Zen Hei"/>
        <family val="2"/>
      </rPr>
      <t xml:space="preserve">億円</t>
    </r>
  </si>
  <si>
    <t xml:space="preserve">決済時の役員退職金（対象会社が支給）</t>
  </si>
  <si>
    <r>
      <rPr>
        <sz val="9"/>
        <color rgb="FF6E6368"/>
        <rFont val="WenQuanYi Zen Hei"/>
        <family val="2"/>
      </rPr>
      <t xml:space="preserve">条件合意：前払い</t>
    </r>
    <r>
      <rPr>
        <sz val="9"/>
        <color rgb="FF6E6368"/>
        <rFont val="Arial"/>
        <family val="0"/>
        <charset val="1"/>
      </rPr>
      <t xml:space="preserve">2.25</t>
    </r>
    <r>
      <rPr>
        <sz val="9"/>
        <color rgb="FF6E6368"/>
        <rFont val="WenQuanYi Zen Hei"/>
        <family val="2"/>
      </rPr>
      <t xml:space="preserve">億円を退職金に振替（ユーザー指定）</t>
    </r>
  </si>
  <si>
    <r>
      <rPr>
        <sz val="10"/>
        <rFont val="Arial"/>
        <family val="0"/>
        <charset val="1"/>
      </rPr>
      <t xml:space="preserve">AM</t>
    </r>
    <r>
      <rPr>
        <sz val="10"/>
        <rFont val="WenQuanYi Zen Hei"/>
        <family val="2"/>
      </rPr>
      <t xml:space="preserve">管理報酬（年）</t>
    </r>
  </si>
  <si>
    <r>
      <rPr>
        <sz val="9"/>
        <color rgb="FF6E6368"/>
        <rFont val="Arial"/>
        <family val="0"/>
        <charset val="1"/>
      </rPr>
      <t xml:space="preserve">SPC</t>
    </r>
    <r>
      <rPr>
        <sz val="9"/>
        <color rgb="FF6E6368"/>
        <rFont val="WenQuanYi Zen Hei"/>
        <family val="2"/>
      </rPr>
      <t xml:space="preserve">出資総額</t>
    </r>
    <r>
      <rPr>
        <sz val="9"/>
        <color rgb="FF6E6368"/>
        <rFont val="Arial"/>
        <family val="0"/>
        <charset val="1"/>
      </rPr>
      <t xml:space="preserve">30.6</t>
    </r>
    <r>
      <rPr>
        <sz val="9"/>
        <color rgb="FF6E6368"/>
        <rFont val="WenQuanYi Zen Hei"/>
        <family val="2"/>
      </rPr>
      <t xml:space="preserve">億円</t>
    </r>
    <r>
      <rPr>
        <sz val="9"/>
        <color rgb="FF6E6368"/>
        <rFont val="Arial"/>
        <family val="0"/>
        <charset val="1"/>
      </rPr>
      <t xml:space="preserve">×2%</t>
    </r>
    <r>
      <rPr>
        <sz val="9"/>
        <color rgb="FF6E6368"/>
        <rFont val="WenQuanYi Zen Hei"/>
        <family val="2"/>
      </rPr>
      <t xml:space="preserve">（</t>
    </r>
    <r>
      <rPr>
        <sz val="9"/>
        <color rgb="FF6E6368"/>
        <rFont val="Arial"/>
        <family val="0"/>
        <charset val="1"/>
      </rPr>
      <t xml:space="preserve">AM</t>
    </r>
    <r>
      <rPr>
        <sz val="9"/>
        <color rgb="FF6E6368"/>
        <rFont val="WenQuanYi Zen Hei"/>
        <family val="2"/>
      </rPr>
      <t xml:space="preserve">契約で確定）</t>
    </r>
  </si>
  <si>
    <t xml:space="preserve">■ 買収借入（対象会社と合併後の会社が返済する前提）</t>
  </si>
  <si>
    <t xml:space="preserve">借入額</t>
  </si>
  <si>
    <r>
      <rPr>
        <sz val="9"/>
        <color rgb="FF6E6368"/>
        <rFont val="WenQuanYi Zen Hei"/>
        <family val="2"/>
      </rPr>
      <t xml:space="preserve">仮定：タームローン</t>
    </r>
    <r>
      <rPr>
        <sz val="9"/>
        <color rgb="FF6E6368"/>
        <rFont val="Arial"/>
        <family val="0"/>
        <charset val="1"/>
      </rPr>
      <t xml:space="preserve">20</t>
    </r>
    <r>
      <rPr>
        <sz val="9"/>
        <color rgb="FF6E6368"/>
        <rFont val="WenQuanYi Zen Hei"/>
        <family val="2"/>
      </rPr>
      <t xml:space="preserve">億円（</t>
    </r>
    <r>
      <rPr>
        <sz val="9"/>
        <color rgb="FF6E6368"/>
        <rFont val="Arial"/>
        <family val="0"/>
        <charset val="1"/>
      </rPr>
      <t xml:space="preserve">7</t>
    </r>
    <r>
      <rPr>
        <sz val="9"/>
        <color rgb="FF6E6368"/>
        <rFont val="WenQuanYi Zen Hei"/>
        <family val="2"/>
      </rPr>
      <t xml:space="preserve">年元利均等）</t>
    </r>
  </si>
  <si>
    <t xml:space="preserve">金利</t>
  </si>
  <si>
    <t xml:space="preserve">仮定</t>
  </si>
  <si>
    <t xml:space="preserve">返済年数</t>
  </si>
  <si>
    <t xml:space="preserve">仮定（みずほ銀行と協議中）</t>
  </si>
  <si>
    <r>
      <rPr>
        <b val="true"/>
        <sz val="10"/>
        <rFont val="WenQuanYi Zen Hei"/>
        <family val="2"/>
      </rPr>
      <t xml:space="preserve">■ 年次の仮定（</t>
    </r>
    <r>
      <rPr>
        <b val="true"/>
        <sz val="10"/>
        <rFont val="Arial"/>
        <family val="0"/>
        <charset val="1"/>
      </rPr>
      <t xml:space="preserve">2027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2032</t>
    </r>
    <r>
      <rPr>
        <b val="true"/>
        <sz val="10"/>
        <rFont val="WenQuanYi Zen Hei"/>
        <family val="2"/>
      </rPr>
      <t xml:space="preserve">年）</t>
    </r>
  </si>
  <si>
    <t xml:space="preserve">客単価の値上げ率</t>
  </si>
  <si>
    <r>
      <rPr>
        <sz val="9"/>
        <color rgb="FF6E6368"/>
        <rFont val="WenQuanYi Zen Hei"/>
        <family val="2"/>
      </rPr>
      <t xml:space="preserve">仮定：</t>
    </r>
    <r>
      <rPr>
        <sz val="9"/>
        <color rgb="FF6E6368"/>
        <rFont val="Arial"/>
        <family val="0"/>
        <charset val="1"/>
      </rPr>
      <t xml:space="preserve">2</t>
    </r>
    <r>
      <rPr>
        <sz val="9"/>
        <color rgb="FF6E6368"/>
        <rFont val="WenQuanYi Zen Hei"/>
        <family val="2"/>
      </rPr>
      <t xml:space="preserve">年間</t>
    </r>
    <r>
      <rPr>
        <sz val="9"/>
        <color rgb="FF6E6368"/>
        <rFont val="Arial"/>
        <family val="0"/>
        <charset val="1"/>
      </rPr>
      <t xml:space="preserve">5%</t>
    </r>
    <r>
      <rPr>
        <sz val="9"/>
        <color rgb="FF6E6368"/>
        <rFont val="WenQuanYi Zen Hei"/>
        <family val="2"/>
      </rPr>
      <t xml:space="preserve">、以降</t>
    </r>
    <r>
      <rPr>
        <sz val="9"/>
        <color rgb="FF6E6368"/>
        <rFont val="Arial"/>
        <family val="0"/>
        <charset val="1"/>
      </rPr>
      <t xml:space="preserve">3%</t>
    </r>
    <r>
      <rPr>
        <sz val="9"/>
        <color rgb="FF6E6368"/>
        <rFont val="WenQuanYi Zen Hei"/>
        <family val="2"/>
      </rPr>
      <t xml:space="preserve">（ユーザー指定：値上げ効果を織り込む）</t>
    </r>
  </si>
  <si>
    <t xml:space="preserve">客数の増減率</t>
  </si>
  <si>
    <r>
      <rPr>
        <sz val="9"/>
        <color rgb="FF6E6368"/>
        <rFont val="WenQuanYi Zen Hei"/>
        <family val="2"/>
      </rPr>
      <t xml:space="preserve">仮定：席数・営業日数は据置（予約は約</t>
    </r>
    <r>
      <rPr>
        <sz val="9"/>
        <color rgb="FF6E6368"/>
        <rFont val="Arial"/>
        <family val="0"/>
        <charset val="1"/>
      </rPr>
      <t xml:space="preserve">3</t>
    </r>
    <r>
      <rPr>
        <sz val="9"/>
        <color rgb="FF6E6368"/>
        <rFont val="WenQuanYi Zen Hei"/>
        <family val="2"/>
      </rPr>
      <t xml:space="preserve">か月先まで満席）</t>
    </r>
  </si>
  <si>
    <t xml:space="preserve">物販の成長率</t>
  </si>
  <si>
    <r>
      <rPr>
        <sz val="9"/>
        <color rgb="FF6E6368"/>
        <rFont val="WenQuanYi Zen Hei"/>
        <family val="2"/>
      </rPr>
      <t xml:space="preserve">仮定：製造拠点の確保で</t>
    </r>
    <r>
      <rPr>
        <sz val="9"/>
        <color rgb="FF6E6368"/>
        <rFont val="Arial"/>
        <family val="0"/>
        <charset val="1"/>
      </rPr>
      <t xml:space="preserve">2028</t>
    </r>
    <r>
      <rPr>
        <sz val="9"/>
        <color rgb="FF6E6368"/>
        <rFont val="WenQuanYi Zen Hei"/>
        <family val="2"/>
      </rPr>
      <t xml:space="preserve">〜</t>
    </r>
    <r>
      <rPr>
        <sz val="9"/>
        <color rgb="FF6E6368"/>
        <rFont val="Arial"/>
        <family val="0"/>
        <charset val="1"/>
      </rPr>
      <t xml:space="preserve">2029</t>
    </r>
    <r>
      <rPr>
        <sz val="9"/>
        <color rgb="FF6E6368"/>
        <rFont val="WenQuanYi Zen Hei"/>
        <family val="2"/>
      </rPr>
      <t xml:space="preserve">年に拡大</t>
    </r>
  </si>
  <si>
    <t xml:space="preserve">食材・ワインの単価上昇率</t>
  </si>
  <si>
    <t xml:space="preserve">人件費・経費の上昇率</t>
  </si>
  <si>
    <t xml:space="preserve">仮定（賃上げ）</t>
  </si>
  <si>
    <t xml:space="preserve">後継料理長の追加人件費</t>
  </si>
  <si>
    <r>
      <rPr>
        <sz val="9"/>
        <color rgb="FF6E6368"/>
        <rFont val="WenQuanYi Zen Hei"/>
        <family val="2"/>
      </rPr>
      <t xml:space="preserve">仮定：</t>
    </r>
    <r>
      <rPr>
        <sz val="9"/>
        <color rgb="FF6E6368"/>
        <rFont val="Arial"/>
        <family val="0"/>
        <charset val="1"/>
      </rPr>
      <t xml:space="preserve">2028</t>
    </r>
    <r>
      <rPr>
        <sz val="9"/>
        <color rgb="FF6E6368"/>
        <rFont val="WenQuanYi Zen Hei"/>
        <family val="2"/>
      </rPr>
      <t xml:space="preserve">年から年</t>
    </r>
    <r>
      <rPr>
        <sz val="9"/>
        <color rgb="FF6E6368"/>
        <rFont val="Arial"/>
        <family val="0"/>
        <charset val="1"/>
      </rPr>
      <t xml:space="preserve">15</t>
    </r>
    <r>
      <rPr>
        <sz val="9"/>
        <color rgb="FF6E6368"/>
        <rFont val="WenQuanYi Zen Hei"/>
        <family val="2"/>
      </rPr>
      <t xml:space="preserve">百万円</t>
    </r>
  </si>
  <si>
    <t xml:space="preserve">岸田氏の役員報酬</t>
  </si>
  <si>
    <r>
      <rPr>
        <sz val="9"/>
        <color rgb="FF6E6368"/>
        <rFont val="WenQuanYi Zen Hei"/>
        <family val="2"/>
      </rPr>
      <t xml:space="preserve">条件合意：ロックアップ</t>
    </r>
    <r>
      <rPr>
        <sz val="9"/>
        <color rgb="FF6E6368"/>
        <rFont val="Arial"/>
        <family val="0"/>
        <charset val="1"/>
      </rPr>
      <t xml:space="preserve">3</t>
    </r>
    <r>
      <rPr>
        <sz val="9"/>
        <color rgb="FF6E6368"/>
        <rFont val="WenQuanYi Zen Hei"/>
        <family val="2"/>
      </rPr>
      <t xml:space="preserve">年（</t>
    </r>
    <r>
      <rPr>
        <sz val="9"/>
        <color rgb="FF6E6368"/>
        <rFont val="Arial"/>
        <family val="0"/>
        <charset val="1"/>
      </rPr>
      <t xml:space="preserve">B</t>
    </r>
    <r>
      <rPr>
        <sz val="9"/>
        <color rgb="FF6E6368"/>
        <rFont val="WenQuanYi Zen Hei"/>
        <family val="2"/>
      </rPr>
      <t xml:space="preserve">案）は年</t>
    </r>
    <r>
      <rPr>
        <sz val="9"/>
        <color rgb="FF6E6368"/>
        <rFont val="Arial"/>
        <family val="0"/>
        <charset val="1"/>
      </rPr>
      <t xml:space="preserve">2,000</t>
    </r>
    <r>
      <rPr>
        <sz val="9"/>
        <color rgb="FF6E6368"/>
        <rFont val="WenQuanYi Zen Hei"/>
        <family val="2"/>
      </rPr>
      <t xml:space="preserve">万円、以降は出勤義務なし</t>
    </r>
  </si>
  <si>
    <t xml:space="preserve">岸田氏法人へのコンサルティング費（アーンアウト）</t>
  </si>
  <si>
    <r>
      <rPr>
        <sz val="9"/>
        <color rgb="FF6E6368"/>
        <rFont val="WenQuanYi Zen Hei"/>
        <family val="2"/>
      </rPr>
      <t xml:space="preserve">ユーザー指定：</t>
    </r>
    <r>
      <rPr>
        <sz val="9"/>
        <color rgb="FF6E6368"/>
        <rFont val="Arial"/>
        <family val="0"/>
        <charset val="1"/>
      </rPr>
      <t xml:space="preserve">4</t>
    </r>
    <r>
      <rPr>
        <sz val="9"/>
        <color rgb="FF6E6368"/>
        <rFont val="WenQuanYi Zen Hei"/>
        <family val="2"/>
      </rPr>
      <t xml:space="preserve">年目・</t>
    </r>
    <r>
      <rPr>
        <sz val="9"/>
        <color rgb="FF6E6368"/>
        <rFont val="Arial"/>
        <family val="0"/>
        <charset val="1"/>
      </rPr>
      <t xml:space="preserve">5</t>
    </r>
    <r>
      <rPr>
        <sz val="9"/>
        <color rgb="FF6E6368"/>
        <rFont val="WenQuanYi Zen Hei"/>
        <family val="2"/>
      </rPr>
      <t xml:space="preserve">年目に三つ星維持で各</t>
    </r>
    <r>
      <rPr>
        <sz val="9"/>
        <color rgb="FF6E6368"/>
        <rFont val="Arial"/>
        <family val="0"/>
        <charset val="1"/>
      </rPr>
      <t xml:space="preserve">4</t>
    </r>
    <r>
      <rPr>
        <sz val="9"/>
        <color rgb="FF6E6368"/>
        <rFont val="WenQuanYi Zen Hei"/>
        <family val="2"/>
      </rPr>
      <t xml:space="preserve">億円、対象会社の費用として支払う</t>
    </r>
  </si>
  <si>
    <r>
      <rPr>
        <b val="true"/>
        <sz val="14"/>
        <rFont val="WenQuanYi Zen Hei"/>
        <family val="2"/>
      </rPr>
      <t xml:space="preserve">カンテサンス </t>
    </r>
    <r>
      <rPr>
        <b val="true"/>
        <sz val="14"/>
        <rFont val="Arial"/>
        <family val="0"/>
        <charset val="1"/>
      </rPr>
      <t xml:space="preserve">CF</t>
    </r>
    <r>
      <rPr>
        <b val="true"/>
        <sz val="14"/>
        <rFont val="WenQuanYi Zen Hei"/>
        <family val="2"/>
      </rPr>
      <t xml:space="preserve">計画（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2032</t>
    </r>
    <r>
      <rPr>
        <b val="true"/>
        <sz val="14"/>
        <rFont val="WenQuanYi Zen Hei"/>
        <family val="2"/>
      </rPr>
      <t xml:space="preserve">年・三つ星維持ケース）</t>
    </r>
  </si>
  <si>
    <t xml:space="preserve">単位：百万円。前提条件シートの値を参照して計算しています（緑字＝他シート参照）。</t>
  </si>
  <si>
    <r>
      <rPr>
        <b val="true"/>
        <sz val="10"/>
        <color rgb="FFFFFFFF"/>
        <rFont val="Arial"/>
        <family val="0"/>
        <charset val="1"/>
      </rPr>
      <t xml:space="preserve">FY2026</t>
    </r>
    <r>
      <rPr>
        <b val="true"/>
        <sz val="10"/>
        <color rgb="FFFFFFFF"/>
        <rFont val="WenQuanYi Zen Hei"/>
        <family val="2"/>
      </rPr>
      <t xml:space="preserve">（参考）</t>
    </r>
  </si>
  <si>
    <t xml:space="preserve">レストラン売上</t>
  </si>
  <si>
    <t xml:space="preserve">物販売上</t>
  </si>
  <si>
    <t xml:space="preserve">売上原価（レストラン）</t>
  </si>
  <si>
    <t xml:space="preserve">売上原価（物販）</t>
  </si>
  <si>
    <t xml:space="preserve">売上総利益</t>
  </si>
  <si>
    <t xml:space="preserve">　粗利率</t>
  </si>
  <si>
    <r>
      <rPr>
        <sz val="10"/>
        <rFont val="Arial"/>
        <family val="0"/>
        <charset val="1"/>
      </rPr>
      <t xml:space="preserve">AM</t>
    </r>
    <r>
      <rPr>
        <sz val="10"/>
        <rFont val="WenQuanYi Zen Hei"/>
        <family val="2"/>
      </rPr>
      <t xml:space="preserve">管理報酬</t>
    </r>
  </si>
  <si>
    <t xml:space="preserve">岸田氏法人へのコンサルティング費</t>
  </si>
  <si>
    <t xml:space="preserve">販管費合計</t>
  </si>
  <si>
    <t xml:space="preserve">減価償却費</t>
  </si>
  <si>
    <t xml:space="preserve">　営業利益率</t>
  </si>
  <si>
    <t xml:space="preserve">支払利息</t>
  </si>
  <si>
    <t xml:space="preserve">税引前利益</t>
  </si>
  <si>
    <t xml:space="preserve">法人税等</t>
  </si>
  <si>
    <t xml:space="preserve">■ キャッシュフロー</t>
  </si>
  <si>
    <t xml:space="preserve">設備投資</t>
  </si>
  <si>
    <r>
      <rPr>
        <sz val="10"/>
        <rFont val="Arial"/>
        <family val="0"/>
        <charset val="1"/>
      </rPr>
      <t xml:space="preserve">FY2026</t>
    </r>
    <r>
      <rPr>
        <sz val="10"/>
        <rFont val="WenQuanYi Zen Hei"/>
        <family val="2"/>
      </rPr>
      <t xml:space="preserve">分 法人税の納付（退職金の損金算入後）</t>
    </r>
  </si>
  <si>
    <r>
      <rPr>
        <b val="true"/>
        <sz val="10"/>
        <rFont val="WenQuanYi Zen Hei"/>
        <family val="2"/>
      </rPr>
      <t xml:space="preserve">営業</t>
    </r>
    <r>
      <rPr>
        <b val="true"/>
        <sz val="10"/>
        <rFont val="Arial"/>
        <family val="0"/>
        <charset val="1"/>
      </rPr>
      <t xml:space="preserve">CF</t>
    </r>
    <r>
      <rPr>
        <b val="true"/>
        <sz val="10"/>
        <rFont val="WenQuanYi Zen Hei"/>
        <family val="2"/>
      </rPr>
      <t xml:space="preserve">（借入返済前）</t>
    </r>
  </si>
  <si>
    <t xml:space="preserve">借入元本の返済</t>
  </si>
  <si>
    <r>
      <rPr>
        <b val="true"/>
        <sz val="10"/>
        <rFont val="WenQuanYi Zen Hei"/>
        <family val="2"/>
      </rPr>
      <t xml:space="preserve">借入返済後の</t>
    </r>
    <r>
      <rPr>
        <b val="true"/>
        <sz val="10"/>
        <rFont val="Arial"/>
        <family val="0"/>
        <charset val="1"/>
      </rPr>
      <t xml:space="preserve">CF</t>
    </r>
  </si>
  <si>
    <r>
      <rPr>
        <b val="true"/>
        <sz val="10"/>
        <rFont val="WenQuanYi Zen Hei"/>
        <family val="2"/>
      </rPr>
      <t xml:space="preserve">■ 買収借入（</t>
    </r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年元利均等）</t>
    </r>
  </si>
  <si>
    <t xml:space="preserve">期首残高</t>
  </si>
  <si>
    <t xml:space="preserve">元利返済額</t>
  </si>
  <si>
    <t xml:space="preserve">　うち利息</t>
  </si>
  <si>
    <t xml:space="preserve">　うち元本</t>
  </si>
  <si>
    <t xml:space="preserve">期末残高</t>
  </si>
  <si>
    <r>
      <rPr>
        <b val="true"/>
        <sz val="10"/>
        <rFont val="Arial"/>
        <family val="0"/>
        <charset val="1"/>
      </rPr>
      <t xml:space="preserve">DSCR</t>
    </r>
    <r>
      <rPr>
        <b val="true"/>
        <sz val="10"/>
        <rFont val="WenQuanYi Zen Hei"/>
        <family val="2"/>
      </rPr>
      <t xml:space="preserve">（返済余力）</t>
    </r>
  </si>
  <si>
    <r>
      <rPr>
        <sz val="9"/>
        <color rgb="FF6E6368"/>
        <rFont val="Arial"/>
        <family val="0"/>
        <charset val="1"/>
      </rPr>
      <t xml:space="preserve">DSCR</t>
    </r>
    <r>
      <rPr>
        <sz val="9"/>
        <color rgb="FF6E6368"/>
        <rFont val="WenQuanYi Zen Hei"/>
        <family val="2"/>
      </rPr>
      <t xml:space="preserve">＝（</t>
    </r>
    <r>
      <rPr>
        <sz val="9"/>
        <color rgb="FF6E6368"/>
        <rFont val="Arial"/>
        <family val="0"/>
        <charset val="1"/>
      </rPr>
      <t xml:space="preserve">EBITDA−</t>
    </r>
    <r>
      <rPr>
        <sz val="9"/>
        <color rgb="FF6E6368"/>
        <rFont val="WenQuanYi Zen Hei"/>
        <family val="2"/>
      </rPr>
      <t xml:space="preserve">法人税等−設備投資）</t>
    </r>
    <r>
      <rPr>
        <sz val="9"/>
        <color rgb="FF6E6368"/>
        <rFont val="Arial"/>
        <family val="0"/>
        <charset val="1"/>
      </rPr>
      <t xml:space="preserve">÷</t>
    </r>
    <r>
      <rPr>
        <sz val="9"/>
        <color rgb="FF6E6368"/>
        <rFont val="WenQuanYi Zen Hei"/>
        <family val="2"/>
      </rPr>
      <t xml:space="preserve">元利返済額。</t>
    </r>
    <r>
      <rPr>
        <sz val="9"/>
        <color rgb="FF6E6368"/>
        <rFont val="Arial"/>
        <family val="0"/>
        <charset val="1"/>
      </rPr>
      <t xml:space="preserve">1.0</t>
    </r>
    <r>
      <rPr>
        <sz val="9"/>
        <color rgb="FF6E6368"/>
        <rFont val="WenQuanYi Zen Hei"/>
        <family val="2"/>
      </rPr>
      <t xml:space="preserve">倍未満の年は、それまでに積み上がった現金で返済します。</t>
    </r>
  </si>
  <si>
    <t xml:space="preserve">■ 損金算入による節税効果（ご参考）</t>
  </si>
  <si>
    <r>
      <rPr>
        <sz val="10"/>
        <rFont val="WenQuanYi Zen Hei"/>
        <family val="2"/>
      </rPr>
      <t xml:space="preserve">決済時の役員退職金（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年度に損金算入）</t>
    </r>
  </si>
  <si>
    <t xml:space="preserve">コンサルティング費（アーンアウト）</t>
  </si>
  <si>
    <t xml:space="preserve">節税効果 合計</t>
  </si>
  <si>
    <t xml:space="preserve">節税効果 累計</t>
  </si>
  <si>
    <r>
      <rPr>
        <sz val="9"/>
        <color rgb="FF6E6368"/>
        <rFont val="WenQuanYi Zen Hei"/>
        <family val="2"/>
      </rPr>
      <t xml:space="preserve">株式対価で支払った場合はいずれも損金にならず、この節税効果は生じません。退職金の効果は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年度の税額減少として、</t>
    </r>
    <r>
      <rPr>
        <sz val="9"/>
        <color rgb="FF6E6368"/>
        <rFont val="Arial"/>
        <family val="0"/>
        <charset val="1"/>
      </rPr>
      <t xml:space="preserve">2027</t>
    </r>
    <r>
      <rPr>
        <sz val="9"/>
        <color rgb="FF6E6368"/>
        <rFont val="WenQuanYi Zen Hei"/>
        <family val="2"/>
      </rPr>
      <t xml:space="preserve">年の納付時に現金化します。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</si>
</sst>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\x;\(0.00&quot;x)&quot;;\-"/>
    <numFmt numFmtId="167" formatCode="0.0%;\(0.0%\);\-"/>
    <numFmt numFmtId="168" formatCode="#,##0.0;\(#,##0.0\);\-"/>
    <numFmt numFmtId="169" formatCode="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E6368"/>
      <name val="WenQuanYi Zen Hei"/>
      <family val="2"/>
    </font>
    <font>
      <sz val="9"/>
      <color rgb="FF6E6368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1"/>
      <color theme="1"/>
      <name val="WenQuanYi Zen Hei"/>
      <family val="2"/>
    </font>
    <font>
      <sz val="9"/>
      <name val="WenQuanYi Zen Hei"/>
      <family val="2"/>
    </font>
    <font>
      <sz val="9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6D2E46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7F3F4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D2E46"/>
      <rgbColor rgb="FFF7F3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36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1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false" outlineLevel="0" collapsed="false">
      <c r="A5" s="5" t="s">
        <v>10</v>
      </c>
      <c r="B5" s="6" t="n">
        <f aca="false">CF計画!C7</f>
        <v>1069.25</v>
      </c>
      <c r="C5" s="6" t="n">
        <f aca="false">CF計画!D7</f>
        <v>1134.2625</v>
      </c>
      <c r="D5" s="6" t="n">
        <f aca="false">CF計画!E7</f>
        <v>1183.998375</v>
      </c>
      <c r="E5" s="6" t="n">
        <f aca="false">CF計画!F7</f>
        <v>1227.27992625</v>
      </c>
      <c r="F5" s="6" t="n">
        <f aca="false">CF計画!G7</f>
        <v>1272.6360840375</v>
      </c>
      <c r="G5" s="6" t="n">
        <f aca="false">CF計画!H7</f>
        <v>1320.20670255863</v>
      </c>
      <c r="H5" s="7" t="n">
        <f aca="false">SUM(B5:G5)</f>
        <v>7207.63358784613</v>
      </c>
    </row>
    <row r="6" customFormat="false" ht="15" hidden="false" customHeight="false" outlineLevel="0" collapsed="false">
      <c r="A6" s="8" t="s">
        <v>11</v>
      </c>
      <c r="B6" s="6" t="n">
        <f aca="false">CF計画!C18</f>
        <v>590.603</v>
      </c>
      <c r="C6" s="6" t="n">
        <f aca="false">CF計画!D18</f>
        <v>624.10459</v>
      </c>
      <c r="D6" s="6" t="n">
        <f aca="false">CF計画!E18</f>
        <v>655.9179277</v>
      </c>
      <c r="E6" s="6" t="n">
        <f aca="false">CF計画!F18</f>
        <v>303.520505531</v>
      </c>
      <c r="F6" s="6" t="n">
        <f aca="false">CF計画!G18</f>
        <v>332.45566469693</v>
      </c>
      <c r="G6" s="6" t="n">
        <f aca="false">CF計画!H18</f>
        <v>762.813833037838</v>
      </c>
      <c r="H6" s="7" t="n">
        <f aca="false">SUM(B6:G6)</f>
        <v>3269.41552096577</v>
      </c>
    </row>
    <row r="7" customFormat="false" ht="15" hidden="false" customHeight="false" outlineLevel="0" collapsed="false">
      <c r="A7" s="5" t="s">
        <v>12</v>
      </c>
      <c r="B7" s="6" t="n">
        <f aca="false">CF計画!C20</f>
        <v>580.603</v>
      </c>
      <c r="C7" s="6" t="n">
        <f aca="false">CF計画!D20</f>
        <v>614.10459</v>
      </c>
      <c r="D7" s="6" t="n">
        <f aca="false">CF計画!E20</f>
        <v>645.9179277</v>
      </c>
      <c r="E7" s="6" t="n">
        <f aca="false">CF計画!F20</f>
        <v>293.520505531</v>
      </c>
      <c r="F7" s="6" t="n">
        <f aca="false">CF計画!G20</f>
        <v>322.45566469693</v>
      </c>
      <c r="G7" s="6" t="n">
        <f aca="false">CF計画!H20</f>
        <v>752.813833037838</v>
      </c>
      <c r="H7" s="7" t="n">
        <f aca="false">SUM(B7:G7)</f>
        <v>3209.41552096577</v>
      </c>
    </row>
    <row r="8" customFormat="false" ht="15" hidden="false" customHeight="false" outlineLevel="0" collapsed="false">
      <c r="A8" s="5" t="s">
        <v>13</v>
      </c>
      <c r="B8" s="6" t="n">
        <f aca="false">CF計画!C25</f>
        <v>341.515568</v>
      </c>
      <c r="C8" s="6" t="n">
        <f aca="false">CF計画!D25</f>
        <v>368.629341123768</v>
      </c>
      <c r="D8" s="6" t="n">
        <f aca="false">CF計画!E25</f>
        <v>394.789722641249</v>
      </c>
      <c r="E8" s="6" t="n">
        <f aca="false">CF計画!F25</f>
        <v>169.066570644255</v>
      </c>
      <c r="F8" s="6" t="n">
        <f aca="false">CF計画!G25</f>
        <v>193.661078711351</v>
      </c>
      <c r="G8" s="6" t="n">
        <f aca="false">CF計画!H25</f>
        <v>481.75747210686</v>
      </c>
      <c r="H8" s="7" t="n">
        <f aca="false">SUM(B8:G8)</f>
        <v>1949.41975322748</v>
      </c>
    </row>
    <row r="9" customFormat="false" ht="15" hidden="false" customHeight="false" outlineLevel="0" collapsed="false">
      <c r="A9" s="5" t="s">
        <v>14</v>
      </c>
      <c r="B9" s="6" t="n">
        <f aca="false">CF計画!C34</f>
        <v>23.902860491456</v>
      </c>
      <c r="C9" s="6" t="n">
        <f aca="false">CF計画!D34</f>
        <v>79.7862523899678</v>
      </c>
      <c r="D9" s="6" t="n">
        <f aca="false">CF計画!E34</f>
        <v>97.8813412454349</v>
      </c>
      <c r="E9" s="6" t="n">
        <f aca="false">CF計画!F34</f>
        <v>-136.149062193434</v>
      </c>
      <c r="F9" s="6" t="n">
        <f aca="false">CF計画!G34</f>
        <v>-120.111023111469</v>
      </c>
      <c r="G9" s="6" t="n">
        <f aca="false">CF計画!H34</f>
        <v>159.172207229356</v>
      </c>
      <c r="H9" s="7" t="n">
        <f aca="false">SUM(B9:G9)</f>
        <v>104.482576051312</v>
      </c>
    </row>
    <row r="10" customFormat="false" ht="15" hidden="false" customHeight="false" outlineLevel="0" collapsed="false">
      <c r="A10" s="5" t="s">
        <v>15</v>
      </c>
      <c r="B10" s="6" t="n">
        <f aca="false">CF計画!C35</f>
        <v>123.902860491456</v>
      </c>
      <c r="C10" s="6" t="n">
        <f aca="false">CF計画!D35</f>
        <v>203.689112881424</v>
      </c>
      <c r="D10" s="6" t="n">
        <f aca="false">CF計画!E35</f>
        <v>301.570454126859</v>
      </c>
      <c r="E10" s="6" t="n">
        <f aca="false">CF計画!F35</f>
        <v>165.421391933425</v>
      </c>
      <c r="F10" s="6" t="n">
        <f aca="false">CF計画!G35</f>
        <v>45.3103688219562</v>
      </c>
      <c r="G10" s="6" t="n">
        <f aca="false">CF計画!H35</f>
        <v>204.482576051312</v>
      </c>
    </row>
    <row r="11" customFormat="false" ht="15" hidden="false" customHeight="false" outlineLevel="0" collapsed="false">
      <c r="A11" s="5" t="s">
        <v>16</v>
      </c>
      <c r="B11" s="6" t="n">
        <f aca="false">CF計画!C42</f>
        <v>1738.98729249146</v>
      </c>
      <c r="C11" s="6" t="n">
        <f aca="false">CF計画!D42</f>
        <v>1470.14420375766</v>
      </c>
      <c r="D11" s="6" t="n">
        <f aca="false">CF計画!E42</f>
        <v>1193.23582236184</v>
      </c>
      <c r="E11" s="6" t="n">
        <f aca="false">CF計画!F42</f>
        <v>908.020189524153</v>
      </c>
      <c r="F11" s="6" t="n">
        <f aca="false">CF計画!G42</f>
        <v>614.248087701333</v>
      </c>
      <c r="G11" s="6" t="n">
        <f aca="false">CF計画!H42</f>
        <v>311.662822823829</v>
      </c>
    </row>
    <row r="12" customFormat="false" ht="15" hidden="false" customHeight="false" outlineLevel="0" collapsed="false">
      <c r="A12" s="8" t="s">
        <v>17</v>
      </c>
      <c r="B12" s="9" t="n">
        <f aca="false">CF計画!C43</f>
        <v>1.18847497023103</v>
      </c>
      <c r="C12" s="9" t="n">
        <f aca="false">CF計画!D43</f>
        <v>1.24854546416311</v>
      </c>
      <c r="D12" s="9" t="n">
        <f aca="false">CF計画!E43</f>
        <v>1.30491422599783</v>
      </c>
      <c r="E12" s="9" t="n">
        <f aca="false">CF計画!F43</f>
        <v>0.575876409223426</v>
      </c>
      <c r="F12" s="9" t="n">
        <f aca="false">CF計画!G43</f>
        <v>0.625837169987198</v>
      </c>
      <c r="G12" s="9" t="n">
        <f aca="false">CF計画!H43</f>
        <v>1.49584394482302</v>
      </c>
    </row>
    <row r="13" customFormat="false" ht="15" hidden="false" customHeight="false" outlineLevel="0" collapsed="false">
      <c r="A13" s="5" t="s">
        <v>18</v>
      </c>
      <c r="B13" s="6" t="n">
        <f aca="false">CF計画!C49</f>
        <v>77.4</v>
      </c>
      <c r="C13" s="6" t="n">
        <f aca="false">CF計画!D49</f>
        <v>0</v>
      </c>
      <c r="D13" s="6" t="n">
        <f aca="false">CF計画!E49</f>
        <v>0</v>
      </c>
      <c r="E13" s="6" t="n">
        <f aca="false">CF計画!F49</f>
        <v>137.6</v>
      </c>
      <c r="F13" s="6" t="n">
        <f aca="false">CF計画!G49</f>
        <v>137.6</v>
      </c>
      <c r="G13" s="6" t="n">
        <f aca="false">CF計画!H49</f>
        <v>0</v>
      </c>
      <c r="H13" s="7" t="n">
        <f aca="false">SUM(B13:G13)</f>
        <v>352.6</v>
      </c>
    </row>
    <row r="15" customFormat="false" ht="15" hidden="false" customHeight="false" outlineLevel="0" collapsed="false">
      <c r="A15" s="10" t="s">
        <v>19</v>
      </c>
      <c r="B15" s="11" t="n">
        <f aca="false">MIN(B12:G12)</f>
        <v>0.575876409223426</v>
      </c>
    </row>
    <row r="16" customFormat="false" ht="15" hidden="false" customHeight="false" outlineLevel="0" collapsed="false">
      <c r="A16" s="10" t="s">
        <v>20</v>
      </c>
      <c r="B16" s="12" t="str">
        <f aca="false">INDEX(B4:G4,MATCH(B15,B12:G12,0))</f>
        <v>2030</v>
      </c>
    </row>
    <row r="17" customFormat="false" ht="15" hidden="false" customHeight="false" outlineLevel="0" collapsed="false">
      <c r="A17" s="0" t="s">
        <v>21</v>
      </c>
      <c r="B17" s="7" t="n">
        <f aca="false">G10</f>
        <v>204.482576051312</v>
      </c>
    </row>
    <row r="19" customFormat="false" ht="39.75" hidden="false" customHeight="true" outlineLevel="0" collapsed="false">
      <c r="A19" s="13" t="s">
        <v>22</v>
      </c>
      <c r="B19" s="13"/>
      <c r="C19" s="13"/>
      <c r="D19" s="13"/>
      <c r="E19" s="13"/>
      <c r="F19" s="13"/>
      <c r="G19" s="13"/>
      <c r="H19" s="13"/>
    </row>
    <row r="20" customFormat="false" ht="39.75" hidden="false" customHeight="true" outlineLevel="0" collapsed="false">
      <c r="A20" s="13" t="s">
        <v>23</v>
      </c>
      <c r="B20" s="13"/>
      <c r="C20" s="13"/>
      <c r="D20" s="13"/>
      <c r="E20" s="13"/>
      <c r="F20" s="13"/>
      <c r="G20" s="13"/>
      <c r="H20" s="13"/>
    </row>
    <row r="21" customFormat="false" ht="39.75" hidden="false" customHeight="true" outlineLevel="0" collapsed="false">
      <c r="A21" s="13" t="s">
        <v>24</v>
      </c>
      <c r="B21" s="13"/>
      <c r="C21" s="13"/>
      <c r="D21" s="13"/>
      <c r="E21" s="13"/>
      <c r="F21" s="13"/>
      <c r="G21" s="13"/>
      <c r="H21" s="13"/>
    </row>
    <row r="22" customFormat="false" ht="39.75" hidden="false" customHeight="true" outlineLevel="0" collapsed="false">
      <c r="A22" s="13" t="s">
        <v>25</v>
      </c>
      <c r="B22" s="13"/>
      <c r="C22" s="13"/>
      <c r="D22" s="13"/>
      <c r="E22" s="13"/>
      <c r="F22" s="13"/>
      <c r="G22" s="13"/>
      <c r="H22" s="13"/>
    </row>
  </sheetData>
  <mergeCells count="4">
    <mergeCell ref="A19:H19"/>
    <mergeCell ref="A20:H20"/>
    <mergeCell ref="A21:H21"/>
    <mergeCell ref="A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8" min="3" style="0" width="10"/>
    <col collapsed="false" customWidth="true" hidden="false" outlineLevel="0" max="9" min="9" style="0" width="62"/>
  </cols>
  <sheetData>
    <row r="1" customFormat="false" ht="19.4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3" t="s">
        <v>28</v>
      </c>
      <c r="B4" s="4" t="s">
        <v>29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3" t="s">
        <v>30</v>
      </c>
    </row>
    <row r="5" customFormat="false" ht="15" hidden="false" customHeight="false" outlineLevel="0" collapsed="false">
      <c r="A5" s="14" t="s">
        <v>31</v>
      </c>
    </row>
    <row r="6" customFormat="false" ht="15" hidden="false" customHeight="false" outlineLevel="0" collapsed="false">
      <c r="A6" s="5" t="s">
        <v>10</v>
      </c>
      <c r="B6" s="15" t="n">
        <v>1015</v>
      </c>
      <c r="I6" s="16" t="s">
        <v>32</v>
      </c>
    </row>
    <row r="7" customFormat="false" ht="15" hidden="false" customHeight="false" outlineLevel="0" collapsed="false">
      <c r="A7" s="5" t="s">
        <v>33</v>
      </c>
      <c r="B7" s="15" t="n">
        <v>70</v>
      </c>
      <c r="I7" s="2" t="s">
        <v>34</v>
      </c>
    </row>
    <row r="8" customFormat="false" ht="15" hidden="false" customHeight="false" outlineLevel="0" collapsed="false">
      <c r="A8" s="5" t="s">
        <v>35</v>
      </c>
      <c r="B8" s="15" t="n">
        <v>233</v>
      </c>
      <c r="I8" s="16" t="s">
        <v>36</v>
      </c>
    </row>
    <row r="9" customFormat="false" ht="15" hidden="false" customHeight="false" outlineLevel="0" collapsed="false">
      <c r="A9" s="5" t="s">
        <v>37</v>
      </c>
      <c r="B9" s="17" t="n">
        <v>0.35</v>
      </c>
      <c r="I9" s="2" t="s">
        <v>38</v>
      </c>
    </row>
    <row r="10" customFormat="false" ht="15" hidden="false" customHeight="false" outlineLevel="0" collapsed="false">
      <c r="A10" s="5" t="s">
        <v>12</v>
      </c>
      <c r="B10" s="15" t="n">
        <v>528</v>
      </c>
      <c r="I10" s="16" t="s">
        <v>39</v>
      </c>
    </row>
    <row r="11" customFormat="false" ht="15" hidden="false" customHeight="false" outlineLevel="0" collapsed="false">
      <c r="A11" s="5" t="s">
        <v>40</v>
      </c>
      <c r="B11" s="18" t="n">
        <v>102.6</v>
      </c>
      <c r="I11" s="2" t="s">
        <v>41</v>
      </c>
    </row>
    <row r="12" customFormat="false" ht="15" hidden="false" customHeight="false" outlineLevel="0" collapsed="false">
      <c r="A12" s="5" t="s">
        <v>42</v>
      </c>
      <c r="B12" s="19" t="n">
        <f aca="false">B6-B8-B10-B11</f>
        <v>151.4</v>
      </c>
      <c r="I12" s="2" t="s">
        <v>43</v>
      </c>
    </row>
    <row r="14" customFormat="false" ht="15" hidden="false" customHeight="false" outlineLevel="0" collapsed="false">
      <c r="A14" s="14" t="s">
        <v>44</v>
      </c>
    </row>
    <row r="15" customFormat="false" ht="15" hidden="false" customHeight="false" outlineLevel="0" collapsed="false">
      <c r="A15" s="5" t="s">
        <v>45</v>
      </c>
      <c r="B15" s="20" t="n">
        <v>0.344</v>
      </c>
      <c r="I15" s="16" t="s">
        <v>46</v>
      </c>
    </row>
    <row r="16" customFormat="false" ht="15" hidden="false" customHeight="false" outlineLevel="0" collapsed="false">
      <c r="A16" s="5" t="s">
        <v>47</v>
      </c>
      <c r="B16" s="15" t="n">
        <v>10</v>
      </c>
      <c r="I16" s="2" t="s">
        <v>48</v>
      </c>
    </row>
    <row r="17" customFormat="false" ht="15" hidden="false" customHeight="false" outlineLevel="0" collapsed="false">
      <c r="A17" s="5" t="s">
        <v>49</v>
      </c>
      <c r="B17" s="15" t="n">
        <v>30</v>
      </c>
      <c r="I17" s="2" t="s">
        <v>50</v>
      </c>
    </row>
    <row r="18" customFormat="false" ht="15" hidden="false" customHeight="false" outlineLevel="0" collapsed="false">
      <c r="A18" s="5" t="s">
        <v>51</v>
      </c>
      <c r="B18" s="15" t="n">
        <v>100</v>
      </c>
      <c r="I18" s="2" t="s">
        <v>52</v>
      </c>
    </row>
    <row r="19" customFormat="false" ht="15" hidden="false" customHeight="false" outlineLevel="0" collapsed="false">
      <c r="A19" s="8" t="s">
        <v>53</v>
      </c>
      <c r="B19" s="15" t="n">
        <v>114</v>
      </c>
      <c r="I19" s="2" t="s">
        <v>54</v>
      </c>
    </row>
    <row r="20" customFormat="false" ht="15" hidden="false" customHeight="false" outlineLevel="0" collapsed="false">
      <c r="A20" s="5" t="s">
        <v>55</v>
      </c>
      <c r="B20" s="21" t="n">
        <v>225</v>
      </c>
      <c r="I20" s="2" t="s">
        <v>56</v>
      </c>
    </row>
    <row r="21" customFormat="false" ht="15" hidden="false" customHeight="false" outlineLevel="0" collapsed="false">
      <c r="A21" s="8" t="s">
        <v>57</v>
      </c>
      <c r="B21" s="15" t="n">
        <v>61</v>
      </c>
      <c r="I21" s="16" t="s">
        <v>58</v>
      </c>
    </row>
    <row r="23" customFormat="false" ht="15" hidden="false" customHeight="false" outlineLevel="0" collapsed="false">
      <c r="A23" s="14" t="s">
        <v>59</v>
      </c>
    </row>
    <row r="24" customFormat="false" ht="15" hidden="false" customHeight="false" outlineLevel="0" collapsed="false">
      <c r="A24" s="5" t="s">
        <v>60</v>
      </c>
      <c r="B24" s="21" t="n">
        <v>2000</v>
      </c>
      <c r="I24" s="2" t="s">
        <v>61</v>
      </c>
    </row>
    <row r="25" customFormat="false" ht="15" hidden="false" customHeight="false" outlineLevel="0" collapsed="false">
      <c r="A25" s="5" t="s">
        <v>62</v>
      </c>
      <c r="B25" s="20" t="n">
        <v>0.03</v>
      </c>
      <c r="I25" s="2" t="s">
        <v>63</v>
      </c>
    </row>
    <row r="26" customFormat="false" ht="15" hidden="false" customHeight="false" outlineLevel="0" collapsed="false">
      <c r="A26" s="5" t="s">
        <v>64</v>
      </c>
      <c r="B26" s="22" t="n">
        <v>7</v>
      </c>
      <c r="I26" s="2" t="s">
        <v>65</v>
      </c>
    </row>
    <row r="28" customFormat="false" ht="15" hidden="false" customHeight="false" outlineLevel="0" collapsed="false">
      <c r="A28" s="14" t="s">
        <v>66</v>
      </c>
    </row>
    <row r="29" customFormat="false" ht="15" hidden="false" customHeight="false" outlineLevel="0" collapsed="false">
      <c r="A29" s="5" t="s">
        <v>67</v>
      </c>
      <c r="C29" s="17" t="n">
        <v>0.05</v>
      </c>
      <c r="D29" s="17" t="n">
        <v>0.05</v>
      </c>
      <c r="E29" s="17" t="n">
        <v>0.03</v>
      </c>
      <c r="F29" s="17" t="n">
        <v>0.03</v>
      </c>
      <c r="G29" s="17" t="n">
        <v>0.03</v>
      </c>
      <c r="H29" s="17" t="n">
        <v>0.03</v>
      </c>
      <c r="I29" s="2" t="s">
        <v>68</v>
      </c>
    </row>
    <row r="30" customFormat="false" ht="15" hidden="false" customHeight="false" outlineLevel="0" collapsed="false">
      <c r="A30" s="5" t="s">
        <v>69</v>
      </c>
      <c r="C30" s="20" t="n">
        <v>0</v>
      </c>
      <c r="D30" s="20" t="n">
        <v>0</v>
      </c>
      <c r="E30" s="20" t="n">
        <v>0</v>
      </c>
      <c r="F30" s="20" t="n">
        <v>0</v>
      </c>
      <c r="G30" s="20" t="n">
        <v>0</v>
      </c>
      <c r="H30" s="20" t="n">
        <v>0</v>
      </c>
      <c r="I30" s="2" t="s">
        <v>70</v>
      </c>
    </row>
    <row r="31" customFormat="false" ht="15" hidden="false" customHeight="false" outlineLevel="0" collapsed="false">
      <c r="A31" s="5" t="s">
        <v>71</v>
      </c>
      <c r="C31" s="17" t="n">
        <v>0.1</v>
      </c>
      <c r="D31" s="17" t="n">
        <v>0.2</v>
      </c>
      <c r="E31" s="17" t="n">
        <v>0.2</v>
      </c>
      <c r="F31" s="17" t="n">
        <v>0.1</v>
      </c>
      <c r="G31" s="17" t="n">
        <v>0.1</v>
      </c>
      <c r="H31" s="17" t="n">
        <v>0.1</v>
      </c>
      <c r="I31" s="2" t="s">
        <v>72</v>
      </c>
    </row>
    <row r="32" customFormat="false" ht="15" hidden="false" customHeight="false" outlineLevel="0" collapsed="false">
      <c r="A32" s="5" t="s">
        <v>73</v>
      </c>
      <c r="C32" s="20" t="n">
        <v>0.03</v>
      </c>
      <c r="D32" s="20" t="n">
        <v>0.03</v>
      </c>
      <c r="E32" s="20" t="n">
        <v>0.03</v>
      </c>
      <c r="F32" s="20" t="n">
        <v>0.03</v>
      </c>
      <c r="G32" s="20" t="n">
        <v>0.03</v>
      </c>
      <c r="H32" s="20" t="n">
        <v>0.03</v>
      </c>
      <c r="I32" s="2" t="s">
        <v>63</v>
      </c>
    </row>
    <row r="33" customFormat="false" ht="15" hidden="false" customHeight="false" outlineLevel="0" collapsed="false">
      <c r="A33" s="5" t="s">
        <v>74</v>
      </c>
      <c r="C33" s="20" t="n">
        <v>0.03</v>
      </c>
      <c r="D33" s="20" t="n">
        <v>0.03</v>
      </c>
      <c r="E33" s="20" t="n">
        <v>0.03</v>
      </c>
      <c r="F33" s="20" t="n">
        <v>0.03</v>
      </c>
      <c r="G33" s="20" t="n">
        <v>0.03</v>
      </c>
      <c r="H33" s="20" t="n">
        <v>0.03</v>
      </c>
      <c r="I33" s="2" t="s">
        <v>75</v>
      </c>
    </row>
    <row r="34" customFormat="false" ht="15" hidden="false" customHeight="false" outlineLevel="0" collapsed="false">
      <c r="A34" s="5" t="s">
        <v>76</v>
      </c>
      <c r="C34" s="15" t="n">
        <v>0</v>
      </c>
      <c r="D34" s="15" t="n">
        <v>15</v>
      </c>
      <c r="E34" s="15" t="n">
        <v>15</v>
      </c>
      <c r="F34" s="15" t="n">
        <v>15</v>
      </c>
      <c r="G34" s="15" t="n">
        <v>15</v>
      </c>
      <c r="H34" s="15" t="n">
        <v>15</v>
      </c>
      <c r="I34" s="2" t="s">
        <v>77</v>
      </c>
    </row>
    <row r="35" customFormat="false" ht="15" hidden="false" customHeight="false" outlineLevel="0" collapsed="false">
      <c r="A35" s="5" t="s">
        <v>78</v>
      </c>
      <c r="C35" s="21" t="n">
        <v>20</v>
      </c>
      <c r="D35" s="21" t="n">
        <v>20</v>
      </c>
      <c r="E35" s="21" t="n">
        <v>20</v>
      </c>
      <c r="F35" s="21" t="n">
        <v>0</v>
      </c>
      <c r="G35" s="21" t="n">
        <v>0</v>
      </c>
      <c r="H35" s="21" t="n">
        <v>0</v>
      </c>
      <c r="I35" s="2" t="s">
        <v>79</v>
      </c>
    </row>
    <row r="36" customFormat="false" ht="15" hidden="false" customHeight="false" outlineLevel="0" collapsed="false">
      <c r="A36" s="5" t="s">
        <v>80</v>
      </c>
      <c r="C36" s="21" t="n">
        <v>0</v>
      </c>
      <c r="D36" s="21" t="n">
        <v>0</v>
      </c>
      <c r="E36" s="21" t="n">
        <v>0</v>
      </c>
      <c r="F36" s="21" t="n">
        <v>400</v>
      </c>
      <c r="G36" s="21" t="n">
        <v>400</v>
      </c>
      <c r="H36" s="21" t="n">
        <v>0</v>
      </c>
      <c r="I36" s="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3" t="s">
        <v>28</v>
      </c>
      <c r="B4" s="4" t="s">
        <v>84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</row>
    <row r="5" customFormat="false" ht="15" hidden="false" customHeight="false" outlineLevel="0" collapsed="false">
      <c r="A5" s="5" t="s">
        <v>85</v>
      </c>
      <c r="B5" s="23" t="n">
        <f aca="false">前提条件!B6-前提条件!B7</f>
        <v>945</v>
      </c>
      <c r="C5" s="23" t="n">
        <f aca="false">B5*(1+前提条件!C29)*(1+前提条件!C30)</f>
        <v>992.25</v>
      </c>
      <c r="D5" s="23" t="n">
        <f aca="false">C5*(1+前提条件!D29)*(1+前提条件!D30)</f>
        <v>1041.8625</v>
      </c>
      <c r="E5" s="23" t="n">
        <f aca="false">D5*(1+前提条件!E29)*(1+前提条件!E30)</f>
        <v>1073.118375</v>
      </c>
      <c r="F5" s="23" t="n">
        <f aca="false">E5*(1+前提条件!F29)*(1+前提条件!F30)</f>
        <v>1105.31192625</v>
      </c>
      <c r="G5" s="23" t="n">
        <f aca="false">F5*(1+前提条件!G29)*(1+前提条件!G30)</f>
        <v>1138.4712840375</v>
      </c>
      <c r="H5" s="23" t="n">
        <f aca="false">G5*(1+前提条件!H29)*(1+前提条件!H30)</f>
        <v>1172.62542255863</v>
      </c>
    </row>
    <row r="6" customFormat="false" ht="15" hidden="false" customHeight="false" outlineLevel="0" collapsed="false">
      <c r="A6" s="5" t="s">
        <v>86</v>
      </c>
      <c r="B6" s="6" t="n">
        <f aca="false">前提条件!B7</f>
        <v>70</v>
      </c>
      <c r="C6" s="23" t="n">
        <f aca="false">B6*(1+前提条件!C31)</f>
        <v>77</v>
      </c>
      <c r="D6" s="23" t="n">
        <f aca="false">C6*(1+前提条件!D31)</f>
        <v>92.4</v>
      </c>
      <c r="E6" s="23" t="n">
        <f aca="false">D6*(1+前提条件!E31)</f>
        <v>110.88</v>
      </c>
      <c r="F6" s="23" t="n">
        <f aca="false">E6*(1+前提条件!F31)</f>
        <v>121.968</v>
      </c>
      <c r="G6" s="23" t="n">
        <f aca="false">F6*(1+前提条件!G31)</f>
        <v>134.1648</v>
      </c>
      <c r="H6" s="23" t="n">
        <f aca="false">G6*(1+前提条件!H31)</f>
        <v>147.58128</v>
      </c>
    </row>
    <row r="7" customFormat="false" ht="15" hidden="false" customHeight="false" outlineLevel="0" collapsed="false">
      <c r="A7" s="24" t="s">
        <v>10</v>
      </c>
      <c r="B7" s="25" t="n">
        <f aca="false">B5+B6</f>
        <v>1015</v>
      </c>
      <c r="C7" s="26" t="n">
        <f aca="false">C5+C6</f>
        <v>1069.25</v>
      </c>
      <c r="D7" s="26" t="n">
        <f aca="false">D5+D6</f>
        <v>1134.2625</v>
      </c>
      <c r="E7" s="26" t="n">
        <f aca="false">E5+E6</f>
        <v>1183.998375</v>
      </c>
      <c r="F7" s="26" t="n">
        <f aca="false">F5+F6</f>
        <v>1227.27992625</v>
      </c>
      <c r="G7" s="26" t="n">
        <f aca="false">G5+G6</f>
        <v>1272.6360840375</v>
      </c>
      <c r="H7" s="26" t="n">
        <f aca="false">H5+H6</f>
        <v>1320.20670255863</v>
      </c>
    </row>
    <row r="8" customFormat="false" ht="15" hidden="false" customHeight="false" outlineLevel="0" collapsed="false">
      <c r="A8" s="5" t="s">
        <v>87</v>
      </c>
      <c r="B8" s="23" t="n">
        <f aca="false">前提条件!B8-前提条件!B7*前提条件!B9</f>
        <v>208.5</v>
      </c>
      <c r="C8" s="23" t="n">
        <f aca="false">B8*(1+前提条件!C32)*(1+前提条件!C30)</f>
        <v>214.755</v>
      </c>
      <c r="D8" s="23" t="n">
        <f aca="false">C8*(1+前提条件!D32)*(1+前提条件!D30)</f>
        <v>221.19765</v>
      </c>
      <c r="E8" s="23" t="n">
        <f aca="false">D8*(1+前提条件!E32)*(1+前提条件!E30)</f>
        <v>227.8335795</v>
      </c>
      <c r="F8" s="23" t="n">
        <f aca="false">E8*(1+前提条件!F32)*(1+前提条件!F30)</f>
        <v>234.668586885</v>
      </c>
      <c r="G8" s="23" t="n">
        <f aca="false">F8*(1+前提条件!G32)*(1+前提条件!G30)</f>
        <v>241.70864449155</v>
      </c>
      <c r="H8" s="23" t="n">
        <f aca="false">G8*(1+前提条件!H32)*(1+前提条件!H30)</f>
        <v>248.959903826297</v>
      </c>
    </row>
    <row r="9" customFormat="false" ht="15" hidden="false" customHeight="false" outlineLevel="0" collapsed="false">
      <c r="A9" s="5" t="s">
        <v>88</v>
      </c>
      <c r="B9" s="23" t="n">
        <f aca="false">B6*前提条件!B9</f>
        <v>24.5</v>
      </c>
      <c r="C9" s="23" t="n">
        <f aca="false">C6*前提条件!$B$9</f>
        <v>26.95</v>
      </c>
      <c r="D9" s="23" t="n">
        <f aca="false">D6*前提条件!$B$9</f>
        <v>32.34</v>
      </c>
      <c r="E9" s="23" t="n">
        <f aca="false">E6*前提条件!$B$9</f>
        <v>38.808</v>
      </c>
      <c r="F9" s="23" t="n">
        <f aca="false">F6*前提条件!$B$9</f>
        <v>42.6888</v>
      </c>
      <c r="G9" s="23" t="n">
        <f aca="false">G6*前提条件!$B$9</f>
        <v>46.95768</v>
      </c>
      <c r="H9" s="23" t="n">
        <f aca="false">H6*前提条件!$B$9</f>
        <v>51.653448</v>
      </c>
    </row>
    <row r="10" customFormat="false" ht="15" hidden="false" customHeight="false" outlineLevel="0" collapsed="false">
      <c r="A10" s="14" t="s">
        <v>89</v>
      </c>
      <c r="B10" s="27" t="n">
        <f aca="false">B7-B8-B9</f>
        <v>782</v>
      </c>
      <c r="C10" s="27" t="n">
        <f aca="false">C7-C8-C9</f>
        <v>827.545</v>
      </c>
      <c r="D10" s="27" t="n">
        <f aca="false">D7-D8-D9</f>
        <v>880.72485</v>
      </c>
      <c r="E10" s="27" t="n">
        <f aca="false">E7-E8-E9</f>
        <v>917.3567955</v>
      </c>
      <c r="F10" s="27" t="n">
        <f aca="false">F7-F8-F9</f>
        <v>949.922539365</v>
      </c>
      <c r="G10" s="27" t="n">
        <f aca="false">G7-G8-G9</f>
        <v>983.96975954595</v>
      </c>
      <c r="H10" s="27" t="n">
        <f aca="false">H7-H8-H9</f>
        <v>1019.59335073233</v>
      </c>
    </row>
    <row r="11" customFormat="false" ht="15" hidden="false" customHeight="false" outlineLevel="0" collapsed="false">
      <c r="A11" s="5" t="s">
        <v>90</v>
      </c>
      <c r="B11" s="28" t="n">
        <f aca="false">IF(B7=0,0,B10/B7)</f>
        <v>0.770443349753695</v>
      </c>
      <c r="C11" s="28" t="n">
        <f aca="false">IF(C7=0,0,C10/C7)</f>
        <v>0.773949029693711</v>
      </c>
      <c r="D11" s="28" t="n">
        <f aca="false">IF(D7=0,0,D10/D7)</f>
        <v>0.776473567626541</v>
      </c>
      <c r="E11" s="28" t="n">
        <f aca="false">IF(E7=0,0,E10/E7)</f>
        <v>0.774795654174779</v>
      </c>
      <c r="F11" s="28" t="n">
        <f aca="false">IF(F7=0,0,F10/F7)</f>
        <v>0.774006417808465</v>
      </c>
      <c r="G11" s="28" t="n">
        <f aca="false">IF(G7=0,0,G10/G7)</f>
        <v>0.773174493390332</v>
      </c>
      <c r="H11" s="28" t="n">
        <f aca="false">IF(H7=0,0,H10/H7)</f>
        <v>0.772298268715275</v>
      </c>
    </row>
    <row r="12" customFormat="false" ht="15" hidden="false" customHeight="false" outlineLevel="0" collapsed="false">
      <c r="A12" s="5" t="s">
        <v>42</v>
      </c>
      <c r="B12" s="29" t="n">
        <f aca="false">前提条件!B12</f>
        <v>151.4</v>
      </c>
      <c r="C12" s="30" t="n">
        <f aca="false">B12*(1+前提条件!C33)</f>
        <v>155.942</v>
      </c>
      <c r="D12" s="30" t="n">
        <f aca="false">C12*(1+前提条件!D33)</f>
        <v>160.62026</v>
      </c>
      <c r="E12" s="30" t="n">
        <f aca="false">D12*(1+前提条件!E33)</f>
        <v>165.4388678</v>
      </c>
      <c r="F12" s="30" t="n">
        <f aca="false">E12*(1+前提条件!F33)</f>
        <v>170.402033834</v>
      </c>
      <c r="G12" s="30" t="n">
        <f aca="false">F12*(1+前提条件!G33)</f>
        <v>175.51409484902</v>
      </c>
      <c r="H12" s="30" t="n">
        <f aca="false">G12*(1+前提条件!H33)</f>
        <v>180.779517694491</v>
      </c>
    </row>
    <row r="13" customFormat="false" ht="15" hidden="false" customHeight="false" outlineLevel="0" collapsed="false">
      <c r="A13" s="5" t="s">
        <v>76</v>
      </c>
      <c r="B13" s="23" t="n">
        <v>0</v>
      </c>
      <c r="C13" s="6" t="n">
        <f aca="false">前提条件!C34</f>
        <v>0</v>
      </c>
      <c r="D13" s="6" t="n">
        <f aca="false">前提条件!D34</f>
        <v>15</v>
      </c>
      <c r="E13" s="6" t="n">
        <f aca="false">前提条件!E34</f>
        <v>15</v>
      </c>
      <c r="F13" s="6" t="n">
        <f aca="false">前提条件!F34</f>
        <v>15</v>
      </c>
      <c r="G13" s="6" t="n">
        <f aca="false">前提条件!G34</f>
        <v>15</v>
      </c>
      <c r="H13" s="6" t="n">
        <f aca="false">前提条件!H34</f>
        <v>15</v>
      </c>
    </row>
    <row r="14" customFormat="false" ht="15" hidden="false" customHeight="false" outlineLevel="0" collapsed="false">
      <c r="A14" s="8" t="s">
        <v>91</v>
      </c>
      <c r="B14" s="23" t="n">
        <v>0</v>
      </c>
      <c r="C14" s="6" t="n">
        <f aca="false">前提条件!$B$21</f>
        <v>61</v>
      </c>
      <c r="D14" s="6" t="n">
        <f aca="false">前提条件!$B$21</f>
        <v>61</v>
      </c>
      <c r="E14" s="6" t="n">
        <f aca="false">前提条件!$B$21</f>
        <v>61</v>
      </c>
      <c r="F14" s="6" t="n">
        <f aca="false">前提条件!$B$21</f>
        <v>61</v>
      </c>
      <c r="G14" s="6" t="n">
        <f aca="false">前提条件!$B$21</f>
        <v>61</v>
      </c>
      <c r="H14" s="6" t="n">
        <f aca="false">前提条件!$B$21</f>
        <v>61</v>
      </c>
    </row>
    <row r="15" customFormat="false" ht="15" hidden="false" customHeight="false" outlineLevel="0" collapsed="false">
      <c r="A15" s="5" t="s">
        <v>78</v>
      </c>
      <c r="B15" s="29" t="n">
        <f aca="false">前提条件!B11</f>
        <v>102.6</v>
      </c>
      <c r="C15" s="29" t="n">
        <f aca="false">前提条件!C35</f>
        <v>20</v>
      </c>
      <c r="D15" s="29" t="n">
        <f aca="false">前提条件!D35</f>
        <v>20</v>
      </c>
      <c r="E15" s="29" t="n">
        <f aca="false">前提条件!E35</f>
        <v>20</v>
      </c>
      <c r="F15" s="29" t="n">
        <f aca="false">前提条件!F35</f>
        <v>0</v>
      </c>
      <c r="G15" s="29" t="n">
        <f aca="false">前提条件!G35</f>
        <v>0</v>
      </c>
      <c r="H15" s="29" t="n">
        <f aca="false">前提条件!H35</f>
        <v>0</v>
      </c>
    </row>
    <row r="16" customFormat="false" ht="15" hidden="false" customHeight="false" outlineLevel="0" collapsed="false">
      <c r="A16" s="5" t="s">
        <v>92</v>
      </c>
      <c r="B16" s="23" t="n">
        <v>0</v>
      </c>
      <c r="C16" s="6" t="n">
        <f aca="false">前提条件!C36</f>
        <v>0</v>
      </c>
      <c r="D16" s="6" t="n">
        <f aca="false">前提条件!D36</f>
        <v>0</v>
      </c>
      <c r="E16" s="6" t="n">
        <f aca="false">前提条件!E36</f>
        <v>0</v>
      </c>
      <c r="F16" s="6" t="n">
        <f aca="false">前提条件!F36</f>
        <v>400</v>
      </c>
      <c r="G16" s="6" t="n">
        <f aca="false">前提条件!G36</f>
        <v>400</v>
      </c>
      <c r="H16" s="6" t="n">
        <f aca="false">前提条件!H36</f>
        <v>0</v>
      </c>
    </row>
    <row r="17" customFormat="false" ht="15" hidden="false" customHeight="false" outlineLevel="0" collapsed="false">
      <c r="A17" s="14" t="s">
        <v>93</v>
      </c>
      <c r="B17" s="31" t="n">
        <f aca="false">SUM(B12:B16)</f>
        <v>254</v>
      </c>
      <c r="C17" s="31" t="n">
        <f aca="false">SUM(C12:C16)</f>
        <v>236.942</v>
      </c>
      <c r="D17" s="31" t="n">
        <f aca="false">SUM(D12:D16)</f>
        <v>256.62026</v>
      </c>
      <c r="E17" s="31" t="n">
        <f aca="false">SUM(E12:E16)</f>
        <v>261.4388678</v>
      </c>
      <c r="F17" s="31" t="n">
        <f aca="false">SUM(F12:F16)</f>
        <v>646.402033834</v>
      </c>
      <c r="G17" s="31" t="n">
        <f aca="false">SUM(G12:G16)</f>
        <v>651.51409484902</v>
      </c>
      <c r="H17" s="31" t="n">
        <f aca="false">SUM(H12:H16)</f>
        <v>256.779517694491</v>
      </c>
    </row>
    <row r="18" customFormat="false" ht="15" hidden="false" customHeight="false" outlineLevel="0" collapsed="false">
      <c r="A18" s="32" t="s">
        <v>11</v>
      </c>
      <c r="B18" s="26" t="n">
        <f aca="false">B10-B17</f>
        <v>528</v>
      </c>
      <c r="C18" s="26" t="n">
        <f aca="false">C10-C17</f>
        <v>590.603</v>
      </c>
      <c r="D18" s="26" t="n">
        <f aca="false">D10-D17</f>
        <v>624.10459</v>
      </c>
      <c r="E18" s="26" t="n">
        <f aca="false">E10-E17</f>
        <v>655.9179277</v>
      </c>
      <c r="F18" s="26" t="n">
        <f aca="false">F10-F17</f>
        <v>303.520505531</v>
      </c>
      <c r="G18" s="26" t="n">
        <f aca="false">G10-G17</f>
        <v>332.45566469693</v>
      </c>
      <c r="H18" s="26" t="n">
        <f aca="false">H10-H17</f>
        <v>762.813833037838</v>
      </c>
    </row>
    <row r="19" customFormat="false" ht="15" hidden="false" customHeight="false" outlineLevel="0" collapsed="false">
      <c r="A19" s="5" t="s">
        <v>94</v>
      </c>
      <c r="B19" s="23" t="n">
        <v>0</v>
      </c>
      <c r="C19" s="6" t="n">
        <f aca="false">前提条件!$B$16</f>
        <v>10</v>
      </c>
      <c r="D19" s="6" t="n">
        <f aca="false">前提条件!$B$16</f>
        <v>10</v>
      </c>
      <c r="E19" s="6" t="n">
        <f aca="false">前提条件!$B$16</f>
        <v>10</v>
      </c>
      <c r="F19" s="6" t="n">
        <f aca="false">前提条件!$B$16</f>
        <v>10</v>
      </c>
      <c r="G19" s="6" t="n">
        <f aca="false">前提条件!$B$16</f>
        <v>10</v>
      </c>
      <c r="H19" s="6" t="n">
        <f aca="false">前提条件!$B$16</f>
        <v>10</v>
      </c>
    </row>
    <row r="20" customFormat="false" ht="15" hidden="false" customHeight="false" outlineLevel="0" collapsed="false">
      <c r="A20" s="14" t="s">
        <v>12</v>
      </c>
      <c r="B20" s="27" t="n">
        <f aca="false">B18-B19</f>
        <v>528</v>
      </c>
      <c r="C20" s="27" t="n">
        <f aca="false">C18-C19</f>
        <v>580.603</v>
      </c>
      <c r="D20" s="27" t="n">
        <f aca="false">D18-D19</f>
        <v>614.10459</v>
      </c>
      <c r="E20" s="27" t="n">
        <f aca="false">E18-E19</f>
        <v>645.9179277</v>
      </c>
      <c r="F20" s="27" t="n">
        <f aca="false">F18-F19</f>
        <v>293.520505531</v>
      </c>
      <c r="G20" s="27" t="n">
        <f aca="false">G18-G19</f>
        <v>322.45566469693</v>
      </c>
      <c r="H20" s="27" t="n">
        <f aca="false">H18-H19</f>
        <v>752.813833037838</v>
      </c>
    </row>
    <row r="21" customFormat="false" ht="15" hidden="false" customHeight="false" outlineLevel="0" collapsed="false">
      <c r="A21" s="5" t="s">
        <v>95</v>
      </c>
      <c r="B21" s="28" t="n">
        <f aca="false">IF(B7=0,0,B20/B7)</f>
        <v>0.520197044334975</v>
      </c>
      <c r="C21" s="28" t="n">
        <f aca="false">IF(C7=0,0,C20/C7)</f>
        <v>0.543000233808744</v>
      </c>
      <c r="D21" s="28" t="n">
        <f aca="false">IF(D7=0,0,D20/D7)</f>
        <v>0.54141311204417</v>
      </c>
      <c r="E21" s="28" t="n">
        <f aca="false">IF(E7=0,0,E20/E7)</f>
        <v>0.545539539021749</v>
      </c>
      <c r="F21" s="28" t="n">
        <f aca="false">IF(F7=0,0,F20/F7)</f>
        <v>0.239163453465635</v>
      </c>
      <c r="G21" s="28" t="n">
        <f aca="false">IF(G7=0,0,G20/G7)</f>
        <v>0.253376176223075</v>
      </c>
      <c r="H21" s="28" t="n">
        <f aca="false">IF(H7=0,0,H20/H7)</f>
        <v>0.570224216843353</v>
      </c>
    </row>
    <row r="22" customFormat="false" ht="15" hidden="false" customHeight="false" outlineLevel="0" collapsed="false">
      <c r="A22" s="5" t="s">
        <v>96</v>
      </c>
      <c r="C22" s="23" t="n">
        <f aca="false">C38*前提条件!$B$25</f>
        <v>60</v>
      </c>
      <c r="D22" s="23" t="n">
        <f aca="false">D38*前提条件!$B$25</f>
        <v>52.1696187747437</v>
      </c>
      <c r="E22" s="23" t="n">
        <f aca="false">E38*前提条件!$B$25</f>
        <v>44.1043261127297</v>
      </c>
      <c r="F22" s="23" t="n">
        <f aca="false">F38*前提条件!$B$25</f>
        <v>35.7970746708552</v>
      </c>
      <c r="G22" s="23" t="n">
        <f aca="false">G38*前提条件!$B$25</f>
        <v>27.2406056857246</v>
      </c>
      <c r="H22" s="23" t="n">
        <f aca="false">H38*前提条件!$B$25</f>
        <v>18.42744263104</v>
      </c>
    </row>
    <row r="23" customFormat="false" ht="15" hidden="false" customHeight="false" outlineLevel="0" collapsed="false">
      <c r="A23" s="14" t="s">
        <v>97</v>
      </c>
      <c r="C23" s="27" t="n">
        <f aca="false">C20-C22</f>
        <v>520.603</v>
      </c>
      <c r="D23" s="27" t="n">
        <f aca="false">D20-D22</f>
        <v>561.934971225256</v>
      </c>
      <c r="E23" s="27" t="n">
        <f aca="false">E20-E22</f>
        <v>601.81360158727</v>
      </c>
      <c r="F23" s="27" t="n">
        <f aca="false">F20-F22</f>
        <v>257.723430860145</v>
      </c>
      <c r="G23" s="27" t="n">
        <f aca="false">G20-G22</f>
        <v>295.215059011205</v>
      </c>
      <c r="H23" s="27" t="n">
        <f aca="false">H20-H22</f>
        <v>734.386390406798</v>
      </c>
    </row>
    <row r="24" customFormat="false" ht="15" hidden="false" customHeight="false" outlineLevel="0" collapsed="false">
      <c r="A24" s="5" t="s">
        <v>98</v>
      </c>
      <c r="C24" s="23" t="n">
        <f aca="false">MAX(0,C23)*前提条件!$B$15</f>
        <v>179.087432</v>
      </c>
      <c r="D24" s="23" t="n">
        <f aca="false">MAX(0,D23)*前提条件!$B$15</f>
        <v>193.305630101488</v>
      </c>
      <c r="E24" s="23" t="n">
        <f aca="false">MAX(0,E23)*前提条件!$B$15</f>
        <v>207.023878946021</v>
      </c>
      <c r="F24" s="23" t="n">
        <f aca="false">MAX(0,F23)*前提条件!$B$15</f>
        <v>88.6568602158898</v>
      </c>
      <c r="G24" s="23" t="n">
        <f aca="false">MAX(0,G23)*前提条件!$B$15</f>
        <v>101.553980299855</v>
      </c>
      <c r="H24" s="23" t="n">
        <f aca="false">MAX(0,H23)*前提条件!$B$15</f>
        <v>252.628918299939</v>
      </c>
    </row>
    <row r="25" customFormat="false" ht="15" hidden="false" customHeight="false" outlineLevel="0" collapsed="false">
      <c r="A25" s="24" t="s">
        <v>13</v>
      </c>
      <c r="C25" s="26" t="n">
        <f aca="false">C23-C24</f>
        <v>341.515568</v>
      </c>
      <c r="D25" s="26" t="n">
        <f aca="false">D23-D24</f>
        <v>368.629341123768</v>
      </c>
      <c r="E25" s="26" t="n">
        <f aca="false">E23-E24</f>
        <v>394.789722641249</v>
      </c>
      <c r="F25" s="26" t="n">
        <f aca="false">F23-F24</f>
        <v>169.066570644255</v>
      </c>
      <c r="G25" s="26" t="n">
        <f aca="false">G23-G24</f>
        <v>193.661078711351</v>
      </c>
      <c r="H25" s="26" t="n">
        <f aca="false">H23-H24</f>
        <v>481.75747210686</v>
      </c>
    </row>
    <row r="27" customFormat="false" ht="15" hidden="false" customHeight="false" outlineLevel="0" collapsed="false">
      <c r="A27" s="14" t="s">
        <v>99</v>
      </c>
    </row>
    <row r="28" customFormat="false" ht="15" hidden="false" customHeight="false" outlineLevel="0" collapsed="false">
      <c r="A28" s="5" t="s">
        <v>13</v>
      </c>
      <c r="C28" s="23" t="n">
        <f aca="false">C25</f>
        <v>341.515568</v>
      </c>
      <c r="D28" s="23" t="n">
        <f aca="false">D25</f>
        <v>368.629341123768</v>
      </c>
      <c r="E28" s="23" t="n">
        <f aca="false">E25</f>
        <v>394.789722641249</v>
      </c>
      <c r="F28" s="23" t="n">
        <f aca="false">F25</f>
        <v>169.066570644255</v>
      </c>
      <c r="G28" s="23" t="n">
        <f aca="false">G25</f>
        <v>193.661078711351</v>
      </c>
      <c r="H28" s="23" t="n">
        <f aca="false">H25</f>
        <v>481.75747210686</v>
      </c>
    </row>
    <row r="29" customFormat="false" ht="15" hidden="false" customHeight="false" outlineLevel="0" collapsed="false">
      <c r="A29" s="5" t="s">
        <v>94</v>
      </c>
      <c r="C29" s="23" t="n">
        <f aca="false">C19</f>
        <v>10</v>
      </c>
      <c r="D29" s="23" t="n">
        <f aca="false">D19</f>
        <v>10</v>
      </c>
      <c r="E29" s="23" t="n">
        <f aca="false">E19</f>
        <v>10</v>
      </c>
      <c r="F29" s="23" t="n">
        <f aca="false">F19</f>
        <v>10</v>
      </c>
      <c r="G29" s="23" t="n">
        <f aca="false">G19</f>
        <v>10</v>
      </c>
      <c r="H29" s="23" t="n">
        <f aca="false">H19</f>
        <v>10</v>
      </c>
    </row>
    <row r="30" customFormat="false" ht="15" hidden="false" customHeight="false" outlineLevel="0" collapsed="false">
      <c r="A30" s="5" t="s">
        <v>100</v>
      </c>
      <c r="C30" s="23" t="n">
        <f aca="false">-前提条件!$B$17</f>
        <v>-30</v>
      </c>
      <c r="D30" s="23" t="n">
        <f aca="false">-前提条件!$B$17</f>
        <v>-30</v>
      </c>
      <c r="E30" s="23" t="n">
        <f aca="false">-前提条件!$B$17</f>
        <v>-30</v>
      </c>
      <c r="F30" s="23" t="n">
        <f aca="false">-前提条件!$B$17</f>
        <v>-30</v>
      </c>
      <c r="G30" s="23" t="n">
        <f aca="false">-前提条件!$B$17</f>
        <v>-30</v>
      </c>
      <c r="H30" s="23" t="n">
        <f aca="false">-前提条件!$B$17</f>
        <v>-30</v>
      </c>
    </row>
    <row r="31" customFormat="false" ht="15" hidden="false" customHeight="false" outlineLevel="0" collapsed="false">
      <c r="A31" s="8" t="s">
        <v>101</v>
      </c>
      <c r="C31" s="30" t="n">
        <f aca="false">-(前提条件!B19-前提条件!B20*前提条件!B15)</f>
        <v>-36.6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0</v>
      </c>
    </row>
    <row r="32" customFormat="false" ht="15" hidden="false" customHeight="false" outlineLevel="0" collapsed="false">
      <c r="A32" s="14" t="s">
        <v>102</v>
      </c>
      <c r="C32" s="31" t="n">
        <f aca="false">SUM(C28:C31)</f>
        <v>284.915568</v>
      </c>
      <c r="D32" s="31" t="n">
        <f aca="false">SUM(D28:D31)</f>
        <v>348.629341123768</v>
      </c>
      <c r="E32" s="31" t="n">
        <f aca="false">SUM(E28:E31)</f>
        <v>374.789722641249</v>
      </c>
      <c r="F32" s="31" t="n">
        <f aca="false">SUM(F28:F31)</f>
        <v>149.066570644255</v>
      </c>
      <c r="G32" s="31" t="n">
        <f aca="false">SUM(G28:G31)</f>
        <v>173.661078711351</v>
      </c>
      <c r="H32" s="31" t="n">
        <f aca="false">SUM(H28:H31)</f>
        <v>461.75747210686</v>
      </c>
    </row>
    <row r="33" customFormat="false" ht="15" hidden="false" customHeight="false" outlineLevel="0" collapsed="false">
      <c r="A33" s="5" t="s">
        <v>103</v>
      </c>
      <c r="C33" s="23" t="n">
        <f aca="false">-C41</f>
        <v>-261.012707508544</v>
      </c>
      <c r="D33" s="23" t="n">
        <f aca="false">-D41</f>
        <v>-268.8430887338</v>
      </c>
      <c r="E33" s="23" t="n">
        <f aca="false">-E41</f>
        <v>-276.908381395814</v>
      </c>
      <c r="F33" s="23" t="n">
        <f aca="false">-F41</f>
        <v>-285.215632837689</v>
      </c>
      <c r="G33" s="23" t="n">
        <f aca="false">-G41</f>
        <v>-293.772101822819</v>
      </c>
      <c r="H33" s="23" t="n">
        <f aca="false">-H41</f>
        <v>-302.585264877504</v>
      </c>
    </row>
    <row r="34" customFormat="false" ht="15" hidden="false" customHeight="false" outlineLevel="0" collapsed="false">
      <c r="A34" s="24" t="s">
        <v>104</v>
      </c>
      <c r="C34" s="33" t="n">
        <f aca="false">C32+C33</f>
        <v>23.902860491456</v>
      </c>
      <c r="D34" s="33" t="n">
        <f aca="false">D32+D33</f>
        <v>79.7862523899678</v>
      </c>
      <c r="E34" s="33" t="n">
        <f aca="false">E32+E33</f>
        <v>97.8813412454349</v>
      </c>
      <c r="F34" s="33" t="n">
        <f aca="false">F32+F33</f>
        <v>-136.149062193434</v>
      </c>
      <c r="G34" s="33" t="n">
        <f aca="false">G32+G33</f>
        <v>-120.111023111469</v>
      </c>
      <c r="H34" s="33" t="n">
        <f aca="false">H32+H33</f>
        <v>159.172207229356</v>
      </c>
    </row>
    <row r="35" customFormat="false" ht="15" hidden="false" customHeight="false" outlineLevel="0" collapsed="false">
      <c r="A35" s="14" t="s">
        <v>15</v>
      </c>
      <c r="C35" s="31" t="n">
        <f aca="false">前提条件!B18+C34</f>
        <v>123.902860491456</v>
      </c>
      <c r="D35" s="31" t="n">
        <f aca="false">C35+D34</f>
        <v>203.689112881424</v>
      </c>
      <c r="E35" s="31" t="n">
        <f aca="false">D35+E34</f>
        <v>301.570454126859</v>
      </c>
      <c r="F35" s="31" t="n">
        <f aca="false">E35+F34</f>
        <v>165.421391933425</v>
      </c>
      <c r="G35" s="31" t="n">
        <f aca="false">F35+G34</f>
        <v>45.3103688219562</v>
      </c>
      <c r="H35" s="31" t="n">
        <f aca="false">G35+H34</f>
        <v>204.482576051312</v>
      </c>
    </row>
    <row r="37" customFormat="false" ht="15" hidden="false" customHeight="false" outlineLevel="0" collapsed="false">
      <c r="A37" s="14" t="s">
        <v>105</v>
      </c>
    </row>
    <row r="38" customFormat="false" ht="15" hidden="false" customHeight="false" outlineLevel="0" collapsed="false">
      <c r="A38" s="5" t="s">
        <v>106</v>
      </c>
      <c r="C38" s="6" t="n">
        <f aca="false">前提条件!B24</f>
        <v>2000</v>
      </c>
      <c r="D38" s="23" t="n">
        <f aca="false">C42</f>
        <v>1738.98729249146</v>
      </c>
      <c r="E38" s="23" t="n">
        <f aca="false">D42</f>
        <v>1470.14420375766</v>
      </c>
      <c r="F38" s="23" t="n">
        <f aca="false">E42</f>
        <v>1193.23582236184</v>
      </c>
      <c r="G38" s="23" t="n">
        <f aca="false">F42</f>
        <v>908.020189524153</v>
      </c>
      <c r="H38" s="23" t="n">
        <f aca="false">G42</f>
        <v>614.248087701333</v>
      </c>
    </row>
    <row r="39" customFormat="false" ht="15" hidden="false" customHeight="false" outlineLevel="0" collapsed="false">
      <c r="A39" s="5" t="s">
        <v>107</v>
      </c>
      <c r="C39" s="30" t="n">
        <f aca="false">IF(C38&lt;=0.001,0,-PMT(前提条件!$B$25,前提条件!$B$26,前提条件!$B$24))</f>
        <v>321.012707508544</v>
      </c>
      <c r="D39" s="30" t="n">
        <f aca="false">IF(D38&lt;=0.001,0,-PMT(前提条件!$B$25,前提条件!$B$26,前提条件!$B$24))</f>
        <v>321.012707508544</v>
      </c>
      <c r="E39" s="30" t="n">
        <f aca="false">IF(E38&lt;=0.001,0,-PMT(前提条件!$B$25,前提条件!$B$26,前提条件!$B$24))</f>
        <v>321.012707508544</v>
      </c>
      <c r="F39" s="30" t="n">
        <f aca="false">IF(F38&lt;=0.001,0,-PMT(前提条件!$B$25,前提条件!$B$26,前提条件!$B$24))</f>
        <v>321.012707508544</v>
      </c>
      <c r="G39" s="30" t="n">
        <f aca="false">IF(G38&lt;=0.001,0,-PMT(前提条件!$B$25,前提条件!$B$26,前提条件!$B$24))</f>
        <v>321.012707508544</v>
      </c>
      <c r="H39" s="30" t="n">
        <f aca="false">IF(H38&lt;=0.001,0,-PMT(前提条件!$B$25,前提条件!$B$26,前提条件!$B$24))</f>
        <v>321.012707508544</v>
      </c>
    </row>
    <row r="40" customFormat="false" ht="15" hidden="false" customHeight="false" outlineLevel="0" collapsed="false">
      <c r="A40" s="5" t="s">
        <v>108</v>
      </c>
      <c r="C40" s="30" t="n">
        <f aca="false">C22</f>
        <v>60</v>
      </c>
      <c r="D40" s="30" t="n">
        <f aca="false">D22</f>
        <v>52.1696187747437</v>
      </c>
      <c r="E40" s="30" t="n">
        <f aca="false">E22</f>
        <v>44.1043261127297</v>
      </c>
      <c r="F40" s="30" t="n">
        <f aca="false">F22</f>
        <v>35.7970746708552</v>
      </c>
      <c r="G40" s="30" t="n">
        <f aca="false">G22</f>
        <v>27.2406056857246</v>
      </c>
      <c r="H40" s="30" t="n">
        <f aca="false">H22</f>
        <v>18.42744263104</v>
      </c>
    </row>
    <row r="41" customFormat="false" ht="15" hidden="false" customHeight="false" outlineLevel="0" collapsed="false">
      <c r="A41" s="5" t="s">
        <v>109</v>
      </c>
      <c r="C41" s="30" t="n">
        <f aca="false">MIN(C38,C39-C40)</f>
        <v>261.012707508544</v>
      </c>
      <c r="D41" s="30" t="n">
        <f aca="false">MIN(D38,D39-D40)</f>
        <v>268.8430887338</v>
      </c>
      <c r="E41" s="30" t="n">
        <f aca="false">MIN(E38,E39-E40)</f>
        <v>276.908381395814</v>
      </c>
      <c r="F41" s="30" t="n">
        <f aca="false">MIN(F38,F39-F40)</f>
        <v>285.215632837689</v>
      </c>
      <c r="G41" s="30" t="n">
        <f aca="false">MIN(G38,G39-G40)</f>
        <v>293.772101822819</v>
      </c>
      <c r="H41" s="30" t="n">
        <f aca="false">MIN(H38,H39-H40)</f>
        <v>302.585264877504</v>
      </c>
    </row>
    <row r="42" customFormat="false" ht="15" hidden="false" customHeight="false" outlineLevel="0" collapsed="false">
      <c r="A42" s="14" t="s">
        <v>110</v>
      </c>
      <c r="C42" s="31" t="n">
        <f aca="false">C38-C41</f>
        <v>1738.98729249146</v>
      </c>
      <c r="D42" s="31" t="n">
        <f aca="false">D38-D41</f>
        <v>1470.14420375766</v>
      </c>
      <c r="E42" s="31" t="n">
        <f aca="false">E38-E41</f>
        <v>1193.23582236184</v>
      </c>
      <c r="F42" s="31" t="n">
        <f aca="false">F38-F41</f>
        <v>908.020189524153</v>
      </c>
      <c r="G42" s="31" t="n">
        <f aca="false">G38-G41</f>
        <v>614.248087701333</v>
      </c>
      <c r="H42" s="31" t="n">
        <f aca="false">H38-H41</f>
        <v>311.662822823829</v>
      </c>
    </row>
    <row r="43" customFormat="false" ht="15" hidden="false" customHeight="false" outlineLevel="0" collapsed="false">
      <c r="A43" s="32" t="s">
        <v>111</v>
      </c>
      <c r="C43" s="34" t="n">
        <f aca="false">IF(C39=0,0,(C18-C24-前提条件!$B$17)/C39)</f>
        <v>1.18847497023103</v>
      </c>
      <c r="D43" s="34" t="n">
        <f aca="false">IF(D39=0,0,(D18-D24-前提条件!$B$17)/D39)</f>
        <v>1.24854546416311</v>
      </c>
      <c r="E43" s="34" t="n">
        <f aca="false">IF(E39=0,0,(E18-E24-前提条件!$B$17)/E39)</f>
        <v>1.30491422599783</v>
      </c>
      <c r="F43" s="34" t="n">
        <f aca="false">IF(F39=0,0,(F18-F24-前提条件!$B$17)/F39)</f>
        <v>0.575876409223426</v>
      </c>
      <c r="G43" s="34" t="n">
        <f aca="false">IF(G39=0,0,(G18-G24-前提条件!$B$17)/G39)</f>
        <v>0.625837169987198</v>
      </c>
      <c r="H43" s="34" t="n">
        <f aca="false">IF(H39=0,0,(H18-H24-前提条件!$B$17)/H39)</f>
        <v>1.49584394482302</v>
      </c>
    </row>
    <row r="44" customFormat="false" ht="15" hidden="false" customHeight="false" outlineLevel="0" collapsed="false">
      <c r="A44" s="16" t="s">
        <v>112</v>
      </c>
    </row>
    <row r="46" customFormat="false" ht="15" hidden="false" customHeight="false" outlineLevel="0" collapsed="false">
      <c r="A46" s="14" t="s">
        <v>113</v>
      </c>
    </row>
    <row r="47" customFormat="false" ht="15" hidden="false" customHeight="false" outlineLevel="0" collapsed="false">
      <c r="A47" s="5" t="s">
        <v>114</v>
      </c>
      <c r="C47" s="30" t="n">
        <f aca="false">前提条件!B20*前提条件!B15</f>
        <v>77.4</v>
      </c>
      <c r="D47" s="30" t="n">
        <v>0</v>
      </c>
      <c r="E47" s="30" t="n">
        <v>0</v>
      </c>
      <c r="F47" s="30" t="n">
        <v>0</v>
      </c>
      <c r="G47" s="30" t="n">
        <v>0</v>
      </c>
      <c r="H47" s="30" t="n">
        <v>0</v>
      </c>
    </row>
    <row r="48" customFormat="false" ht="15" hidden="false" customHeight="false" outlineLevel="0" collapsed="false">
      <c r="A48" s="5" t="s">
        <v>115</v>
      </c>
      <c r="C48" s="30" t="n">
        <f aca="false">C16*前提条件!$B$15</f>
        <v>0</v>
      </c>
      <c r="D48" s="30" t="n">
        <f aca="false">D16*前提条件!$B$15</f>
        <v>0</v>
      </c>
      <c r="E48" s="30" t="n">
        <f aca="false">E16*前提条件!$B$15</f>
        <v>0</v>
      </c>
      <c r="F48" s="30" t="n">
        <f aca="false">F16*前提条件!$B$15</f>
        <v>137.6</v>
      </c>
      <c r="G48" s="30" t="n">
        <f aca="false">G16*前提条件!$B$15</f>
        <v>137.6</v>
      </c>
      <c r="H48" s="30" t="n">
        <f aca="false">H16*前提条件!$B$15</f>
        <v>0</v>
      </c>
    </row>
    <row r="49" customFormat="false" ht="15" hidden="false" customHeight="false" outlineLevel="0" collapsed="false">
      <c r="A49" s="14" t="s">
        <v>116</v>
      </c>
      <c r="C49" s="31" t="n">
        <f aca="false">C47+C48</f>
        <v>77.4</v>
      </c>
      <c r="D49" s="31" t="n">
        <f aca="false">D47+D48</f>
        <v>0</v>
      </c>
      <c r="E49" s="31" t="n">
        <f aca="false">E47+E48</f>
        <v>0</v>
      </c>
      <c r="F49" s="31" t="n">
        <f aca="false">F47+F48</f>
        <v>137.6</v>
      </c>
      <c r="G49" s="31" t="n">
        <f aca="false">G47+G48</f>
        <v>137.6</v>
      </c>
      <c r="H49" s="31" t="n">
        <f aca="false">H47+H48</f>
        <v>0</v>
      </c>
    </row>
    <row r="50" customFormat="false" ht="15" hidden="false" customHeight="false" outlineLevel="0" collapsed="false">
      <c r="A50" s="24" t="s">
        <v>117</v>
      </c>
      <c r="C50" s="33" t="n">
        <f aca="false">C49</f>
        <v>77.4</v>
      </c>
      <c r="D50" s="33" t="n">
        <f aca="false">C50+D49</f>
        <v>77.4</v>
      </c>
      <c r="E50" s="33" t="n">
        <f aca="false">D50+E49</f>
        <v>77.4</v>
      </c>
      <c r="F50" s="33" t="n">
        <f aca="false">E50+F49</f>
        <v>215</v>
      </c>
      <c r="G50" s="33" t="n">
        <f aca="false">F50+G49</f>
        <v>352.6</v>
      </c>
      <c r="H50" s="33" t="n">
        <f aca="false">G50+H49</f>
        <v>352.6</v>
      </c>
    </row>
    <row r="51" customFormat="false" ht="15" hidden="false" customHeight="false" outlineLevel="0" collapsed="false">
      <c r="A51" s="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2026-10-14T08:39:36Z</dcterms:created>
  <dc:creator>openpyxl</dc:creator>
  <dc:description/>
  <dc:language>en-US</dc:language>
  <cp:lastModifiedBy/>
  <dcterms:modified xsi:type="dcterms:W3CDTF">2026-10-14T08:39:36Z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