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前提条件" sheetId="2" state="visible" r:id="rId4"/>
    <sheet name="CF_借入15億" sheetId="3" state="visible" r:id="rId5"/>
    <sheet name="CF_借入20億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<sst xmlns="http://schemas.openxmlformats.org/spreadsheetml/2006/main" count="223" uniqueCount="133">
  <si>
    <r>
      <rPr>
        <b val="true"/>
        <sz val="14"/>
        <rFont val="WenQuanYi Zen Hei"/>
        <family val="2"/>
      </rPr>
      <t xml:space="preserve">カンテサンス </t>
    </r>
    <r>
      <rPr>
        <b val="true"/>
        <sz val="14"/>
        <rFont val="Arial"/>
        <family val="0"/>
        <charset val="1"/>
      </rPr>
      <t xml:space="preserve">CF</t>
    </r>
    <r>
      <rPr>
        <b val="true"/>
        <sz val="14"/>
        <rFont val="WenQuanYi Zen Hei"/>
        <family val="2"/>
      </rPr>
      <t xml:space="preserve">計画 サマリー（三つ星維持ケース・</t>
    </r>
    <r>
      <rPr>
        <b val="true"/>
        <sz val="14"/>
        <rFont val="Arial"/>
        <family val="0"/>
        <charset val="1"/>
      </rPr>
      <t xml:space="preserve">IM</t>
    </r>
    <r>
      <rPr>
        <b val="true"/>
        <sz val="14"/>
        <rFont val="WenQuanYi Zen Hei"/>
        <family val="2"/>
      </rPr>
      <t xml:space="preserve">計画ベース）</t>
    </r>
  </si>
  <si>
    <r>
      <rPr>
        <sz val="9"/>
        <color rgb="FF6E6368"/>
        <rFont val="WenQuanYi Zen Hei"/>
        <family val="2"/>
      </rPr>
      <t xml:space="preserve">単位：百万円。数値はすべて各</t>
    </r>
    <r>
      <rPr>
        <sz val="9"/>
        <color rgb="FF6E6368"/>
        <rFont val="Arial"/>
        <family val="0"/>
        <charset val="1"/>
      </rPr>
      <t xml:space="preserve">CF</t>
    </r>
    <r>
      <rPr>
        <sz val="9"/>
        <color rgb="FF6E6368"/>
        <rFont val="WenQuanYi Zen Hei"/>
        <family val="2"/>
      </rPr>
      <t xml:space="preserve">シートからの参照です。金利</t>
    </r>
    <r>
      <rPr>
        <sz val="9"/>
        <color rgb="FF6E6368"/>
        <rFont val="Arial"/>
        <family val="0"/>
        <charset val="1"/>
      </rPr>
      <t xml:space="preserve">4%</t>
    </r>
    <r>
      <rPr>
        <sz val="9"/>
        <color rgb="FF6E6368"/>
        <rFont val="WenQuanYi Zen Hei"/>
        <family val="2"/>
      </rPr>
      <t xml:space="preserve">・</t>
    </r>
    <r>
      <rPr>
        <sz val="9"/>
        <color rgb="FF6E6368"/>
        <rFont val="Arial"/>
        <family val="0"/>
        <charset val="1"/>
      </rPr>
      <t xml:space="preserve">7</t>
    </r>
    <r>
      <rPr>
        <sz val="9"/>
        <color rgb="FF6E6368"/>
        <rFont val="WenQuanYi Zen Hei"/>
        <family val="2"/>
      </rPr>
      <t xml:space="preserve">年元利均等。</t>
    </r>
  </si>
  <si>
    <r>
      <rPr>
        <b val="true"/>
        <sz val="11"/>
        <color rgb="FF6D2E46"/>
        <rFont val="WenQuanYi Zen Hei"/>
        <family val="2"/>
      </rPr>
      <t xml:space="preserve">ケース</t>
    </r>
    <r>
      <rPr>
        <b val="true"/>
        <sz val="11"/>
        <color rgb="FF6D2E46"/>
        <rFont val="Arial"/>
        <family val="0"/>
        <charset val="1"/>
      </rPr>
      <t xml:space="preserve">A</t>
    </r>
    <r>
      <rPr>
        <b val="true"/>
        <sz val="11"/>
        <color rgb="FF6D2E46"/>
        <rFont val="WenQuanYi Zen Hei"/>
        <family val="2"/>
      </rPr>
      <t xml:space="preserve">：借入</t>
    </r>
    <r>
      <rPr>
        <b val="true"/>
        <sz val="11"/>
        <color rgb="FF6D2E46"/>
        <rFont val="Arial"/>
        <family val="0"/>
        <charset val="1"/>
      </rPr>
      <t xml:space="preserve">15</t>
    </r>
    <r>
      <rPr>
        <b val="true"/>
        <sz val="11"/>
        <color rgb="FF6D2E46"/>
        <rFont val="WenQuanYi Zen Hei"/>
        <family val="2"/>
      </rPr>
      <t xml:space="preserve">億円・</t>
    </r>
    <r>
      <rPr>
        <b val="true"/>
        <sz val="11"/>
        <color rgb="FF6D2E46"/>
        <rFont val="Arial"/>
        <family val="0"/>
        <charset val="1"/>
      </rPr>
      <t xml:space="preserve">7</t>
    </r>
    <r>
      <rPr>
        <b val="true"/>
        <sz val="11"/>
        <color rgb="FF6D2E46"/>
        <rFont val="WenQuanYi Zen Hei"/>
        <family val="2"/>
      </rPr>
      <t xml:space="preserve">年</t>
    </r>
  </si>
  <si>
    <t xml:space="preserve">指標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</si>
  <si>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</si>
  <si>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</si>
  <si>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</si>
  <si>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</si>
  <si>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</si>
  <si>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</si>
  <si>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年計</t>
    </r>
  </si>
  <si>
    <t xml:space="preserve">売上高</t>
  </si>
  <si>
    <r>
      <rPr>
        <sz val="10"/>
        <rFont val="WenQuanYi Zen Hei"/>
        <family val="2"/>
      </rPr>
      <t xml:space="preserve">営業利益（</t>
    </r>
    <r>
      <rPr>
        <sz val="10"/>
        <rFont val="Arial"/>
        <family val="0"/>
        <charset val="1"/>
      </rPr>
      <t xml:space="preserve">IM</t>
    </r>
    <r>
      <rPr>
        <sz val="10"/>
        <rFont val="WenQuanYi Zen Hei"/>
        <family val="2"/>
      </rPr>
      <t xml:space="preserve">計画）</t>
    </r>
  </si>
  <si>
    <r>
      <rPr>
        <sz val="10"/>
        <rFont val="WenQuanYi Zen Hei"/>
        <family val="2"/>
      </rPr>
      <t xml:space="preserve">当社想定の</t>
    </r>
    <r>
      <rPr>
        <sz val="10"/>
        <rFont val="Arial"/>
        <family val="0"/>
        <charset val="1"/>
      </rPr>
      <t xml:space="preserve">EBITDA</t>
    </r>
  </si>
  <si>
    <t xml:space="preserve">当期純利益</t>
  </si>
  <si>
    <r>
      <rPr>
        <sz val="10"/>
        <rFont val="WenQuanYi Zen Hei"/>
        <family val="2"/>
      </rPr>
      <t xml:space="preserve">借入返済後の</t>
    </r>
    <r>
      <rPr>
        <sz val="10"/>
        <rFont val="Arial"/>
        <family val="0"/>
        <charset val="1"/>
      </rPr>
      <t xml:space="preserve">CF</t>
    </r>
  </si>
  <si>
    <t xml:space="preserve">期末現金残高</t>
  </si>
  <si>
    <t xml:space="preserve">借入金期末残高</t>
  </si>
  <si>
    <t xml:space="preserve">DSCR</t>
  </si>
  <si>
    <r>
      <rPr>
        <b val="true"/>
        <sz val="10"/>
        <rFont val="WenQuanYi Zen Hei"/>
        <family val="2"/>
      </rPr>
      <t xml:space="preserve">最低</t>
    </r>
    <r>
      <rPr>
        <b val="true"/>
        <sz val="10"/>
        <rFont val="Arial"/>
        <family val="0"/>
        <charset val="1"/>
      </rPr>
      <t xml:space="preserve">DSCR</t>
    </r>
  </si>
  <si>
    <t xml:space="preserve">期中の最低現金残高</t>
  </si>
  <si>
    <t xml:space="preserve">資金不足を避けるために必要な追加の留保現金</t>
  </si>
  <si>
    <r>
      <rPr>
        <b val="true"/>
        <sz val="11"/>
        <color rgb="FF6D2E46"/>
        <rFont val="WenQuanYi Zen Hei"/>
        <family val="2"/>
      </rPr>
      <t xml:space="preserve">ケース</t>
    </r>
    <r>
      <rPr>
        <b val="true"/>
        <sz val="11"/>
        <color rgb="FF6D2E46"/>
        <rFont val="Arial"/>
        <family val="0"/>
        <charset val="1"/>
      </rPr>
      <t xml:space="preserve">B</t>
    </r>
    <r>
      <rPr>
        <b val="true"/>
        <sz val="11"/>
        <color rgb="FF6D2E46"/>
        <rFont val="WenQuanYi Zen Hei"/>
        <family val="2"/>
      </rPr>
      <t xml:space="preserve">：借入</t>
    </r>
    <r>
      <rPr>
        <b val="true"/>
        <sz val="11"/>
        <color rgb="FF6D2E46"/>
        <rFont val="Arial"/>
        <family val="0"/>
        <charset val="1"/>
      </rPr>
      <t xml:space="preserve">20</t>
    </r>
    <r>
      <rPr>
        <b val="true"/>
        <sz val="11"/>
        <color rgb="FF6D2E46"/>
        <rFont val="WenQuanYi Zen Hei"/>
        <family val="2"/>
      </rPr>
      <t xml:space="preserve">億円・</t>
    </r>
    <r>
      <rPr>
        <b val="true"/>
        <sz val="11"/>
        <color rgb="FF6D2E46"/>
        <rFont val="Arial"/>
        <family val="0"/>
        <charset val="1"/>
      </rPr>
      <t xml:space="preserve">7</t>
    </r>
    <r>
      <rPr>
        <b val="true"/>
        <sz val="11"/>
        <color rgb="FF6D2E46"/>
        <rFont val="WenQuanYi Zen Hei"/>
        <family val="2"/>
      </rPr>
      <t xml:space="preserve">年</t>
    </r>
  </si>
  <si>
    <r>
      <rPr>
        <sz val="10"/>
        <rFont val="WenQuanYi Zen Hei"/>
        <family val="2"/>
      </rPr>
      <t xml:space="preserve">売上高の年平均成長率（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年以降に適用）</t>
    </r>
  </si>
  <si>
    <r>
      <rPr>
        <sz val="10"/>
        <rFont val="WenQuanYi Zen Hei"/>
        <family val="2"/>
      </rPr>
      <t xml:space="preserve">営業利益の年平均成長率（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年以降に適用）</t>
    </r>
  </si>
  <si>
    <r>
      <rPr>
        <sz val="10"/>
        <rFont val="WenQuanYi Zen Hei"/>
        <family val="2"/>
      </rPr>
      <t xml:space="preserve">節税効果の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年累計（退職金・コンサル費）</t>
    </r>
  </si>
  <si>
    <r>
      <rPr>
        <sz val="9"/>
        <rFont val="WenQuanYi Zen Hei"/>
        <family val="2"/>
      </rPr>
      <t xml:space="preserve">【売上・営業利益】</t>
    </r>
    <r>
      <rPr>
        <sz val="9"/>
        <rFont val="Arial"/>
        <family val="0"/>
        <charset val="1"/>
      </rPr>
      <t xml:space="preserve">2027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2029</t>
    </r>
    <r>
      <rPr>
        <sz val="9"/>
        <rFont val="WenQuanYi Zen Hei"/>
        <family val="2"/>
      </rPr>
      <t xml:space="preserve">年は</t>
    </r>
    <r>
      <rPr>
        <sz val="9"/>
        <rFont val="Arial"/>
        <family val="0"/>
        <charset val="1"/>
      </rPr>
      <t xml:space="preserve">IM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2026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月）</t>
    </r>
    <r>
      <rPr>
        <sz val="9"/>
        <rFont val="Arial"/>
        <family val="0"/>
        <charset val="1"/>
      </rPr>
      <t xml:space="preserve">42</t>
    </r>
    <r>
      <rPr>
        <sz val="9"/>
        <rFont val="WenQuanYi Zen Hei"/>
        <family val="2"/>
      </rPr>
      <t xml:space="preserve">ページ「監修後）売上横ばいケース」の計画値（値上げ・サービス料</t>
    </r>
    <r>
      <rPr>
        <sz val="9"/>
        <rFont val="Arial"/>
        <family val="0"/>
        <charset val="1"/>
      </rPr>
      <t xml:space="preserve">12%</t>
    </r>
    <r>
      <rPr>
        <sz val="9"/>
        <rFont val="WenQuanYi Zen Hei"/>
        <family val="2"/>
      </rPr>
      <t xml:space="preserve">化を織り込み済み）。</t>
    </r>
    <r>
      <rPr>
        <sz val="9"/>
        <rFont val="Arial"/>
        <family val="0"/>
        <charset val="1"/>
      </rPr>
      <t xml:space="preserve">2030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2032</t>
    </r>
    <r>
      <rPr>
        <sz val="9"/>
        <rFont val="WenQuanYi Zen Hei"/>
        <family val="2"/>
      </rPr>
      <t xml:space="preserve">年は、</t>
    </r>
    <r>
      <rPr>
        <sz val="9"/>
        <rFont val="Arial"/>
        <family val="0"/>
        <charset val="1"/>
      </rPr>
      <t xml:space="preserve">2026→2029</t>
    </r>
    <r>
      <rPr>
        <sz val="9"/>
        <rFont val="WenQuanYi Zen Hei"/>
        <family val="2"/>
      </rPr>
      <t xml:space="preserve">年の年平均成長率（売上・営業利益それぞれ）で延長。</t>
    </r>
  </si>
  <si>
    <r>
      <rPr>
        <sz val="9"/>
        <rFont val="WenQuanYi Zen Hei"/>
        <family val="2"/>
      </rPr>
      <t xml:space="preserve">【岸田様へのお支払い】決済時に役員退職金</t>
    </r>
    <r>
      <rPr>
        <sz val="9"/>
        <rFont val="Arial"/>
        <family val="0"/>
        <charset val="1"/>
      </rPr>
      <t xml:space="preserve">2.25</t>
    </r>
    <r>
      <rPr>
        <sz val="9"/>
        <rFont val="WenQuanYi Zen Hei"/>
        <family val="2"/>
      </rPr>
      <t xml:space="preserve">億円（対象会社が支給・</t>
    </r>
    <r>
      <rPr>
        <sz val="9"/>
        <rFont val="Arial"/>
        <family val="0"/>
        <charset val="1"/>
      </rPr>
      <t xml:space="preserve">2026</t>
    </r>
    <r>
      <rPr>
        <sz val="9"/>
        <rFont val="WenQuanYi Zen Hei"/>
        <family val="2"/>
      </rPr>
      <t xml:space="preserve">年度に損金算入）。</t>
    </r>
    <r>
      <rPr>
        <sz val="9"/>
        <rFont val="Arial"/>
        <family val="0"/>
        <charset val="1"/>
      </rPr>
      <t xml:space="preserve">2030</t>
    </r>
    <r>
      <rPr>
        <sz val="9"/>
        <rFont val="WenQuanYi Zen Hei"/>
        <family val="2"/>
      </rPr>
      <t xml:space="preserve">年・</t>
    </r>
    <r>
      <rPr>
        <sz val="9"/>
        <rFont val="Arial"/>
        <family val="0"/>
        <charset val="1"/>
      </rPr>
      <t xml:space="preserve">2031</t>
    </r>
    <r>
      <rPr>
        <sz val="9"/>
        <rFont val="WenQuanYi Zen Hei"/>
        <family val="2"/>
      </rPr>
      <t xml:space="preserve">年に岸田様の法人へコンサルティング費として各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億円（対象会社の費用）。</t>
    </r>
    <r>
      <rPr>
        <sz val="9"/>
        <rFont val="Arial"/>
        <family val="0"/>
        <charset val="1"/>
      </rPr>
      <t xml:space="preserve">IM</t>
    </r>
    <r>
      <rPr>
        <sz val="9"/>
        <rFont val="WenQuanYi Zen Hei"/>
        <family val="2"/>
      </rPr>
      <t xml:space="preserve">の営業利益は岸田氏の現行報酬（約</t>
    </r>
    <r>
      <rPr>
        <sz val="9"/>
        <rFont val="Arial"/>
        <family val="0"/>
        <charset val="1"/>
      </rPr>
      <t xml:space="preserve">1.03</t>
    </r>
    <r>
      <rPr>
        <sz val="9"/>
        <rFont val="WenQuanYi Zen Hei"/>
        <family val="2"/>
      </rPr>
      <t xml:space="preserve">億円）控除後のため、取得後の報酬との差額を調整。</t>
    </r>
  </si>
  <si>
    <t xml:space="preserve">【税務上の留意点】退職金は賞与を含む実質月額での算定となるため否認リスクあり。コンサルティング費は役務提供の実態と対価の相当性が必要で、実態が伴わない場合は寄附金・株式対価の後払いと認定され損金不算入となるリスクが高い。双方の税理士の確認が前提。</t>
  </si>
  <si>
    <r>
      <rPr>
        <sz val="9"/>
        <rFont val="WenQuanYi Zen Hei"/>
        <family val="2"/>
      </rPr>
      <t xml:space="preserve">【子会社】カンテサンスプラスの現預金（役員借入金返済後 約</t>
    </r>
    <r>
      <rPr>
        <sz val="9"/>
        <rFont val="Arial"/>
        <family val="0"/>
        <charset val="1"/>
      </rPr>
      <t xml:space="preserve">0.37</t>
    </r>
    <r>
      <rPr>
        <sz val="9"/>
        <rFont val="WenQuanYi Zen Hei"/>
        <family val="2"/>
      </rPr>
      <t xml:space="preserve">億円）を決済時の手元資金に加算。ブリッジ返済原資</t>
    </r>
    <r>
      <rPr>
        <sz val="9"/>
        <rFont val="Arial"/>
        <family val="0"/>
        <charset val="1"/>
      </rPr>
      <t xml:space="preserve">21.4</t>
    </r>
    <r>
      <rPr>
        <sz val="9"/>
        <rFont val="WenQuanYi Zen Hei"/>
        <family val="2"/>
      </rPr>
      <t xml:space="preserve">億円（プティ・ボノム単体の現預金</t>
    </r>
    <r>
      <rPr>
        <sz val="9"/>
        <rFont val="Arial"/>
        <family val="0"/>
        <charset val="1"/>
      </rPr>
      <t xml:space="preserve">17.4</t>
    </r>
    <r>
      <rPr>
        <sz val="9"/>
        <rFont val="WenQuanYi Zen Hei"/>
        <family val="2"/>
      </rPr>
      <t xml:space="preserve">＋役員貸付金</t>
    </r>
    <r>
      <rPr>
        <sz val="9"/>
        <rFont val="Arial"/>
        <family val="0"/>
        <charset val="1"/>
      </rPr>
      <t xml:space="preserve">5.0−</t>
    </r>
    <r>
      <rPr>
        <sz val="9"/>
        <rFont val="WenQuanYi Zen Hei"/>
        <family val="2"/>
      </rPr>
      <t xml:space="preserve">留保</t>
    </r>
    <r>
      <rPr>
        <sz val="9"/>
        <rFont val="Arial"/>
        <family val="0"/>
        <charset val="1"/>
      </rPr>
      <t xml:space="preserve">1.0</t>
    </r>
    <r>
      <rPr>
        <sz val="9"/>
        <rFont val="WenQuanYi Zen Hei"/>
        <family val="2"/>
      </rPr>
      <t xml:space="preserve">）には含めていないため、</t>
    </r>
    <r>
      <rPr>
        <sz val="9"/>
        <rFont val="Arial"/>
        <family val="0"/>
        <charset val="1"/>
      </rPr>
      <t xml:space="preserve">SPC</t>
    </r>
    <r>
      <rPr>
        <sz val="9"/>
        <rFont val="WenQuanYi Zen Hei"/>
        <family val="2"/>
      </rPr>
      <t xml:space="preserve">の必要資金を減らす方に使うこともできる。</t>
    </r>
  </si>
  <si>
    <r>
      <rPr>
        <sz val="9"/>
        <rFont val="WenQuanYi Zen Hei"/>
        <family val="2"/>
      </rPr>
      <t xml:space="preserve">【モデルの簡略化】運転資本の増減は無視。法人税は発生年度に納付（</t>
    </r>
    <r>
      <rPr>
        <sz val="9"/>
        <rFont val="Arial"/>
        <family val="0"/>
        <charset val="1"/>
      </rPr>
      <t xml:space="preserve">FY2026</t>
    </r>
    <r>
      <rPr>
        <sz val="9"/>
        <rFont val="WenQuanYi Zen Hei"/>
        <family val="2"/>
      </rPr>
      <t xml:space="preserve">分のみ</t>
    </r>
    <r>
      <rPr>
        <sz val="9"/>
        <rFont val="Arial"/>
        <family val="0"/>
        <charset val="1"/>
      </rPr>
      <t xml:space="preserve">2027</t>
    </r>
    <r>
      <rPr>
        <sz val="9"/>
        <rFont val="WenQuanYi Zen Hei"/>
        <family val="2"/>
      </rPr>
      <t xml:space="preserve">年に納付）。欠損金の繰越は考慮せず。消費税は除く。買収借入（</t>
    </r>
    <r>
      <rPr>
        <sz val="9"/>
        <rFont val="Arial"/>
        <family val="0"/>
        <charset val="1"/>
      </rPr>
      <t xml:space="preserve">15</t>
    </r>
    <r>
      <rPr>
        <sz val="9"/>
        <rFont val="WenQuanYi Zen Hei"/>
        <family val="2"/>
      </rPr>
      <t xml:space="preserve">億円または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億円・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年・金利</t>
    </r>
    <r>
      <rPr>
        <sz val="9"/>
        <rFont val="Arial"/>
        <family val="0"/>
        <charset val="1"/>
      </rPr>
      <t xml:space="preserve">4%</t>
    </r>
    <r>
      <rPr>
        <sz val="9"/>
        <rFont val="WenQuanYi Zen Hei"/>
        <family val="2"/>
      </rPr>
      <t xml:space="preserve">）は合併後の会社が返済する前提（</t>
    </r>
    <r>
      <rPr>
        <sz val="9"/>
        <rFont val="Arial"/>
        <family val="0"/>
        <charset val="1"/>
      </rPr>
      <t xml:space="preserve">WineBank</t>
    </r>
    <r>
      <rPr>
        <sz val="9"/>
        <rFont val="WenQuanYi Zen Hei"/>
        <family val="2"/>
      </rPr>
      <t xml:space="preserve">で借りる形の場合は、借入返済後の</t>
    </r>
    <r>
      <rPr>
        <sz val="9"/>
        <rFont val="Arial"/>
        <family val="0"/>
        <charset val="1"/>
      </rPr>
      <t xml:space="preserve">CF</t>
    </r>
    <r>
      <rPr>
        <sz val="9"/>
        <rFont val="WenQuanYi Zen Hei"/>
        <family val="2"/>
      </rPr>
      <t xml:space="preserve">が配当原資）。</t>
    </r>
  </si>
  <si>
    <r>
      <rPr>
        <b val="true"/>
        <sz val="14"/>
        <rFont val="WenQuanYi Zen Hei"/>
        <family val="2"/>
      </rPr>
      <t xml:space="preserve">カンテサンス </t>
    </r>
    <r>
      <rPr>
        <b val="true"/>
        <sz val="14"/>
        <rFont val="Arial"/>
        <family val="0"/>
        <charset val="1"/>
      </rPr>
      <t xml:space="preserve">CF</t>
    </r>
    <r>
      <rPr>
        <b val="true"/>
        <sz val="14"/>
        <rFont val="WenQuanYi Zen Hei"/>
        <family val="2"/>
      </rPr>
      <t xml:space="preserve">計画（</t>
    </r>
    <r>
      <rPr>
        <b val="true"/>
        <sz val="14"/>
        <rFont val="Arial"/>
        <family val="0"/>
        <charset val="1"/>
      </rPr>
      <t xml:space="preserve">2027</t>
    </r>
    <r>
      <rPr>
        <b val="true"/>
        <sz val="14"/>
        <rFont val="WenQuanYi Zen Hei"/>
        <family val="2"/>
      </rPr>
      <t xml:space="preserve">〜</t>
    </r>
    <r>
      <rPr>
        <b val="true"/>
        <sz val="14"/>
        <rFont val="Arial"/>
        <family val="0"/>
        <charset val="1"/>
      </rPr>
      <t xml:space="preserve">2032</t>
    </r>
    <r>
      <rPr>
        <b val="true"/>
        <sz val="14"/>
        <rFont val="WenQuanYi Zen Hei"/>
        <family val="2"/>
      </rPr>
      <t xml:space="preserve">年・三つ星維持ケース）前提条件</t>
    </r>
  </si>
  <si>
    <t xml:space="preserve">単位：百万円。青字＝入力値（変更可）、黒字＝計算式。黄色セルは主要な仮定です。</t>
  </si>
  <si>
    <t xml:space="preserve">項目</t>
  </si>
  <si>
    <r>
      <rPr>
        <b val="true"/>
        <sz val="10"/>
        <color rgb="FFFFFFFF"/>
        <rFont val="Arial"/>
        <family val="0"/>
        <charset val="1"/>
      </rPr>
      <t xml:space="preserve">FY2026</t>
    </r>
    <r>
      <rPr>
        <b val="true"/>
        <sz val="10"/>
        <color rgb="FFFFFFFF"/>
        <rFont val="WenQuanYi Zen Hei"/>
        <family val="2"/>
      </rPr>
      <t xml:space="preserve">／固定値</t>
    </r>
  </si>
  <si>
    <t xml:space="preserve">出所・根拠</t>
  </si>
  <si>
    <r>
      <rPr>
        <b val="true"/>
        <sz val="10"/>
        <rFont val="Arial"/>
        <family val="0"/>
        <charset val="1"/>
      </rPr>
      <t xml:space="preserve">■ IM 42</t>
    </r>
    <r>
      <rPr>
        <b val="true"/>
        <sz val="10"/>
        <rFont val="WenQuanYi Zen Hei"/>
        <family val="2"/>
      </rPr>
      <t xml:space="preserve">ページ「監修後）売上横ばいケース」の計画（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WenQuanYi Zen Hei"/>
        <family val="2"/>
      </rPr>
      <t xml:space="preserve">年まで）</t>
    </r>
  </si>
  <si>
    <r>
      <rPr>
        <sz val="10"/>
        <rFont val="WenQuanYi Zen Hei"/>
        <family val="2"/>
      </rPr>
      <t xml:space="preserve">売上高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店舗</t>
    </r>
    <r>
      <rPr>
        <sz val="10"/>
        <rFont val="Arial"/>
        <family val="0"/>
        <charset val="1"/>
      </rPr>
      <t xml:space="preserve">)</t>
    </r>
  </si>
  <si>
    <r>
      <rPr>
        <sz val="9"/>
        <color rgb="FF6E6368"/>
        <rFont val="Arial"/>
        <family val="0"/>
        <charset val="1"/>
      </rPr>
      <t xml:space="preserve">IM</t>
    </r>
    <r>
      <rPr>
        <sz val="9"/>
        <color rgb="FF6E6368"/>
        <rFont val="WenQuanYi Zen Hei"/>
        <family val="2"/>
      </rPr>
      <t xml:space="preserve">（</t>
    </r>
    <r>
      <rPr>
        <sz val="9"/>
        <color rgb="FF6E6368"/>
        <rFont val="Arial"/>
        <family val="0"/>
        <charset val="1"/>
      </rPr>
      <t xml:space="preserve">2026</t>
    </r>
    <r>
      <rPr>
        <sz val="9"/>
        <color rgb="FF6E6368"/>
        <rFont val="WenQuanYi Zen Hei"/>
        <family val="2"/>
      </rPr>
      <t xml:space="preserve">年</t>
    </r>
    <r>
      <rPr>
        <sz val="9"/>
        <color rgb="FF6E6368"/>
        <rFont val="Arial"/>
        <family val="0"/>
        <charset val="1"/>
      </rPr>
      <t xml:space="preserve">9</t>
    </r>
    <r>
      <rPr>
        <sz val="9"/>
        <color rgb="FF6E6368"/>
        <rFont val="WenQuanYi Zen Hei"/>
        <family val="2"/>
      </rPr>
      <t xml:space="preserve">月）</t>
    </r>
    <r>
      <rPr>
        <sz val="9"/>
        <color rgb="FF6E6368"/>
        <rFont val="Arial"/>
        <family val="0"/>
        <charset val="1"/>
      </rPr>
      <t xml:space="preserve">42</t>
    </r>
    <r>
      <rPr>
        <sz val="9"/>
        <color rgb="FF6E6368"/>
        <rFont val="WenQuanYi Zen Hei"/>
        <family val="2"/>
      </rPr>
      <t xml:space="preserve">ページ 計画値</t>
    </r>
  </si>
  <si>
    <r>
      <rPr>
        <sz val="10"/>
        <rFont val="WenQuanYi Zen Hei"/>
        <family val="2"/>
      </rPr>
      <t xml:space="preserve">売上高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ガトー</t>
    </r>
    <r>
      <rPr>
        <sz val="10"/>
        <rFont val="Arial"/>
        <family val="0"/>
        <charset val="1"/>
      </rPr>
      <t xml:space="preserve">)</t>
    </r>
  </si>
  <si>
    <t xml:space="preserve">売上原価</t>
  </si>
  <si>
    <t xml:space="preserve">販売費及び一般管理費</t>
  </si>
  <si>
    <t xml:space="preserve">営業利益</t>
  </si>
  <si>
    <t xml:space="preserve">売上高 合計</t>
  </si>
  <si>
    <r>
      <rPr>
        <sz val="9"/>
        <color rgb="FF6E6368"/>
        <rFont val="Arial"/>
        <family val="0"/>
        <charset val="1"/>
      </rPr>
      <t xml:space="preserve">IM</t>
    </r>
    <r>
      <rPr>
        <sz val="9"/>
        <color rgb="FF6E6368"/>
        <rFont val="WenQuanYi Zen Hei"/>
        <family val="2"/>
      </rPr>
      <t xml:space="preserve">（</t>
    </r>
    <r>
      <rPr>
        <sz val="9"/>
        <color rgb="FF6E6368"/>
        <rFont val="Arial"/>
        <family val="0"/>
        <charset val="1"/>
      </rPr>
      <t xml:space="preserve">2026</t>
    </r>
    <r>
      <rPr>
        <sz val="9"/>
        <color rgb="FF6E6368"/>
        <rFont val="WenQuanYi Zen Hei"/>
        <family val="2"/>
      </rPr>
      <t xml:space="preserve">年</t>
    </r>
    <r>
      <rPr>
        <sz val="9"/>
        <color rgb="FF6E6368"/>
        <rFont val="Arial"/>
        <family val="0"/>
        <charset val="1"/>
      </rPr>
      <t xml:space="preserve">9</t>
    </r>
    <r>
      <rPr>
        <sz val="9"/>
        <color rgb="FF6E6368"/>
        <rFont val="WenQuanYi Zen Hei"/>
        <family val="2"/>
      </rPr>
      <t xml:space="preserve">月）</t>
    </r>
    <r>
      <rPr>
        <sz val="9"/>
        <color rgb="FF6E6368"/>
        <rFont val="Arial"/>
        <family val="0"/>
        <charset val="1"/>
      </rPr>
      <t xml:space="preserve">42</t>
    </r>
    <r>
      <rPr>
        <sz val="9"/>
        <color rgb="FF6E6368"/>
        <rFont val="WenQuanYi Zen Hei"/>
        <family val="2"/>
      </rPr>
      <t xml:space="preserve">ページ 計画値（店舗＋ガトーの内訳は端数処理のため合計と</t>
    </r>
    <r>
      <rPr>
        <sz val="9"/>
        <color rgb="FF6E6368"/>
        <rFont val="Arial"/>
        <family val="0"/>
        <charset val="1"/>
      </rPr>
      <t xml:space="preserve">1</t>
    </r>
    <r>
      <rPr>
        <sz val="9"/>
        <color rgb="FF6E6368"/>
        <rFont val="WenQuanYi Zen Hei"/>
        <family val="2"/>
      </rPr>
      <t xml:space="preserve">百万円ずれる年あり）</t>
    </r>
  </si>
  <si>
    <r>
      <rPr>
        <b val="true"/>
        <sz val="10"/>
        <rFont val="Arial"/>
        <family val="0"/>
        <charset val="1"/>
      </rPr>
      <t xml:space="preserve">■ 2030</t>
    </r>
    <r>
      <rPr>
        <b val="true"/>
        <sz val="10"/>
        <rFont val="WenQuanYi Zen Hei"/>
        <family val="2"/>
      </rPr>
      <t xml:space="preserve">年以降の成長率（</t>
    </r>
    <r>
      <rPr>
        <b val="true"/>
        <sz val="10"/>
        <rFont val="Arial"/>
        <family val="0"/>
        <charset val="1"/>
      </rPr>
      <t xml:space="preserve">2026→2029</t>
    </r>
    <r>
      <rPr>
        <b val="true"/>
        <sz val="10"/>
        <rFont val="WenQuanYi Zen Hei"/>
        <family val="2"/>
      </rPr>
      <t xml:space="preserve">年の年平均成長率を延長）</t>
    </r>
  </si>
  <si>
    <r>
      <rPr>
        <sz val="10"/>
        <rFont val="WenQuanYi Zen Hei"/>
        <family val="2"/>
      </rPr>
      <t xml:space="preserve">売上高の年平均成長率（</t>
    </r>
    <r>
      <rPr>
        <sz val="10"/>
        <rFont val="Arial"/>
        <family val="0"/>
        <charset val="1"/>
      </rPr>
      <t xml:space="preserve">2026→2029</t>
    </r>
    <r>
      <rPr>
        <sz val="10"/>
        <rFont val="WenQuanYi Zen Hei"/>
        <family val="2"/>
      </rPr>
      <t xml:space="preserve">）</t>
    </r>
  </si>
  <si>
    <r>
      <rPr>
        <sz val="9"/>
        <color rgb="FF6E6368"/>
        <rFont val="WenQuanYi Zen Hei"/>
        <family val="2"/>
      </rPr>
      <t xml:space="preserve">計算：</t>
    </r>
    <r>
      <rPr>
        <sz val="9"/>
        <color rgb="FF6E6368"/>
        <rFont val="Arial"/>
        <family val="0"/>
        <charset val="1"/>
      </rPr>
      <t xml:space="preserve">IM</t>
    </r>
    <r>
      <rPr>
        <sz val="9"/>
        <color rgb="FF6E6368"/>
        <rFont val="WenQuanYi Zen Hei"/>
        <family val="2"/>
      </rPr>
      <t xml:space="preserve">計画の</t>
    </r>
    <r>
      <rPr>
        <sz val="9"/>
        <color rgb="FF6E6368"/>
        <rFont val="Arial"/>
        <family val="0"/>
        <charset val="1"/>
      </rPr>
      <t xml:space="preserve">2026→2029</t>
    </r>
    <r>
      <rPr>
        <sz val="9"/>
        <color rgb="FF6E6368"/>
        <rFont val="WenQuanYi Zen Hei"/>
        <family val="2"/>
      </rPr>
      <t xml:space="preserve">年の年平均</t>
    </r>
  </si>
  <si>
    <r>
      <rPr>
        <sz val="10"/>
        <rFont val="WenQuanYi Zen Hei"/>
        <family val="2"/>
      </rPr>
      <t xml:space="preserve">営業利益の年平均成長率（</t>
    </r>
    <r>
      <rPr>
        <sz val="10"/>
        <rFont val="Arial"/>
        <family val="0"/>
        <charset val="1"/>
      </rPr>
      <t xml:space="preserve">2026→2029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</si>
  <si>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売上高の成長率（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2032</t>
    </r>
    <r>
      <rPr>
        <sz val="10"/>
        <rFont val="WenQuanYi Zen Hei"/>
        <family val="2"/>
      </rPr>
      <t xml:space="preserve">年に適用）</t>
    </r>
  </si>
  <si>
    <t xml:space="preserve">既定値＝上記の年平均。数値を直接入力して上書きできます</t>
  </si>
  <si>
    <r>
      <rPr>
        <sz val="10"/>
        <rFont val="WenQuanYi Zen Hei"/>
        <family val="2"/>
      </rPr>
      <t xml:space="preserve">営業利益の成長率（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2032</t>
    </r>
    <r>
      <rPr>
        <sz val="10"/>
        <rFont val="WenQuanYi Zen Hei"/>
        <family val="2"/>
      </rPr>
      <t xml:space="preserve">年に適用）</t>
    </r>
  </si>
  <si>
    <r>
      <rPr>
        <b val="true"/>
        <sz val="10"/>
        <rFont val="WenQuanYi Zen Hei"/>
        <family val="2"/>
      </rPr>
      <t xml:space="preserve">■ 当社取得後の調整（</t>
    </r>
    <r>
      <rPr>
        <b val="true"/>
        <sz val="10"/>
        <rFont val="Arial"/>
        <family val="0"/>
        <charset val="1"/>
      </rPr>
      <t xml:space="preserve">IM</t>
    </r>
    <r>
      <rPr>
        <b val="true"/>
        <sz val="10"/>
        <rFont val="WenQuanYi Zen Hei"/>
        <family val="2"/>
      </rPr>
      <t xml:space="preserve">の営業利益は岸田氏の現行報酬控除後）</t>
    </r>
  </si>
  <si>
    <r>
      <rPr>
        <sz val="10"/>
        <rFont val="WenQuanYi Zen Hei"/>
        <family val="2"/>
      </rPr>
      <t xml:space="preserve">岸田氏の現行報酬（</t>
    </r>
    <r>
      <rPr>
        <sz val="10"/>
        <rFont val="Arial"/>
        <family val="0"/>
        <charset val="1"/>
      </rPr>
      <t xml:space="preserve">IM</t>
    </r>
    <r>
      <rPr>
        <sz val="10"/>
        <rFont val="WenQuanYi Zen Hei"/>
        <family val="2"/>
      </rPr>
      <t xml:space="preserve">計画に含まれる）</t>
    </r>
  </si>
  <si>
    <r>
      <rPr>
        <sz val="9"/>
        <color rgb="FF6E6368"/>
        <rFont val="WenQuanYi Zen Hei"/>
        <family val="2"/>
      </rPr>
      <t xml:space="preserve">月額</t>
    </r>
    <r>
      <rPr>
        <sz val="9"/>
        <color rgb="FF6E6368"/>
        <rFont val="Arial"/>
        <family val="0"/>
        <charset val="1"/>
      </rPr>
      <t xml:space="preserve">60</t>
    </r>
    <r>
      <rPr>
        <sz val="9"/>
        <color rgb="FF6E6368"/>
        <rFont val="WenQuanYi Zen Hei"/>
        <family val="2"/>
      </rPr>
      <t xml:space="preserve">万円</t>
    </r>
    <r>
      <rPr>
        <sz val="9"/>
        <color rgb="FF6E6368"/>
        <rFont val="Arial"/>
        <family val="0"/>
        <charset val="1"/>
      </rPr>
      <t xml:space="preserve">×12</t>
    </r>
    <r>
      <rPr>
        <sz val="9"/>
        <color rgb="FF6E6368"/>
        <rFont val="WenQuanYi Zen Hei"/>
        <family val="2"/>
      </rPr>
      <t xml:space="preserve">＋事前確定届出給与</t>
    </r>
    <r>
      <rPr>
        <sz val="9"/>
        <color rgb="FF6E6368"/>
        <rFont val="Arial"/>
        <family val="0"/>
        <charset val="1"/>
      </rPr>
      <t xml:space="preserve">95.4</t>
    </r>
    <r>
      <rPr>
        <sz val="9"/>
        <color rgb="FF6E6368"/>
        <rFont val="WenQuanYi Zen Hei"/>
        <family val="2"/>
      </rPr>
      <t xml:space="preserve">百万円（</t>
    </r>
    <r>
      <rPr>
        <sz val="9"/>
        <color rgb="FF6E6368"/>
        <rFont val="Arial"/>
        <family val="0"/>
        <charset val="1"/>
      </rPr>
      <t xml:space="preserve">IM</t>
    </r>
    <r>
      <rPr>
        <sz val="9"/>
        <color rgb="FF6E6368"/>
        <rFont val="WenQuanYi Zen Hei"/>
        <family val="2"/>
      </rPr>
      <t xml:space="preserve">計画は現行報酬を前提＝売主</t>
    </r>
    <r>
      <rPr>
        <sz val="9"/>
        <color rgb="FF6E6368"/>
        <rFont val="Arial"/>
        <family val="0"/>
        <charset val="1"/>
      </rPr>
      <t xml:space="preserve">QA②</t>
    </r>
    <r>
      <rPr>
        <sz val="9"/>
        <color rgb="FF6E6368"/>
        <rFont val="WenQuanYi Zen Hei"/>
        <family val="2"/>
      </rPr>
      <t xml:space="preserve">）</t>
    </r>
  </si>
  <si>
    <t xml:space="preserve">岸田氏の役員報酬（取得後）</t>
  </si>
  <si>
    <r>
      <rPr>
        <sz val="9"/>
        <color rgb="FF6E6368"/>
        <rFont val="WenQuanYi Zen Hei"/>
        <family val="2"/>
      </rPr>
      <t xml:space="preserve">条件合意：ロックアップ</t>
    </r>
    <r>
      <rPr>
        <sz val="9"/>
        <color rgb="FF6E6368"/>
        <rFont val="Arial"/>
        <family val="0"/>
        <charset val="1"/>
      </rPr>
      <t xml:space="preserve">3</t>
    </r>
    <r>
      <rPr>
        <sz val="9"/>
        <color rgb="FF6E6368"/>
        <rFont val="WenQuanYi Zen Hei"/>
        <family val="2"/>
      </rPr>
      <t xml:space="preserve">年（</t>
    </r>
    <r>
      <rPr>
        <sz val="9"/>
        <color rgb="FF6E6368"/>
        <rFont val="Arial"/>
        <family val="0"/>
        <charset val="1"/>
      </rPr>
      <t xml:space="preserve">B</t>
    </r>
    <r>
      <rPr>
        <sz val="9"/>
        <color rgb="FF6E6368"/>
        <rFont val="WenQuanYi Zen Hei"/>
        <family val="2"/>
      </rPr>
      <t xml:space="preserve">案）は年</t>
    </r>
    <r>
      <rPr>
        <sz val="9"/>
        <color rgb="FF6E6368"/>
        <rFont val="Arial"/>
        <family val="0"/>
        <charset val="1"/>
      </rPr>
      <t xml:space="preserve">2,000</t>
    </r>
    <r>
      <rPr>
        <sz val="9"/>
        <color rgb="FF6E6368"/>
        <rFont val="WenQuanYi Zen Hei"/>
        <family val="2"/>
      </rPr>
      <t xml:space="preserve">万円、以降は出勤義務なし</t>
    </r>
  </si>
  <si>
    <t xml:space="preserve">後継料理長の追加人件費</t>
  </si>
  <si>
    <r>
      <rPr>
        <sz val="9"/>
        <color rgb="FF6E6368"/>
        <rFont val="WenQuanYi Zen Hei"/>
        <family val="2"/>
      </rPr>
      <t xml:space="preserve">仮定：</t>
    </r>
    <r>
      <rPr>
        <sz val="9"/>
        <color rgb="FF6E6368"/>
        <rFont val="Arial"/>
        <family val="0"/>
        <charset val="1"/>
      </rPr>
      <t xml:space="preserve">2028</t>
    </r>
    <r>
      <rPr>
        <sz val="9"/>
        <color rgb="FF6E6368"/>
        <rFont val="WenQuanYi Zen Hei"/>
        <family val="2"/>
      </rPr>
      <t xml:space="preserve">年から年</t>
    </r>
    <r>
      <rPr>
        <sz val="9"/>
        <color rgb="FF6E6368"/>
        <rFont val="Arial"/>
        <family val="0"/>
        <charset val="1"/>
      </rPr>
      <t xml:space="preserve">15</t>
    </r>
    <r>
      <rPr>
        <sz val="9"/>
        <color rgb="FF6E6368"/>
        <rFont val="WenQuanYi Zen Hei"/>
        <family val="2"/>
      </rPr>
      <t xml:space="preserve">百万円</t>
    </r>
  </si>
  <si>
    <r>
      <rPr>
        <sz val="10"/>
        <rFont val="Arial"/>
        <family val="0"/>
        <charset val="1"/>
      </rPr>
      <t xml:space="preserve">AM</t>
    </r>
    <r>
      <rPr>
        <sz val="10"/>
        <rFont val="WenQuanYi Zen Hei"/>
        <family val="2"/>
      </rPr>
      <t xml:space="preserve">管理報酬</t>
    </r>
  </si>
  <si>
    <r>
      <rPr>
        <sz val="9"/>
        <color rgb="FF6E6368"/>
        <rFont val="Arial"/>
        <family val="0"/>
        <charset val="1"/>
      </rPr>
      <t xml:space="preserve">SPC</t>
    </r>
    <r>
      <rPr>
        <sz val="9"/>
        <color rgb="FF6E6368"/>
        <rFont val="WenQuanYi Zen Hei"/>
        <family val="2"/>
      </rPr>
      <t xml:space="preserve">出資総額</t>
    </r>
    <r>
      <rPr>
        <sz val="9"/>
        <color rgb="FF6E6368"/>
        <rFont val="Arial"/>
        <family val="0"/>
        <charset val="1"/>
      </rPr>
      <t xml:space="preserve">30.6</t>
    </r>
    <r>
      <rPr>
        <sz val="9"/>
        <color rgb="FF6E6368"/>
        <rFont val="WenQuanYi Zen Hei"/>
        <family val="2"/>
      </rPr>
      <t xml:space="preserve">億円</t>
    </r>
    <r>
      <rPr>
        <sz val="9"/>
        <color rgb="FF6E6368"/>
        <rFont val="Arial"/>
        <family val="0"/>
        <charset val="1"/>
      </rPr>
      <t xml:space="preserve">×2%</t>
    </r>
    <r>
      <rPr>
        <sz val="9"/>
        <color rgb="FF6E6368"/>
        <rFont val="WenQuanYi Zen Hei"/>
        <family val="2"/>
      </rPr>
      <t xml:space="preserve">（</t>
    </r>
    <r>
      <rPr>
        <sz val="9"/>
        <color rgb="FF6E6368"/>
        <rFont val="Arial"/>
        <family val="0"/>
        <charset val="1"/>
      </rPr>
      <t xml:space="preserve">AM</t>
    </r>
    <r>
      <rPr>
        <sz val="9"/>
        <color rgb="FF6E6368"/>
        <rFont val="WenQuanYi Zen Hei"/>
        <family val="2"/>
      </rPr>
      <t xml:space="preserve">契約で確定）</t>
    </r>
  </si>
  <si>
    <t xml:space="preserve">岸田氏法人へのコンサルティング費（アーンアウト）</t>
  </si>
  <si>
    <r>
      <rPr>
        <sz val="9"/>
        <color rgb="FF6E6368"/>
        <rFont val="WenQuanYi Zen Hei"/>
        <family val="2"/>
      </rPr>
      <t xml:space="preserve">ユーザー指定：</t>
    </r>
    <r>
      <rPr>
        <sz val="9"/>
        <color rgb="FF6E6368"/>
        <rFont val="Arial"/>
        <family val="0"/>
        <charset val="1"/>
      </rPr>
      <t xml:space="preserve">4</t>
    </r>
    <r>
      <rPr>
        <sz val="9"/>
        <color rgb="FF6E6368"/>
        <rFont val="WenQuanYi Zen Hei"/>
        <family val="2"/>
      </rPr>
      <t xml:space="preserve">年目・</t>
    </r>
    <r>
      <rPr>
        <sz val="9"/>
        <color rgb="FF6E6368"/>
        <rFont val="Arial"/>
        <family val="0"/>
        <charset val="1"/>
      </rPr>
      <t xml:space="preserve">5</t>
    </r>
    <r>
      <rPr>
        <sz val="9"/>
        <color rgb="FF6E6368"/>
        <rFont val="WenQuanYi Zen Hei"/>
        <family val="2"/>
      </rPr>
      <t xml:space="preserve">年目に三つ星維持で各</t>
    </r>
    <r>
      <rPr>
        <sz val="9"/>
        <color rgb="FF6E6368"/>
        <rFont val="Arial"/>
        <family val="0"/>
        <charset val="1"/>
      </rPr>
      <t xml:space="preserve">4</t>
    </r>
    <r>
      <rPr>
        <sz val="9"/>
        <color rgb="FF6E6368"/>
        <rFont val="WenQuanYi Zen Hei"/>
        <family val="2"/>
      </rPr>
      <t xml:space="preserve">億円、対象会社の費用として支払う</t>
    </r>
  </si>
  <si>
    <t xml:space="preserve">■ 税・投資・資金</t>
  </si>
  <si>
    <t xml:space="preserve">実効税率</t>
  </si>
  <si>
    <r>
      <rPr>
        <sz val="9"/>
        <color rgb="FF6E6368"/>
        <rFont val="Arial"/>
        <family val="0"/>
        <charset val="1"/>
      </rPr>
      <t xml:space="preserve">2025</t>
    </r>
    <r>
      <rPr>
        <sz val="9"/>
        <color rgb="FF6E6368"/>
        <rFont val="WenQuanYi Zen Hei"/>
        <family val="2"/>
      </rPr>
      <t xml:space="preserve">年実績（銀行提出資料と同じ）</t>
    </r>
  </si>
  <si>
    <t xml:space="preserve">減価償却費（年）</t>
  </si>
  <si>
    <r>
      <rPr>
        <sz val="9"/>
        <color rgb="FF6E6368"/>
        <rFont val="Arial"/>
        <family val="0"/>
        <charset val="1"/>
      </rPr>
      <t xml:space="preserve">IM</t>
    </r>
    <r>
      <rPr>
        <sz val="9"/>
        <color rgb="FF6E6368"/>
        <rFont val="WenQuanYi Zen Hei"/>
        <family val="2"/>
      </rPr>
      <t xml:space="preserve">計画に合わせて</t>
    </r>
    <r>
      <rPr>
        <sz val="9"/>
        <color rgb="FF6E6368"/>
        <rFont val="Arial"/>
        <family val="0"/>
        <charset val="1"/>
      </rPr>
      <t xml:space="preserve">0</t>
    </r>
    <r>
      <rPr>
        <sz val="9"/>
        <color rgb="FF6E6368"/>
        <rFont val="WenQuanYi Zen Hei"/>
        <family val="2"/>
      </rPr>
      <t xml:space="preserve">（設備投資の償却による節税は保守的に考慮しない）</t>
    </r>
  </si>
  <si>
    <t xml:space="preserve">設備投資（年）</t>
  </si>
  <si>
    <r>
      <rPr>
        <sz val="9"/>
        <color rgb="FF6E6368"/>
        <rFont val="WenQuanYi Zen Hei"/>
        <family val="2"/>
      </rPr>
      <t xml:space="preserve">仮定（</t>
    </r>
    <r>
      <rPr>
        <sz val="9"/>
        <color rgb="FF6E6368"/>
        <rFont val="Arial"/>
        <family val="0"/>
        <charset val="1"/>
      </rPr>
      <t xml:space="preserve">IM</t>
    </r>
    <r>
      <rPr>
        <sz val="9"/>
        <color rgb="FF6E6368"/>
        <rFont val="WenQuanYi Zen Hei"/>
        <family val="2"/>
      </rPr>
      <t xml:space="preserve">は計画なし。銀行提出資料と同じ保守的な水準）</t>
    </r>
  </si>
  <si>
    <t xml:space="preserve">決済時の留保現金</t>
  </si>
  <si>
    <r>
      <rPr>
        <sz val="9"/>
        <color rgb="FF6E6368"/>
        <rFont val="WenQuanYi Zen Hei"/>
        <family val="2"/>
      </rPr>
      <t xml:space="preserve">銀行提出資料：運転資金として</t>
    </r>
    <r>
      <rPr>
        <sz val="9"/>
        <color rgb="FF6E6368"/>
        <rFont val="Arial"/>
        <family val="0"/>
        <charset val="1"/>
      </rPr>
      <t xml:space="preserve">1.0</t>
    </r>
    <r>
      <rPr>
        <sz val="9"/>
        <color rgb="FF6E6368"/>
        <rFont val="WenQuanYi Zen Hei"/>
        <family val="2"/>
      </rPr>
      <t xml:space="preserve">億円を留保</t>
    </r>
  </si>
  <si>
    <r>
      <rPr>
        <sz val="10"/>
        <rFont val="Arial"/>
        <family val="0"/>
        <charset val="1"/>
      </rPr>
      <t xml:space="preserve">FY2026 </t>
    </r>
    <r>
      <rPr>
        <sz val="10"/>
        <rFont val="WenQuanYi Zen Hei"/>
        <family val="2"/>
      </rPr>
      <t xml:space="preserve">未払法人税等（退職金控除前）</t>
    </r>
  </si>
  <si>
    <r>
      <rPr>
        <sz val="9"/>
        <color rgb="FF6E6368"/>
        <rFont val="WenQuanYi Zen Hei"/>
        <family val="2"/>
      </rPr>
      <t xml:space="preserve">銀行提出資料：</t>
    </r>
    <r>
      <rPr>
        <sz val="9"/>
        <color rgb="FF6E6368"/>
        <rFont val="Arial"/>
        <family val="0"/>
        <charset val="1"/>
      </rPr>
      <t xml:space="preserve">2026</t>
    </r>
    <r>
      <rPr>
        <sz val="9"/>
        <color rgb="FF6E6368"/>
        <rFont val="WenQuanYi Zen Hei"/>
        <family val="2"/>
      </rPr>
      <t xml:space="preserve">年</t>
    </r>
    <r>
      <rPr>
        <sz val="9"/>
        <color rgb="FF6E6368"/>
        <rFont val="Arial"/>
        <family val="0"/>
        <charset val="1"/>
      </rPr>
      <t xml:space="preserve">12</t>
    </r>
    <r>
      <rPr>
        <sz val="9"/>
        <color rgb="FF6E6368"/>
        <rFont val="WenQuanYi Zen Hei"/>
        <family val="2"/>
      </rPr>
      <t xml:space="preserve">月期の未払税金</t>
    </r>
    <r>
      <rPr>
        <sz val="9"/>
        <color rgb="FF6E6368"/>
        <rFont val="Arial"/>
        <family val="0"/>
        <charset val="1"/>
      </rPr>
      <t xml:space="preserve">1.14</t>
    </r>
    <r>
      <rPr>
        <sz val="9"/>
        <color rgb="FF6E6368"/>
        <rFont val="WenQuanYi Zen Hei"/>
        <family val="2"/>
      </rPr>
      <t xml:space="preserve">億円</t>
    </r>
  </si>
  <si>
    <t xml:space="preserve">決済時の役員退職金（対象会社が支給）</t>
  </si>
  <si>
    <r>
      <rPr>
        <sz val="9"/>
        <color rgb="FF6E6368"/>
        <rFont val="WenQuanYi Zen Hei"/>
        <family val="2"/>
      </rPr>
      <t xml:space="preserve">条件合意：前払い</t>
    </r>
    <r>
      <rPr>
        <sz val="9"/>
        <color rgb="FF6E6368"/>
        <rFont val="Arial"/>
        <family val="0"/>
        <charset val="1"/>
      </rPr>
      <t xml:space="preserve">2.25</t>
    </r>
    <r>
      <rPr>
        <sz val="9"/>
        <color rgb="FF6E6368"/>
        <rFont val="WenQuanYi Zen Hei"/>
        <family val="2"/>
      </rPr>
      <t xml:space="preserve">億円を退職金に振替（ユーザー指定）</t>
    </r>
  </si>
  <si>
    <r>
      <rPr>
        <b val="true"/>
        <sz val="10"/>
        <rFont val="WenQuanYi Zen Hei"/>
        <family val="2"/>
      </rPr>
      <t xml:space="preserve">■ 買収借入（合併後の会社が</t>
    </r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年元利均等で返済）</t>
    </r>
  </si>
  <si>
    <r>
      <rPr>
        <sz val="10"/>
        <rFont val="WenQuanYi Zen Hei"/>
        <family val="2"/>
      </rPr>
      <t xml:space="preserve">借入額（ケース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）</t>
    </r>
  </si>
  <si>
    <r>
      <rPr>
        <sz val="9"/>
        <color rgb="FF6E6368"/>
        <rFont val="WenQuanYi Zen Hei"/>
        <family val="2"/>
      </rPr>
      <t xml:space="preserve">ユーザー指定：</t>
    </r>
    <r>
      <rPr>
        <sz val="9"/>
        <color rgb="FF6E6368"/>
        <rFont val="Arial"/>
        <family val="0"/>
        <charset val="1"/>
      </rPr>
      <t xml:space="preserve">15</t>
    </r>
    <r>
      <rPr>
        <sz val="9"/>
        <color rgb="FF6E6368"/>
        <rFont val="WenQuanYi Zen Hei"/>
        <family val="2"/>
      </rPr>
      <t xml:space="preserve">億円・</t>
    </r>
    <r>
      <rPr>
        <sz val="9"/>
        <color rgb="FF6E6368"/>
        <rFont val="Arial"/>
        <family val="0"/>
        <charset val="1"/>
      </rPr>
      <t xml:space="preserve">7</t>
    </r>
    <r>
      <rPr>
        <sz val="9"/>
        <color rgb="FF6E6368"/>
        <rFont val="WenQuanYi Zen Hei"/>
        <family val="2"/>
      </rPr>
      <t xml:space="preserve">年</t>
    </r>
  </si>
  <si>
    <t xml:space="preserve">金利</t>
  </si>
  <si>
    <r>
      <rPr>
        <sz val="9"/>
        <color rgb="FF6E6368"/>
        <rFont val="WenQuanYi Zen Hei"/>
        <family val="2"/>
      </rPr>
      <t xml:space="preserve">ユーザー指定：金利上昇を含め</t>
    </r>
    <r>
      <rPr>
        <sz val="9"/>
        <color rgb="FF6E6368"/>
        <rFont val="Arial"/>
        <family val="0"/>
        <charset val="1"/>
      </rPr>
      <t xml:space="preserve">4%</t>
    </r>
  </si>
  <si>
    <t xml:space="preserve">返済年数</t>
  </si>
  <si>
    <t xml:space="preserve">仮定（みずほ銀行と協議中）</t>
  </si>
  <si>
    <r>
      <rPr>
        <sz val="10"/>
        <rFont val="WenQuanYi Zen Hei"/>
        <family val="2"/>
      </rPr>
      <t xml:space="preserve">借入額（ケース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）</t>
    </r>
  </si>
  <si>
    <r>
      <rPr>
        <sz val="9"/>
        <color rgb="FF6E6368"/>
        <rFont val="WenQuanYi Zen Hei"/>
        <family val="2"/>
      </rPr>
      <t xml:space="preserve">ユーザー指定：</t>
    </r>
    <r>
      <rPr>
        <sz val="9"/>
        <color rgb="FF6E6368"/>
        <rFont val="Arial"/>
        <family val="0"/>
        <charset val="1"/>
      </rPr>
      <t xml:space="preserve">20</t>
    </r>
    <r>
      <rPr>
        <sz val="9"/>
        <color rgb="FF6E6368"/>
        <rFont val="WenQuanYi Zen Hei"/>
        <family val="2"/>
      </rPr>
      <t xml:space="preserve">億円・</t>
    </r>
    <r>
      <rPr>
        <sz val="9"/>
        <color rgb="FF6E6368"/>
        <rFont val="Arial"/>
        <family val="0"/>
        <charset val="1"/>
      </rPr>
      <t xml:space="preserve">7</t>
    </r>
    <r>
      <rPr>
        <sz val="9"/>
        <color rgb="FF6E6368"/>
        <rFont val="WenQuanYi Zen Hei"/>
        <family val="2"/>
      </rPr>
      <t xml:space="preserve">年</t>
    </r>
  </si>
  <si>
    <r>
      <rPr>
        <b val="true"/>
        <sz val="10"/>
        <rFont val="WenQuanYi Zen Hei"/>
        <family val="2"/>
      </rPr>
      <t xml:space="preserve">■ 子会社 カンテサンスプラス株式会社（プティ・ボノム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子会社）</t>
    </r>
  </si>
  <si>
    <t xml:space="preserve">子会社の現預金</t>
  </si>
  <si>
    <r>
      <rPr>
        <sz val="9"/>
        <color rgb="FF6E6368"/>
        <rFont val="WenQuanYi Zen Hei"/>
        <family val="2"/>
      </rPr>
      <t xml:space="preserve">第</t>
    </r>
    <r>
      <rPr>
        <sz val="9"/>
        <color rgb="FF6E6368"/>
        <rFont val="Arial"/>
        <family val="0"/>
        <charset val="1"/>
      </rPr>
      <t xml:space="preserve">10</t>
    </r>
    <r>
      <rPr>
        <sz val="9"/>
        <color rgb="FF6E6368"/>
        <rFont val="WenQuanYi Zen Hei"/>
        <family val="2"/>
      </rPr>
      <t xml:space="preserve">期（</t>
    </r>
    <r>
      <rPr>
        <sz val="9"/>
        <color rgb="FF6E6368"/>
        <rFont val="Arial"/>
        <family val="0"/>
        <charset val="1"/>
      </rPr>
      <t xml:space="preserve">2026</t>
    </r>
    <r>
      <rPr>
        <sz val="9"/>
        <color rgb="FF6E6368"/>
        <rFont val="WenQuanYi Zen Hei"/>
        <family val="2"/>
      </rPr>
      <t xml:space="preserve">年</t>
    </r>
    <r>
      <rPr>
        <sz val="9"/>
        <color rgb="FF6E6368"/>
        <rFont val="Arial"/>
        <family val="0"/>
        <charset val="1"/>
      </rPr>
      <t xml:space="preserve">6</t>
    </r>
    <r>
      <rPr>
        <sz val="9"/>
        <color rgb="FF6E6368"/>
        <rFont val="WenQuanYi Zen Hei"/>
        <family val="2"/>
      </rPr>
      <t xml:space="preserve">月期）決算書：</t>
    </r>
    <r>
      <rPr>
        <sz val="9"/>
        <color rgb="FF6E6368"/>
        <rFont val="Arial"/>
        <family val="0"/>
        <charset val="1"/>
      </rPr>
      <t xml:space="preserve">42,906,344</t>
    </r>
    <r>
      <rPr>
        <sz val="9"/>
        <color rgb="FF6E6368"/>
        <rFont val="WenQuanYi Zen Hei"/>
        <family val="2"/>
      </rPr>
      <t xml:space="preserve">円</t>
    </r>
  </si>
  <si>
    <t xml:space="preserve">子会社の役員借入金（岸田様への返済）</t>
  </si>
  <si>
    <r>
      <rPr>
        <sz val="9"/>
        <color rgb="FF6E6368"/>
        <rFont val="WenQuanYi Zen Hei"/>
        <family val="2"/>
      </rPr>
      <t xml:space="preserve">第</t>
    </r>
    <r>
      <rPr>
        <sz val="9"/>
        <color rgb="FF6E6368"/>
        <rFont val="Arial"/>
        <family val="0"/>
        <charset val="1"/>
      </rPr>
      <t xml:space="preserve">10</t>
    </r>
    <r>
      <rPr>
        <sz val="9"/>
        <color rgb="FF6E6368"/>
        <rFont val="WenQuanYi Zen Hei"/>
        <family val="2"/>
      </rPr>
      <t xml:space="preserve">期（</t>
    </r>
    <r>
      <rPr>
        <sz val="9"/>
        <color rgb="FF6E6368"/>
        <rFont val="Arial"/>
        <family val="0"/>
        <charset val="1"/>
      </rPr>
      <t xml:space="preserve">2026</t>
    </r>
    <r>
      <rPr>
        <sz val="9"/>
        <color rgb="FF6E6368"/>
        <rFont val="WenQuanYi Zen Hei"/>
        <family val="2"/>
      </rPr>
      <t xml:space="preserve">年</t>
    </r>
    <r>
      <rPr>
        <sz val="9"/>
        <color rgb="FF6E6368"/>
        <rFont val="Arial"/>
        <family val="0"/>
        <charset val="1"/>
      </rPr>
      <t xml:space="preserve">6</t>
    </r>
    <r>
      <rPr>
        <sz val="9"/>
        <color rgb="FF6E6368"/>
        <rFont val="WenQuanYi Zen Hei"/>
        <family val="2"/>
      </rPr>
      <t xml:space="preserve">月期）決算書：</t>
    </r>
    <r>
      <rPr>
        <sz val="9"/>
        <color rgb="FF6E6368"/>
        <rFont val="Arial"/>
        <family val="0"/>
        <charset val="1"/>
      </rPr>
      <t xml:space="preserve">5,543,167</t>
    </r>
    <r>
      <rPr>
        <sz val="9"/>
        <color rgb="FF6E6368"/>
        <rFont val="WenQuanYi Zen Hei"/>
        <family val="2"/>
      </rPr>
      <t xml:space="preserve">円。決済までに返済する前提で控除</t>
    </r>
  </si>
  <si>
    <t xml:space="preserve">決済時に使える子会社の現預金</t>
  </si>
  <si>
    <r>
      <rPr>
        <sz val="9"/>
        <color rgb="FF6E6368"/>
        <rFont val="WenQuanYi Zen Hei"/>
        <family val="2"/>
      </rPr>
      <t xml:space="preserve">配当（完全子法人からの配当は益金不算入・源泉徴収なし）又は合併で親会社に移す。年間の利益（約</t>
    </r>
    <r>
      <rPr>
        <sz val="9"/>
        <color rgb="FF6E6368"/>
        <rFont val="Arial"/>
        <family val="0"/>
        <charset val="1"/>
      </rPr>
      <t xml:space="preserve">4</t>
    </r>
    <r>
      <rPr>
        <sz val="9"/>
        <color rgb="FF6E6368"/>
        <rFont val="WenQuanYi Zen Hei"/>
        <family val="2"/>
      </rPr>
      <t xml:space="preserve">百万円）は</t>
    </r>
    <r>
      <rPr>
        <sz val="9"/>
        <color rgb="FF6E6368"/>
        <rFont val="Arial"/>
        <family val="0"/>
        <charset val="1"/>
      </rPr>
      <t xml:space="preserve">CF</t>
    </r>
    <r>
      <rPr>
        <sz val="9"/>
        <color rgb="FF6E6368"/>
        <rFont val="WenQuanYi Zen Hei"/>
        <family val="2"/>
      </rPr>
      <t xml:space="preserve">に含めず保守的に試算</t>
    </r>
  </si>
  <si>
    <r>
      <rPr>
        <b val="true"/>
        <sz val="14"/>
        <rFont val="WenQuanYi Zen Hei"/>
        <family val="2"/>
      </rPr>
      <t xml:space="preserve">カンテサンス </t>
    </r>
    <r>
      <rPr>
        <b val="true"/>
        <sz val="14"/>
        <rFont val="Arial"/>
        <family val="0"/>
        <charset val="1"/>
      </rPr>
      <t xml:space="preserve">CF</t>
    </r>
    <r>
      <rPr>
        <b val="true"/>
        <sz val="14"/>
        <rFont val="WenQuanYi Zen Hei"/>
        <family val="2"/>
      </rPr>
      <t xml:space="preserve">計画（</t>
    </r>
    <r>
      <rPr>
        <b val="true"/>
        <sz val="14"/>
        <rFont val="Arial"/>
        <family val="0"/>
        <charset val="1"/>
      </rPr>
      <t xml:space="preserve">2027</t>
    </r>
    <r>
      <rPr>
        <b val="true"/>
        <sz val="14"/>
        <rFont val="WenQuanYi Zen Hei"/>
        <family val="2"/>
      </rPr>
      <t xml:space="preserve">〜</t>
    </r>
    <r>
      <rPr>
        <b val="true"/>
        <sz val="14"/>
        <rFont val="Arial"/>
        <family val="0"/>
        <charset val="1"/>
      </rPr>
      <t xml:space="preserve">2032</t>
    </r>
    <r>
      <rPr>
        <b val="true"/>
        <sz val="14"/>
        <rFont val="WenQuanYi Zen Hei"/>
        <family val="2"/>
      </rPr>
      <t xml:space="preserve">年・三つ星維持ケース）｜借入</t>
    </r>
    <r>
      <rPr>
        <b val="true"/>
        <sz val="14"/>
        <rFont val="Arial"/>
        <family val="0"/>
        <charset val="1"/>
      </rPr>
      <t xml:space="preserve">15</t>
    </r>
    <r>
      <rPr>
        <b val="true"/>
        <sz val="14"/>
        <rFont val="WenQuanYi Zen Hei"/>
        <family val="2"/>
      </rPr>
      <t xml:space="preserve">億円・</t>
    </r>
    <r>
      <rPr>
        <b val="true"/>
        <sz val="14"/>
        <rFont val="Arial"/>
        <family val="0"/>
        <charset val="1"/>
      </rPr>
      <t xml:space="preserve">7</t>
    </r>
    <r>
      <rPr>
        <b val="true"/>
        <sz val="14"/>
        <rFont val="WenQuanYi Zen Hei"/>
        <family val="2"/>
      </rPr>
      <t xml:space="preserve">年・金利</t>
    </r>
    <r>
      <rPr>
        <b val="true"/>
        <sz val="14"/>
        <rFont val="Arial"/>
        <family val="0"/>
        <charset val="1"/>
      </rPr>
      <t xml:space="preserve">4%</t>
    </r>
  </si>
  <si>
    <r>
      <rPr>
        <sz val="9"/>
        <color rgb="FF6E6368"/>
        <rFont val="WenQuanYi Zen Hei"/>
        <family val="2"/>
      </rPr>
      <t xml:space="preserve">単位：百万円。</t>
    </r>
    <r>
      <rPr>
        <sz val="9"/>
        <color rgb="FF6E6368"/>
        <rFont val="Arial"/>
        <family val="0"/>
        <charset val="1"/>
      </rPr>
      <t xml:space="preserve">2029</t>
    </r>
    <r>
      <rPr>
        <sz val="9"/>
        <color rgb="FF6E6368"/>
        <rFont val="WenQuanYi Zen Hei"/>
        <family val="2"/>
      </rPr>
      <t xml:space="preserve">年までは</t>
    </r>
    <r>
      <rPr>
        <sz val="9"/>
        <color rgb="FF6E6368"/>
        <rFont val="Arial"/>
        <family val="0"/>
        <charset val="1"/>
      </rPr>
      <t xml:space="preserve">IM 42</t>
    </r>
    <r>
      <rPr>
        <sz val="9"/>
        <color rgb="FF6E6368"/>
        <rFont val="WenQuanYi Zen Hei"/>
        <family val="2"/>
      </rPr>
      <t xml:space="preserve">ページの計画値、</t>
    </r>
    <r>
      <rPr>
        <sz val="9"/>
        <color rgb="FF6E6368"/>
        <rFont val="Arial"/>
        <family val="0"/>
        <charset val="1"/>
      </rPr>
      <t xml:space="preserve">2030</t>
    </r>
    <r>
      <rPr>
        <sz val="9"/>
        <color rgb="FF6E6368"/>
        <rFont val="WenQuanYi Zen Hei"/>
        <family val="2"/>
      </rPr>
      <t xml:space="preserve">年以降は</t>
    </r>
    <r>
      <rPr>
        <sz val="9"/>
        <color rgb="FF6E6368"/>
        <rFont val="Arial"/>
        <family val="0"/>
        <charset val="1"/>
      </rPr>
      <t xml:space="preserve">IM</t>
    </r>
    <r>
      <rPr>
        <sz val="9"/>
        <color rgb="FF6E6368"/>
        <rFont val="WenQuanYi Zen Hei"/>
        <family val="2"/>
      </rPr>
      <t xml:space="preserve">の年平均成長率で延長。緑字＝前提条件シートの参照。</t>
    </r>
  </si>
  <si>
    <r>
      <rPr>
        <b val="true"/>
        <sz val="10"/>
        <color rgb="FFFFFFFF"/>
        <rFont val="Arial"/>
        <family val="0"/>
        <charset val="1"/>
      </rPr>
      <t xml:space="preserve">FY2026</t>
    </r>
    <r>
      <rPr>
        <b val="true"/>
        <sz val="10"/>
        <color rgb="FFFFFFFF"/>
        <rFont val="WenQuanYi Zen Hei"/>
        <family val="2"/>
      </rPr>
      <t xml:space="preserve">（参考）</t>
    </r>
  </si>
  <si>
    <r>
      <rPr>
        <b val="true"/>
        <sz val="10"/>
        <rFont val="WenQuanYi Zen Hei"/>
        <family val="2"/>
      </rPr>
      <t xml:space="preserve">売上高（</t>
    </r>
    <r>
      <rPr>
        <b val="true"/>
        <sz val="10"/>
        <rFont val="Arial"/>
        <family val="0"/>
        <charset val="1"/>
      </rPr>
      <t xml:space="preserve">IM</t>
    </r>
    <r>
      <rPr>
        <b val="true"/>
        <sz val="10"/>
        <rFont val="WenQuanYi Zen Hei"/>
        <family val="2"/>
      </rPr>
      <t xml:space="preserve">計画・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年以降は延長）</t>
    </r>
  </si>
  <si>
    <t xml:space="preserve">　売上高成長率</t>
  </si>
  <si>
    <r>
      <rPr>
        <b val="true"/>
        <sz val="10"/>
        <rFont val="WenQuanYi Zen Hei"/>
        <family val="2"/>
      </rPr>
      <t xml:space="preserve">営業利益（</t>
    </r>
    <r>
      <rPr>
        <b val="true"/>
        <sz val="10"/>
        <rFont val="Arial"/>
        <family val="0"/>
        <charset val="1"/>
      </rPr>
      <t xml:space="preserve">IM</t>
    </r>
    <r>
      <rPr>
        <b val="true"/>
        <sz val="10"/>
        <rFont val="WenQuanYi Zen Hei"/>
        <family val="2"/>
      </rPr>
      <t xml:space="preserve">計画・岸田氏の現行報酬控除後）</t>
    </r>
  </si>
  <si>
    <t xml:space="preserve">　営業利益率</t>
  </si>
  <si>
    <t xml:space="preserve">■ 当社取得後の調整</t>
  </si>
  <si>
    <t xml:space="preserve">＋ 岸田氏の現行報酬の戻し</t>
  </si>
  <si>
    <t xml:space="preserve">− 岸田氏の役員報酬（取得後）</t>
  </si>
  <si>
    <t xml:space="preserve">− 後継料理長の追加人件費</t>
  </si>
  <si>
    <r>
      <rPr>
        <sz val="10"/>
        <rFont val="Arial"/>
        <family val="0"/>
        <charset val="1"/>
      </rPr>
      <t xml:space="preserve">− AM</t>
    </r>
    <r>
      <rPr>
        <sz val="10"/>
        <rFont val="WenQuanYi Zen Hei"/>
        <family val="2"/>
      </rPr>
      <t xml:space="preserve">管理報酬</t>
    </r>
  </si>
  <si>
    <t xml:space="preserve">− 岸田氏法人へのコンサルティング費</t>
  </si>
  <si>
    <r>
      <rPr>
        <b val="true"/>
        <sz val="10"/>
        <rFont val="WenQuanYi Zen Hei"/>
        <family val="2"/>
      </rPr>
      <t xml:space="preserve">当社想定の</t>
    </r>
    <r>
      <rPr>
        <b val="true"/>
        <sz val="10"/>
        <rFont val="Arial"/>
        <family val="0"/>
        <charset val="1"/>
      </rPr>
      <t xml:space="preserve">EBITDA</t>
    </r>
  </si>
  <si>
    <t xml:space="preserve">減価償却費</t>
  </si>
  <si>
    <t xml:space="preserve">営業利益（当社想定）</t>
  </si>
  <si>
    <t xml:space="preserve">支払利息</t>
  </si>
  <si>
    <t xml:space="preserve">税引前利益</t>
  </si>
  <si>
    <t xml:space="preserve">法人税等</t>
  </si>
  <si>
    <t xml:space="preserve">■ キャッシュフロー</t>
  </si>
  <si>
    <t xml:space="preserve">設備投資</t>
  </si>
  <si>
    <r>
      <rPr>
        <sz val="10"/>
        <rFont val="Arial"/>
        <family val="0"/>
        <charset val="1"/>
      </rPr>
      <t xml:space="preserve">FY2026</t>
    </r>
    <r>
      <rPr>
        <sz val="10"/>
        <rFont val="WenQuanYi Zen Hei"/>
        <family val="2"/>
      </rPr>
      <t xml:space="preserve">分 法人税の納付（退職金の損金算入後）</t>
    </r>
  </si>
  <si>
    <r>
      <rPr>
        <b val="true"/>
        <sz val="10"/>
        <rFont val="WenQuanYi Zen Hei"/>
        <family val="2"/>
      </rPr>
      <t xml:space="preserve">営業</t>
    </r>
    <r>
      <rPr>
        <b val="true"/>
        <sz val="10"/>
        <rFont val="Arial"/>
        <family val="0"/>
        <charset val="1"/>
      </rPr>
      <t xml:space="preserve">CF</t>
    </r>
    <r>
      <rPr>
        <b val="true"/>
        <sz val="10"/>
        <rFont val="WenQuanYi Zen Hei"/>
        <family val="2"/>
      </rPr>
      <t xml:space="preserve">（借入返済前）</t>
    </r>
  </si>
  <si>
    <t xml:space="preserve">借入元本の返済</t>
  </si>
  <si>
    <r>
      <rPr>
        <b val="true"/>
        <sz val="10"/>
        <rFont val="WenQuanYi Zen Hei"/>
        <family val="2"/>
      </rPr>
      <t xml:space="preserve">借入返済後の</t>
    </r>
    <r>
      <rPr>
        <b val="true"/>
        <sz val="10"/>
        <rFont val="Arial"/>
        <family val="0"/>
        <charset val="1"/>
      </rPr>
      <t xml:space="preserve">CF</t>
    </r>
  </si>
  <si>
    <t xml:space="preserve">期末現金残高（子会社の現預金を含む）</t>
  </si>
  <si>
    <r>
      <rPr>
        <b val="true"/>
        <sz val="10"/>
        <rFont val="WenQuanYi Zen Hei"/>
        <family val="2"/>
      </rPr>
      <t xml:space="preserve">■ 買収借入（</t>
    </r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年元利均等）</t>
    </r>
  </si>
  <si>
    <t xml:space="preserve">期首残高</t>
  </si>
  <si>
    <t xml:space="preserve">元利返済額</t>
  </si>
  <si>
    <t xml:space="preserve">　うち利息</t>
  </si>
  <si>
    <t xml:space="preserve">　うち元本</t>
  </si>
  <si>
    <t xml:space="preserve">期末残高</t>
  </si>
  <si>
    <r>
      <rPr>
        <b val="true"/>
        <sz val="10"/>
        <rFont val="Arial"/>
        <family val="0"/>
        <charset val="1"/>
      </rPr>
      <t xml:space="preserve">DSCR</t>
    </r>
    <r>
      <rPr>
        <b val="true"/>
        <sz val="10"/>
        <rFont val="WenQuanYi Zen Hei"/>
        <family val="2"/>
      </rPr>
      <t xml:space="preserve">（返済余力）</t>
    </r>
  </si>
  <si>
    <r>
      <rPr>
        <sz val="9"/>
        <color rgb="FF6E6368"/>
        <rFont val="Arial"/>
        <family val="0"/>
        <charset val="1"/>
      </rPr>
      <t xml:space="preserve">DSCR</t>
    </r>
    <r>
      <rPr>
        <sz val="9"/>
        <color rgb="FF6E6368"/>
        <rFont val="WenQuanYi Zen Hei"/>
        <family val="2"/>
      </rPr>
      <t xml:space="preserve">＝（</t>
    </r>
    <r>
      <rPr>
        <sz val="9"/>
        <color rgb="FF6E6368"/>
        <rFont val="Arial"/>
        <family val="0"/>
        <charset val="1"/>
      </rPr>
      <t xml:space="preserve">EBITDA−</t>
    </r>
    <r>
      <rPr>
        <sz val="9"/>
        <color rgb="FF6E6368"/>
        <rFont val="WenQuanYi Zen Hei"/>
        <family val="2"/>
      </rPr>
      <t xml:space="preserve">法人税等−設備投資）</t>
    </r>
    <r>
      <rPr>
        <sz val="9"/>
        <color rgb="FF6E6368"/>
        <rFont val="Arial"/>
        <family val="0"/>
        <charset val="1"/>
      </rPr>
      <t xml:space="preserve">÷</t>
    </r>
    <r>
      <rPr>
        <sz val="9"/>
        <color rgb="FF6E6368"/>
        <rFont val="WenQuanYi Zen Hei"/>
        <family val="2"/>
      </rPr>
      <t xml:space="preserve">元利返済額。</t>
    </r>
    <r>
      <rPr>
        <sz val="9"/>
        <color rgb="FF6E6368"/>
        <rFont val="Arial"/>
        <family val="0"/>
        <charset val="1"/>
      </rPr>
      <t xml:space="preserve">1.0</t>
    </r>
    <r>
      <rPr>
        <sz val="9"/>
        <color rgb="FF6E6368"/>
        <rFont val="WenQuanYi Zen Hei"/>
        <family val="2"/>
      </rPr>
      <t xml:space="preserve">倍未満の年は、それまでに積み上がった現金で返済します。</t>
    </r>
  </si>
  <si>
    <t xml:space="preserve">■ 損金算入による節税効果（ご参考）</t>
  </si>
  <si>
    <r>
      <rPr>
        <sz val="10"/>
        <rFont val="WenQuanYi Zen Hei"/>
        <family val="2"/>
      </rPr>
      <t xml:space="preserve">決済時の役員退職金（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年度に損金算入）</t>
    </r>
  </si>
  <si>
    <t xml:space="preserve">コンサルティング費（アーンアウト）</t>
  </si>
  <si>
    <t xml:space="preserve">節税効果 合計</t>
  </si>
  <si>
    <t xml:space="preserve">節税効果 累計</t>
  </si>
  <si>
    <r>
      <rPr>
        <sz val="9"/>
        <color rgb="FF6E6368"/>
        <rFont val="WenQuanYi Zen Hei"/>
        <family val="2"/>
      </rPr>
      <t xml:space="preserve">株式対価で支払った場合はいずれも損金にならず、この節税効果は生じません。退職金の効果は</t>
    </r>
    <r>
      <rPr>
        <sz val="9"/>
        <color rgb="FF6E6368"/>
        <rFont val="Arial"/>
        <family val="0"/>
        <charset val="1"/>
      </rPr>
      <t xml:space="preserve">2026</t>
    </r>
    <r>
      <rPr>
        <sz val="9"/>
        <color rgb="FF6E6368"/>
        <rFont val="WenQuanYi Zen Hei"/>
        <family val="2"/>
      </rPr>
      <t xml:space="preserve">年度の税額減少として、</t>
    </r>
    <r>
      <rPr>
        <sz val="9"/>
        <color rgb="FF6E6368"/>
        <rFont val="Arial"/>
        <family val="0"/>
        <charset val="1"/>
      </rPr>
      <t xml:space="preserve">2027</t>
    </r>
    <r>
      <rPr>
        <sz val="9"/>
        <color rgb="FF6E6368"/>
        <rFont val="WenQuanYi Zen Hei"/>
        <family val="2"/>
      </rPr>
      <t xml:space="preserve">年の納付時に現金化します。</t>
    </r>
  </si>
  <si>
    <r>
      <rPr>
        <b val="true"/>
        <sz val="14"/>
        <rFont val="WenQuanYi Zen Hei"/>
        <family val="2"/>
      </rPr>
      <t xml:space="preserve">カンテサンス </t>
    </r>
    <r>
      <rPr>
        <b val="true"/>
        <sz val="14"/>
        <rFont val="Arial"/>
        <family val="0"/>
        <charset val="1"/>
      </rPr>
      <t xml:space="preserve">CF</t>
    </r>
    <r>
      <rPr>
        <b val="true"/>
        <sz val="14"/>
        <rFont val="WenQuanYi Zen Hei"/>
        <family val="2"/>
      </rPr>
      <t xml:space="preserve">計画（</t>
    </r>
    <r>
      <rPr>
        <b val="true"/>
        <sz val="14"/>
        <rFont val="Arial"/>
        <family val="0"/>
        <charset val="1"/>
      </rPr>
      <t xml:space="preserve">2027</t>
    </r>
    <r>
      <rPr>
        <b val="true"/>
        <sz val="14"/>
        <rFont val="WenQuanYi Zen Hei"/>
        <family val="2"/>
      </rPr>
      <t xml:space="preserve">〜</t>
    </r>
    <r>
      <rPr>
        <b val="true"/>
        <sz val="14"/>
        <rFont val="Arial"/>
        <family val="0"/>
        <charset val="1"/>
      </rPr>
      <t xml:space="preserve">2032</t>
    </r>
    <r>
      <rPr>
        <b val="true"/>
        <sz val="14"/>
        <rFont val="WenQuanYi Zen Hei"/>
        <family val="2"/>
      </rPr>
      <t xml:space="preserve">年・三つ星維持ケース）｜借入</t>
    </r>
    <r>
      <rPr>
        <b val="true"/>
        <sz val="14"/>
        <rFont val="Arial"/>
        <family val="0"/>
        <charset val="1"/>
      </rPr>
      <t xml:space="preserve">20</t>
    </r>
    <r>
      <rPr>
        <b val="true"/>
        <sz val="14"/>
        <rFont val="WenQuanYi Zen Hei"/>
        <family val="2"/>
      </rPr>
      <t xml:space="preserve">億円・</t>
    </r>
    <r>
      <rPr>
        <b val="true"/>
        <sz val="14"/>
        <rFont val="Arial"/>
        <family val="0"/>
        <charset val="1"/>
      </rPr>
      <t xml:space="preserve">7</t>
    </r>
    <r>
      <rPr>
        <b val="true"/>
        <sz val="14"/>
        <rFont val="WenQuanYi Zen Hei"/>
        <family val="2"/>
      </rPr>
      <t xml:space="preserve">年・金利</t>
    </r>
    <r>
      <rPr>
        <b val="true"/>
        <sz val="14"/>
        <rFont val="Arial"/>
        <family val="0"/>
        <charset val="1"/>
      </rPr>
      <t xml:space="preserve">4%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</si>
</sst>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0\x;\(0.00&quot;x)&quot;;\-"/>
    <numFmt numFmtId="167" formatCode="0.0%;\(0.0%\);\-"/>
    <numFmt numFmtId="168" formatCode="#,##0.0;\(#,##0.0\);\-"/>
    <numFmt numFmtId="169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9"/>
      <color rgb="FF6E6368"/>
      <name val="WenQuanYi Zen Hei"/>
      <family val="2"/>
    </font>
    <font>
      <sz val="9"/>
      <color rgb="FF6E6368"/>
      <name val="Arial"/>
      <family val="0"/>
      <charset val="1"/>
    </font>
    <font>
      <b val="true"/>
      <sz val="11"/>
      <color rgb="FF6D2E46"/>
      <name val="WenQuanYi Zen Hei"/>
      <family val="2"/>
    </font>
    <font>
      <b val="true"/>
      <sz val="11"/>
      <color rgb="FF6D2E46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WenQuanYi Zen Hei"/>
      <family val="2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sz val="9"/>
      <name val="WenQuanYi Zen Hei"/>
      <family val="2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D2E46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7F3F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D2E46"/>
      <rgbColor rgb="FFF7F3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3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1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6" t="s">
        <v>11</v>
      </c>
      <c r="B6" s="7" t="n">
        <f aca="false">CF_借入15億!C5</f>
        <v>1062</v>
      </c>
      <c r="C6" s="7" t="n">
        <f aca="false">CF_借入15億!D5</f>
        <v>1095</v>
      </c>
      <c r="D6" s="7" t="n">
        <f aca="false">CF_借入15億!E5</f>
        <v>1129</v>
      </c>
      <c r="E6" s="7" t="n">
        <f aca="false">CF_借入15億!F5</f>
        <v>1169.77744105188</v>
      </c>
      <c r="F6" s="7" t="n">
        <f aca="false">CF_借入15億!G5</f>
        <v>1212.02768963143</v>
      </c>
      <c r="G6" s="7" t="n">
        <f aca="false">CF_借入15億!H5</f>
        <v>1255.8039408867</v>
      </c>
      <c r="H6" s="8" t="n">
        <f aca="false">SUM(B6:G6)</f>
        <v>6923.60907157002</v>
      </c>
    </row>
    <row r="7" customFormat="false" ht="15" hidden="false" customHeight="false" outlineLevel="0" collapsed="false">
      <c r="A7" s="6" t="s">
        <v>12</v>
      </c>
      <c r="B7" s="7" t="n">
        <f aca="false">CF_借入15億!C7</f>
        <v>556</v>
      </c>
      <c r="C7" s="7" t="n">
        <f aca="false">CF_借入15億!D7</f>
        <v>576</v>
      </c>
      <c r="D7" s="7" t="n">
        <f aca="false">CF_借入15億!E7</f>
        <v>598</v>
      </c>
      <c r="E7" s="7" t="n">
        <f aca="false">CF_借入15億!F7</f>
        <v>623.338001817181</v>
      </c>
      <c r="F7" s="7" t="n">
        <f aca="false">CF_借入15億!G7</f>
        <v>649.749606203069</v>
      </c>
      <c r="G7" s="7" t="n">
        <f aca="false">CF_借入15億!H7</f>
        <v>677.280303030303</v>
      </c>
      <c r="H7" s="8" t="n">
        <f aca="false">SUM(B7:G7)</f>
        <v>3680.36791105055</v>
      </c>
    </row>
    <row r="8" customFormat="false" ht="15" hidden="false" customHeight="false" outlineLevel="0" collapsed="false">
      <c r="A8" s="6" t="s">
        <v>13</v>
      </c>
      <c r="B8" s="7" t="n">
        <f aca="false">CF_借入15億!C15</f>
        <v>577.6</v>
      </c>
      <c r="C8" s="7" t="n">
        <f aca="false">CF_借入15億!D15</f>
        <v>582.6</v>
      </c>
      <c r="D8" s="7" t="n">
        <f aca="false">CF_借入15億!E15</f>
        <v>604.6</v>
      </c>
      <c r="E8" s="7" t="n">
        <f aca="false">CF_借入15億!F15</f>
        <v>249.938001817181</v>
      </c>
      <c r="F8" s="7" t="n">
        <f aca="false">CF_借入15億!G15</f>
        <v>276.349606203069</v>
      </c>
      <c r="G8" s="7" t="n">
        <f aca="false">CF_借入15億!H15</f>
        <v>703.880303030303</v>
      </c>
      <c r="H8" s="8" t="n">
        <f aca="false">SUM(B8:G8)</f>
        <v>2994.96791105055</v>
      </c>
    </row>
    <row r="9" customFormat="false" ht="15" hidden="false" customHeight="false" outlineLevel="0" collapsed="false">
      <c r="A9" s="6" t="s">
        <v>14</v>
      </c>
      <c r="B9" s="7" t="n">
        <f aca="false">CF_借入15億!C21</f>
        <v>339.5456</v>
      </c>
      <c r="C9" s="7" t="n">
        <f aca="false">CF_借入15億!D21</f>
        <v>347.808954329875</v>
      </c>
      <c r="D9" s="7" t="n">
        <f aca="false">CF_借入15億!E21</f>
        <v>367.423642832945</v>
      </c>
      <c r="E9" s="7" t="n">
        <f aca="false">CF_借入15億!F21</f>
        <v>140.155368068208</v>
      </c>
      <c r="F9" s="7" t="n">
        <f aca="false">CF_借入15億!G21</f>
        <v>163.086976430271</v>
      </c>
      <c r="G9" s="7" t="n">
        <f aca="false">CF_借入15億!H21</f>
        <v>449.376933269254</v>
      </c>
      <c r="H9" s="8" t="n">
        <f aca="false">SUM(B9:G9)</f>
        <v>1807.39747493055</v>
      </c>
    </row>
    <row r="10" customFormat="false" ht="15" hidden="false" customHeight="false" outlineLevel="0" collapsed="false">
      <c r="A10" s="6" t="s">
        <v>15</v>
      </c>
      <c r="B10" s="7" t="n">
        <f aca="false">CF_借入15億!C30</f>
        <v>83.0311819407436</v>
      </c>
      <c r="C10" s="7" t="n">
        <f aca="false">CF_借入15億!D30</f>
        <v>120.297959548248</v>
      </c>
      <c r="D10" s="7" t="n">
        <f aca="false">CF_借入15億!E30</f>
        <v>132.012208260053</v>
      </c>
      <c r="E10" s="7" t="n">
        <f aca="false">CF_借入15億!F30</f>
        <v>-103.472523887599</v>
      </c>
      <c r="F10" s="7" t="n">
        <f aca="false">CF_借入15億!G30</f>
        <v>-89.0860312037683</v>
      </c>
      <c r="G10" s="7" t="n">
        <f aca="false">CF_借入15億!H30</f>
        <v>188.317005329853</v>
      </c>
      <c r="H10" s="8" t="n">
        <f aca="false">SUM(B10:G10)</f>
        <v>331.09979998753</v>
      </c>
    </row>
    <row r="11" customFormat="false" ht="15" hidden="false" customHeight="false" outlineLevel="0" collapsed="false">
      <c r="A11" s="6" t="s">
        <v>16</v>
      </c>
      <c r="B11" s="7" t="n">
        <f aca="false">CF_借入15億!C31</f>
        <v>220.431181940744</v>
      </c>
      <c r="C11" s="7" t="n">
        <f aca="false">CF_借入15億!D31</f>
        <v>340.729141488992</v>
      </c>
      <c r="D11" s="7" t="n">
        <f aca="false">CF_借入15億!E31</f>
        <v>472.741349749045</v>
      </c>
      <c r="E11" s="7" t="n">
        <f aca="false">CF_借入15億!F31</f>
        <v>369.268825861446</v>
      </c>
      <c r="F11" s="7" t="n">
        <f aca="false">CF_借入15億!G31</f>
        <v>280.182794657677</v>
      </c>
      <c r="G11" s="7" t="n">
        <f aca="false">CF_借入15億!H31</f>
        <v>468.49979998753</v>
      </c>
    </row>
    <row r="12" customFormat="false" ht="15" hidden="false" customHeight="false" outlineLevel="0" collapsed="false">
      <c r="A12" s="6" t="s">
        <v>17</v>
      </c>
      <c r="B12" s="7" t="n">
        <f aca="false">CF_借入15億!C39</f>
        <v>1310.08558194074</v>
      </c>
      <c r="C12" s="7" t="n">
        <f aca="false">CF_借入15億!D39</f>
        <v>1112.57458715912</v>
      </c>
      <c r="D12" s="7" t="n">
        <f aca="false">CF_借入15億!E39</f>
        <v>907.163152586225</v>
      </c>
      <c r="E12" s="7" t="n">
        <f aca="false">CF_借入15億!F39</f>
        <v>693.535260630418</v>
      </c>
      <c r="F12" s="7" t="n">
        <f aca="false">CF_借入15億!G39</f>
        <v>471.362252996378</v>
      </c>
      <c r="G12" s="7" t="n">
        <f aca="false">CF_借入15億!H39</f>
        <v>240.302325056977</v>
      </c>
    </row>
    <row r="13" customFormat="false" ht="15" hidden="false" customHeight="false" outlineLevel="0" collapsed="false">
      <c r="A13" s="9" t="s">
        <v>18</v>
      </c>
      <c r="B13" s="10" t="n">
        <f aca="false">CF_借入15億!C40</f>
        <v>1.47868859615926</v>
      </c>
      <c r="C13" s="10" t="n">
        <f aca="false">CF_借入15億!D40</f>
        <v>1.48135661992789</v>
      </c>
      <c r="D13" s="10" t="n">
        <f aca="false">CF_借入15億!E40</f>
        <v>1.5282296607183</v>
      </c>
      <c r="E13" s="10" t="n">
        <f aca="false">CF_借入15億!F40</f>
        <v>0.58596816985939</v>
      </c>
      <c r="F13" s="10" t="n">
        <f aca="false">CF_借入15億!G40</f>
        <v>0.643533846924168</v>
      </c>
      <c r="G13" s="10" t="n">
        <f aca="false">CF_借入15億!H40</f>
        <v>1.7535259741805</v>
      </c>
    </row>
    <row r="14" customFormat="false" ht="15" hidden="false" customHeight="false" outlineLevel="0" collapsed="false">
      <c r="A14" s="11" t="s">
        <v>19</v>
      </c>
      <c r="B14" s="12" t="n">
        <f aca="false">MIN(B13:G13)</f>
        <v>0.58596816985939</v>
      </c>
    </row>
    <row r="15" customFormat="false" ht="15" hidden="false" customHeight="false" outlineLevel="0" collapsed="false">
      <c r="A15" s="11" t="s">
        <v>20</v>
      </c>
      <c r="B15" s="8" t="n">
        <f aca="false">MIN(B11:G11)</f>
        <v>220.431181940744</v>
      </c>
    </row>
    <row r="16" customFormat="false" ht="15" hidden="false" customHeight="false" outlineLevel="0" collapsed="false">
      <c r="A16" s="11" t="s">
        <v>21</v>
      </c>
      <c r="B16" s="13" t="n">
        <f aca="false">MAX(0,-B15)</f>
        <v>0</v>
      </c>
    </row>
    <row r="18" customFormat="false" ht="15" hidden="false" customHeight="false" outlineLevel="0" collapsed="false">
      <c r="A18" s="3" t="s">
        <v>22</v>
      </c>
    </row>
    <row r="19" customFormat="false" ht="15" hidden="false" customHeight="false" outlineLevel="0" collapsed="false">
      <c r="A19" s="4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</row>
    <row r="20" customFormat="false" ht="15" hidden="false" customHeight="false" outlineLevel="0" collapsed="false">
      <c r="A20" s="6" t="s">
        <v>11</v>
      </c>
      <c r="B20" s="7" t="n">
        <f aca="false">CF_借入20億!C5</f>
        <v>1062</v>
      </c>
      <c r="C20" s="7" t="n">
        <f aca="false">CF_借入20億!D5</f>
        <v>1095</v>
      </c>
      <c r="D20" s="7" t="n">
        <f aca="false">CF_借入20億!E5</f>
        <v>1129</v>
      </c>
      <c r="E20" s="7" t="n">
        <f aca="false">CF_借入20億!F5</f>
        <v>1169.77744105188</v>
      </c>
      <c r="F20" s="7" t="n">
        <f aca="false">CF_借入20億!G5</f>
        <v>1212.02768963143</v>
      </c>
      <c r="G20" s="7" t="n">
        <f aca="false">CF_借入20億!H5</f>
        <v>1255.8039408867</v>
      </c>
      <c r="H20" s="8" t="n">
        <f aca="false">SUM(B20:G20)</f>
        <v>6923.60907157002</v>
      </c>
    </row>
    <row r="21" customFormat="false" ht="15" hidden="false" customHeight="false" outlineLevel="0" collapsed="false">
      <c r="A21" s="6" t="s">
        <v>12</v>
      </c>
      <c r="B21" s="7" t="n">
        <f aca="false">CF_借入20億!C7</f>
        <v>556</v>
      </c>
      <c r="C21" s="7" t="n">
        <f aca="false">CF_借入20億!D7</f>
        <v>576</v>
      </c>
      <c r="D21" s="7" t="n">
        <f aca="false">CF_借入20億!E7</f>
        <v>598</v>
      </c>
      <c r="E21" s="7" t="n">
        <f aca="false">CF_借入20億!F7</f>
        <v>623.338001817181</v>
      </c>
      <c r="F21" s="7" t="n">
        <f aca="false">CF_借入20億!G7</f>
        <v>649.749606203069</v>
      </c>
      <c r="G21" s="7" t="n">
        <f aca="false">CF_借入20億!H7</f>
        <v>677.280303030303</v>
      </c>
      <c r="H21" s="8" t="n">
        <f aca="false">SUM(B21:G21)</f>
        <v>3680.36791105055</v>
      </c>
    </row>
    <row r="22" customFormat="false" ht="15" hidden="false" customHeight="false" outlineLevel="0" collapsed="false">
      <c r="A22" s="6" t="s">
        <v>13</v>
      </c>
      <c r="B22" s="7" t="n">
        <f aca="false">CF_借入20億!C15</f>
        <v>577.6</v>
      </c>
      <c r="C22" s="7" t="n">
        <f aca="false">CF_借入20億!D15</f>
        <v>582.6</v>
      </c>
      <c r="D22" s="7" t="n">
        <f aca="false">CF_借入20億!E15</f>
        <v>604.6</v>
      </c>
      <c r="E22" s="7" t="n">
        <f aca="false">CF_借入20億!F15</f>
        <v>249.938001817181</v>
      </c>
      <c r="F22" s="7" t="n">
        <f aca="false">CF_借入20億!G15</f>
        <v>276.349606203069</v>
      </c>
      <c r="G22" s="7" t="n">
        <f aca="false">CF_借入20億!H15</f>
        <v>703.880303030303</v>
      </c>
      <c r="H22" s="8" t="n">
        <f aca="false">SUM(B22:G22)</f>
        <v>2994.96791105055</v>
      </c>
    </row>
    <row r="23" customFormat="false" ht="15" hidden="false" customHeight="false" outlineLevel="0" collapsed="false">
      <c r="A23" s="6" t="s">
        <v>14</v>
      </c>
      <c r="B23" s="7" t="n">
        <f aca="false">CF_借入20億!C21</f>
        <v>326.4256</v>
      </c>
      <c r="C23" s="7" t="n">
        <f aca="false">CF_借入20億!D21</f>
        <v>336.350072439833</v>
      </c>
      <c r="D23" s="7" t="n">
        <f aca="false">CF_借入20億!E21</f>
        <v>357.69232377726</v>
      </c>
      <c r="E23" s="7" t="n">
        <f aca="false">CF_借入20億!F21</f>
        <v>132.220714360254</v>
      </c>
      <c r="F23" s="7" t="n">
        <f aca="false">CF_借入20億!G21</f>
        <v>157.020854683957</v>
      </c>
      <c r="G23" s="7" t="n">
        <f aca="false">CF_借入20億!H21</f>
        <v>445.254084763046</v>
      </c>
      <c r="H23" s="8" t="n">
        <f aca="false">SUM(B23:G23)</f>
        <v>1754.96365002435</v>
      </c>
    </row>
    <row r="24" customFormat="false" ht="15" hidden="false" customHeight="false" outlineLevel="0" collapsed="false">
      <c r="A24" s="6" t="s">
        <v>15</v>
      </c>
      <c r="B24" s="7" t="n">
        <f aca="false">CF_借入20億!C30</f>
        <v>6.60637592099158</v>
      </c>
      <c r="C24" s="7" t="n">
        <f aca="false">CF_借入20億!D30</f>
        <v>43.0020793976645</v>
      </c>
      <c r="D24" s="7" t="n">
        <f aca="false">CF_借入20億!E30</f>
        <v>53.8104110134042</v>
      </c>
      <c r="E24" s="7" t="n">
        <f aca="false">CF_借入20億!F30</f>
        <v>-182.616474914156</v>
      </c>
      <c r="F24" s="7" t="n">
        <f aca="false">CF_借入20億!G30</f>
        <v>-169.209822161429</v>
      </c>
      <c r="G24" s="7" t="n">
        <f aca="false">CF_借入20億!H30</f>
        <v>107.174180843844</v>
      </c>
      <c r="H24" s="8" t="n">
        <f aca="false">SUM(B24:G24)</f>
        <v>-141.233249899681</v>
      </c>
    </row>
    <row r="25" customFormat="false" ht="15" hidden="false" customHeight="false" outlineLevel="0" collapsed="false">
      <c r="A25" s="6" t="s">
        <v>16</v>
      </c>
      <c r="B25" s="7" t="n">
        <f aca="false">CF_借入20億!C31</f>
        <v>144.006375920992</v>
      </c>
      <c r="C25" s="7" t="n">
        <f aca="false">CF_借入20億!D31</f>
        <v>187.008455318656</v>
      </c>
      <c r="D25" s="7" t="n">
        <f aca="false">CF_借入20億!E31</f>
        <v>240.81886633206</v>
      </c>
      <c r="E25" s="7" t="n">
        <f aca="false">CF_借入20億!F31</f>
        <v>58.2023914179043</v>
      </c>
      <c r="F25" s="7" t="n">
        <f aca="false">CF_借入20億!G31</f>
        <v>-111.007430743525</v>
      </c>
      <c r="G25" s="7" t="n">
        <f aca="false">CF_借入20億!H31</f>
        <v>-3.83324989968057</v>
      </c>
    </row>
    <row r="26" customFormat="false" ht="15" hidden="false" customHeight="false" outlineLevel="0" collapsed="false">
      <c r="A26" s="6" t="s">
        <v>17</v>
      </c>
      <c r="B26" s="7" t="n">
        <f aca="false">CF_借入20億!C39</f>
        <v>1746.78077592099</v>
      </c>
      <c r="C26" s="7" t="n">
        <f aca="false">CF_借入20億!D39</f>
        <v>1483.43278287882</v>
      </c>
      <c r="D26" s="7" t="n">
        <f aca="false">CF_借入20億!E39</f>
        <v>1209.55087011497</v>
      </c>
      <c r="E26" s="7" t="n">
        <f aca="false">CF_借入20億!F39</f>
        <v>924.713680840558</v>
      </c>
      <c r="F26" s="7" t="n">
        <f aca="false">CF_借入20億!G39</f>
        <v>628.483003995171</v>
      </c>
      <c r="G26" s="7" t="n">
        <f aca="false">CF_借入20億!H39</f>
        <v>320.40310007597</v>
      </c>
    </row>
    <row r="27" customFormat="false" ht="15" hidden="false" customHeight="false" outlineLevel="0" collapsed="false">
      <c r="A27" s="9" t="s">
        <v>18</v>
      </c>
      <c r="B27" s="10" t="n">
        <f aca="false">CF_借入20億!C40</f>
        <v>1.12966351518407</v>
      </c>
      <c r="C27" s="10" t="n">
        <f aca="false">CF_借入20億!D40</f>
        <v>1.12905041573312</v>
      </c>
      <c r="D27" s="10" t="n">
        <f aca="false">CF_借入20億!E40</f>
        <v>1.16148651435742</v>
      </c>
      <c r="E27" s="10" t="n">
        <f aca="false">CF_借入20億!F40</f>
        <v>0.451962966965986</v>
      </c>
      <c r="F27" s="10" t="n">
        <f aca="false">CF_借入20億!G40</f>
        <v>0.492196698347428</v>
      </c>
      <c r="G27" s="10" t="n">
        <f aca="false">CF_借入20億!H40</f>
        <v>1.32163264631585</v>
      </c>
    </row>
    <row r="28" customFormat="false" ht="15" hidden="false" customHeight="false" outlineLevel="0" collapsed="false">
      <c r="A28" s="11" t="s">
        <v>19</v>
      </c>
      <c r="B28" s="12" t="n">
        <f aca="false">MIN(B27:G27)</f>
        <v>0.451962966965986</v>
      </c>
    </row>
    <row r="29" customFormat="false" ht="15" hidden="false" customHeight="false" outlineLevel="0" collapsed="false">
      <c r="A29" s="11" t="s">
        <v>20</v>
      </c>
      <c r="B29" s="8" t="n">
        <f aca="false">MIN(B25:G25)</f>
        <v>-111.007430743525</v>
      </c>
    </row>
    <row r="30" customFormat="false" ht="15" hidden="false" customHeight="false" outlineLevel="0" collapsed="false">
      <c r="A30" s="11" t="s">
        <v>21</v>
      </c>
      <c r="B30" s="13" t="n">
        <f aca="false">MAX(0,-B29)</f>
        <v>111.007430743525</v>
      </c>
    </row>
    <row r="32" customFormat="false" ht="15" hidden="false" customHeight="false" outlineLevel="0" collapsed="false">
      <c r="A32" s="6" t="s">
        <v>23</v>
      </c>
      <c r="B32" s="14" t="n">
        <f aca="false">前提条件!B14</f>
        <v>0.0361181940229247</v>
      </c>
    </row>
    <row r="33" customFormat="false" ht="15" hidden="false" customHeight="false" outlineLevel="0" collapsed="false">
      <c r="A33" s="6" t="s">
        <v>24</v>
      </c>
      <c r="B33" s="14" t="n">
        <f aca="false">前提条件!B15</f>
        <v>0.0423712404969576</v>
      </c>
    </row>
    <row r="34" customFormat="false" ht="15" hidden="false" customHeight="false" outlineLevel="0" collapsed="false">
      <c r="A34" s="6" t="s">
        <v>25</v>
      </c>
      <c r="B34" s="7" t="n">
        <f aca="false">CF_借入20億!H47</f>
        <v>352.6</v>
      </c>
    </row>
    <row r="36" customFormat="false" ht="42" hidden="false" customHeight="true" outlineLevel="0" collapsed="false">
      <c r="A36" s="15" t="s">
        <v>26</v>
      </c>
      <c r="B36" s="15"/>
      <c r="C36" s="15"/>
      <c r="D36" s="15"/>
      <c r="E36" s="15"/>
      <c r="F36" s="15"/>
      <c r="G36" s="15"/>
      <c r="H36" s="15"/>
    </row>
    <row r="37" customFormat="false" ht="42" hidden="false" customHeight="true" outlineLevel="0" collapsed="false">
      <c r="A37" s="15" t="s">
        <v>27</v>
      </c>
      <c r="B37" s="15"/>
      <c r="C37" s="15"/>
      <c r="D37" s="15"/>
      <c r="E37" s="15"/>
      <c r="F37" s="15"/>
      <c r="G37" s="15"/>
      <c r="H37" s="15"/>
    </row>
    <row r="38" customFormat="false" ht="42" hidden="false" customHeight="true" outlineLevel="0" collapsed="false">
      <c r="A38" s="15" t="s">
        <v>28</v>
      </c>
      <c r="B38" s="15"/>
      <c r="C38" s="15"/>
      <c r="D38" s="15"/>
      <c r="E38" s="15"/>
      <c r="F38" s="15"/>
      <c r="G38" s="15"/>
      <c r="H38" s="15"/>
    </row>
    <row r="39" customFormat="false" ht="42" hidden="false" customHeight="true" outlineLevel="0" collapsed="false">
      <c r="A39" s="15" t="s">
        <v>29</v>
      </c>
      <c r="B39" s="15"/>
      <c r="C39" s="15"/>
      <c r="D39" s="15"/>
      <c r="E39" s="15"/>
      <c r="F39" s="15"/>
      <c r="G39" s="15"/>
      <c r="H39" s="15"/>
    </row>
    <row r="40" customFormat="false" ht="42" hidden="false" customHeight="true" outlineLevel="0" collapsed="false">
      <c r="A40" s="15" t="s">
        <v>30</v>
      </c>
      <c r="B40" s="15"/>
      <c r="C40" s="15"/>
      <c r="D40" s="15"/>
      <c r="E40" s="15"/>
      <c r="F40" s="15"/>
      <c r="G40" s="15"/>
      <c r="H40" s="15"/>
    </row>
  </sheetData>
  <mergeCells count="5">
    <mergeCell ref="A36:H36"/>
    <mergeCell ref="A37:H37"/>
    <mergeCell ref="A38:H38"/>
    <mergeCell ref="A39:H39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8" min="3" style="0" width="10"/>
    <col collapsed="false" customWidth="true" hidden="false" outlineLevel="0" max="9" min="9" style="0" width="66"/>
  </cols>
  <sheetData>
    <row r="1" customFormat="false" ht="19.4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4" t="s">
        <v>33</v>
      </c>
      <c r="B4" s="5" t="s">
        <v>34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4" t="s">
        <v>35</v>
      </c>
    </row>
    <row r="5" customFormat="false" ht="15" hidden="false" customHeight="false" outlineLevel="0" collapsed="false">
      <c r="A5" s="16" t="s">
        <v>36</v>
      </c>
    </row>
    <row r="6" customFormat="false" ht="15" hidden="false" customHeight="false" outlineLevel="0" collapsed="false">
      <c r="A6" s="6" t="s">
        <v>37</v>
      </c>
      <c r="B6" s="17" t="n">
        <v>949</v>
      </c>
      <c r="C6" s="17" t="n">
        <v>996</v>
      </c>
      <c r="D6" s="17" t="n">
        <v>1029</v>
      </c>
      <c r="E6" s="17" t="n">
        <v>1062</v>
      </c>
      <c r="I6" s="18" t="s">
        <v>38</v>
      </c>
    </row>
    <row r="7" customFormat="false" ht="15" hidden="false" customHeight="false" outlineLevel="0" collapsed="false">
      <c r="A7" s="6" t="s">
        <v>39</v>
      </c>
      <c r="B7" s="17" t="n">
        <v>66</v>
      </c>
      <c r="C7" s="17" t="n">
        <v>66</v>
      </c>
      <c r="D7" s="17" t="n">
        <v>66</v>
      </c>
      <c r="E7" s="17" t="n">
        <v>66</v>
      </c>
      <c r="I7" s="18" t="s">
        <v>38</v>
      </c>
    </row>
    <row r="8" customFormat="false" ht="15" hidden="false" customHeight="false" outlineLevel="0" collapsed="false">
      <c r="A8" s="6" t="s">
        <v>40</v>
      </c>
      <c r="B8" s="17" t="n">
        <v>217</v>
      </c>
      <c r="C8" s="17" t="n">
        <v>225</v>
      </c>
      <c r="D8" s="17" t="n">
        <v>232</v>
      </c>
      <c r="E8" s="17" t="n">
        <v>240</v>
      </c>
      <c r="I8" s="18" t="s">
        <v>38</v>
      </c>
    </row>
    <row r="9" customFormat="false" ht="15" hidden="false" customHeight="false" outlineLevel="0" collapsed="false">
      <c r="A9" s="6" t="s">
        <v>41</v>
      </c>
      <c r="B9" s="17" t="n">
        <v>269</v>
      </c>
      <c r="C9" s="17" t="n">
        <v>282</v>
      </c>
      <c r="D9" s="17" t="n">
        <v>287</v>
      </c>
      <c r="E9" s="17" t="n">
        <v>291</v>
      </c>
      <c r="I9" s="18" t="s">
        <v>38</v>
      </c>
    </row>
    <row r="10" customFormat="false" ht="15" hidden="false" customHeight="false" outlineLevel="0" collapsed="false">
      <c r="A10" s="6" t="s">
        <v>42</v>
      </c>
      <c r="B10" s="17" t="n">
        <v>528</v>
      </c>
      <c r="C10" s="17" t="n">
        <v>556</v>
      </c>
      <c r="D10" s="17" t="n">
        <v>576</v>
      </c>
      <c r="E10" s="17" t="n">
        <v>598</v>
      </c>
      <c r="I10" s="18" t="s">
        <v>38</v>
      </c>
    </row>
    <row r="11" customFormat="false" ht="15" hidden="false" customHeight="false" outlineLevel="0" collapsed="false">
      <c r="A11" s="6" t="s">
        <v>43</v>
      </c>
      <c r="B11" s="17" t="n">
        <v>1015</v>
      </c>
      <c r="C11" s="17" t="n">
        <v>1062</v>
      </c>
      <c r="D11" s="17" t="n">
        <v>1095</v>
      </c>
      <c r="E11" s="17" t="n">
        <v>1129</v>
      </c>
      <c r="I11" s="18" t="s">
        <v>44</v>
      </c>
    </row>
    <row r="13" customFormat="false" ht="15" hidden="false" customHeight="false" outlineLevel="0" collapsed="false">
      <c r="A13" s="16" t="s">
        <v>45</v>
      </c>
    </row>
    <row r="14" customFormat="false" ht="15" hidden="false" customHeight="false" outlineLevel="0" collapsed="false">
      <c r="A14" s="6" t="s">
        <v>46</v>
      </c>
      <c r="B14" s="19" t="n">
        <f aca="false">(E11/B11)^(1/3)-1</f>
        <v>0.0361181940229247</v>
      </c>
      <c r="I14" s="2" t="s">
        <v>47</v>
      </c>
    </row>
    <row r="15" customFormat="false" ht="15" hidden="false" customHeight="false" outlineLevel="0" collapsed="false">
      <c r="A15" s="6" t="s">
        <v>48</v>
      </c>
      <c r="B15" s="19" t="n">
        <f aca="false">(E10/B10)^(1/3)-1</f>
        <v>0.0423712404969576</v>
      </c>
      <c r="I15" s="2" t="s">
        <v>47</v>
      </c>
    </row>
    <row r="16" customFormat="false" ht="15" hidden="false" customHeight="false" outlineLevel="0" collapsed="false">
      <c r="A16" s="6" t="s">
        <v>49</v>
      </c>
      <c r="F16" s="20" t="n">
        <f aca="false">$B$14</f>
        <v>0.0361181940229247</v>
      </c>
      <c r="G16" s="20" t="n">
        <f aca="false">$B$14</f>
        <v>0.0361181940229247</v>
      </c>
      <c r="H16" s="20" t="n">
        <f aca="false">$B$14</f>
        <v>0.0361181940229247</v>
      </c>
      <c r="I16" s="2" t="s">
        <v>50</v>
      </c>
    </row>
    <row r="17" customFormat="false" ht="15" hidden="false" customHeight="false" outlineLevel="0" collapsed="false">
      <c r="A17" s="6" t="s">
        <v>51</v>
      </c>
      <c r="F17" s="20" t="n">
        <f aca="false">$B$15</f>
        <v>0.0423712404969576</v>
      </c>
      <c r="G17" s="20" t="n">
        <f aca="false">$B$15</f>
        <v>0.0423712404969576</v>
      </c>
      <c r="H17" s="20" t="n">
        <f aca="false">$B$15</f>
        <v>0.0423712404969576</v>
      </c>
      <c r="I17" s="2" t="s">
        <v>50</v>
      </c>
    </row>
    <row r="19" customFormat="false" ht="15" hidden="false" customHeight="false" outlineLevel="0" collapsed="false">
      <c r="A19" s="11" t="s">
        <v>52</v>
      </c>
    </row>
    <row r="20" customFormat="false" ht="15" hidden="false" customHeight="false" outlineLevel="0" collapsed="false">
      <c r="A20" s="6" t="s">
        <v>53</v>
      </c>
      <c r="B20" s="21" t="n">
        <v>102.6</v>
      </c>
      <c r="I20" s="2" t="s">
        <v>54</v>
      </c>
    </row>
    <row r="21" customFormat="false" ht="15" hidden="false" customHeight="false" outlineLevel="0" collapsed="false">
      <c r="A21" s="6" t="s">
        <v>55</v>
      </c>
      <c r="C21" s="22" t="n">
        <v>20</v>
      </c>
      <c r="D21" s="22" t="n">
        <v>20</v>
      </c>
      <c r="E21" s="22" t="n">
        <v>20</v>
      </c>
      <c r="F21" s="22" t="n">
        <v>0</v>
      </c>
      <c r="G21" s="22" t="n">
        <v>0</v>
      </c>
      <c r="H21" s="22" t="n">
        <v>0</v>
      </c>
      <c r="I21" s="2" t="s">
        <v>56</v>
      </c>
    </row>
    <row r="22" customFormat="false" ht="15" hidden="false" customHeight="false" outlineLevel="0" collapsed="false">
      <c r="A22" s="6" t="s">
        <v>57</v>
      </c>
      <c r="C22" s="17" t="n">
        <v>0</v>
      </c>
      <c r="D22" s="17" t="n">
        <v>15</v>
      </c>
      <c r="E22" s="17" t="n">
        <v>15</v>
      </c>
      <c r="F22" s="17" t="n">
        <v>15</v>
      </c>
      <c r="G22" s="17" t="n">
        <v>15</v>
      </c>
      <c r="H22" s="17" t="n">
        <v>15</v>
      </c>
      <c r="I22" s="2" t="s">
        <v>58</v>
      </c>
    </row>
    <row r="23" customFormat="false" ht="15" hidden="false" customHeight="false" outlineLevel="0" collapsed="false">
      <c r="A23" s="9" t="s">
        <v>59</v>
      </c>
      <c r="C23" s="17" t="n">
        <v>61</v>
      </c>
      <c r="D23" s="17" t="n">
        <v>61</v>
      </c>
      <c r="E23" s="17" t="n">
        <v>61</v>
      </c>
      <c r="F23" s="17" t="n">
        <v>61</v>
      </c>
      <c r="G23" s="17" t="n">
        <v>61</v>
      </c>
      <c r="H23" s="17" t="n">
        <v>61</v>
      </c>
      <c r="I23" s="18" t="s">
        <v>60</v>
      </c>
    </row>
    <row r="24" customFormat="false" ht="15" hidden="false" customHeight="false" outlineLevel="0" collapsed="false">
      <c r="A24" s="6" t="s">
        <v>61</v>
      </c>
      <c r="C24" s="22" t="n">
        <v>0</v>
      </c>
      <c r="D24" s="22" t="n">
        <v>0</v>
      </c>
      <c r="E24" s="22" t="n">
        <v>0</v>
      </c>
      <c r="F24" s="22" t="n">
        <v>400</v>
      </c>
      <c r="G24" s="22" t="n">
        <v>400</v>
      </c>
      <c r="H24" s="22" t="n">
        <v>0</v>
      </c>
      <c r="I24" s="2" t="s">
        <v>62</v>
      </c>
    </row>
    <row r="26" customFormat="false" ht="15" hidden="false" customHeight="false" outlineLevel="0" collapsed="false">
      <c r="A26" s="11" t="s">
        <v>63</v>
      </c>
    </row>
    <row r="27" customFormat="false" ht="15" hidden="false" customHeight="false" outlineLevel="0" collapsed="false">
      <c r="A27" s="6" t="s">
        <v>64</v>
      </c>
      <c r="B27" s="23" t="n">
        <v>0.344</v>
      </c>
      <c r="I27" s="18" t="s">
        <v>65</v>
      </c>
    </row>
    <row r="28" customFormat="false" ht="15" hidden="false" customHeight="false" outlineLevel="0" collapsed="false">
      <c r="A28" s="6" t="s">
        <v>66</v>
      </c>
      <c r="B28" s="17" t="n">
        <v>0</v>
      </c>
      <c r="I28" s="18" t="s">
        <v>67</v>
      </c>
    </row>
    <row r="29" customFormat="false" ht="15" hidden="false" customHeight="false" outlineLevel="0" collapsed="false">
      <c r="A29" s="6" t="s">
        <v>68</v>
      </c>
      <c r="B29" s="17" t="n">
        <v>30</v>
      </c>
      <c r="I29" s="2" t="s">
        <v>69</v>
      </c>
    </row>
    <row r="30" customFormat="false" ht="15" hidden="false" customHeight="false" outlineLevel="0" collapsed="false">
      <c r="A30" s="6" t="s">
        <v>70</v>
      </c>
      <c r="B30" s="17" t="n">
        <v>100</v>
      </c>
      <c r="I30" s="2" t="s">
        <v>71</v>
      </c>
    </row>
    <row r="31" customFormat="false" ht="15" hidden="false" customHeight="false" outlineLevel="0" collapsed="false">
      <c r="A31" s="9" t="s">
        <v>72</v>
      </c>
      <c r="B31" s="17" t="n">
        <v>114</v>
      </c>
      <c r="I31" s="2" t="s">
        <v>73</v>
      </c>
    </row>
    <row r="32" customFormat="false" ht="15" hidden="false" customHeight="false" outlineLevel="0" collapsed="false">
      <c r="A32" s="6" t="s">
        <v>74</v>
      </c>
      <c r="B32" s="22" t="n">
        <v>225</v>
      </c>
      <c r="I32" s="2" t="s">
        <v>75</v>
      </c>
    </row>
    <row r="33" customFormat="false" ht="15" hidden="false" customHeight="false" outlineLevel="0" collapsed="false">
      <c r="A33" s="11" t="s">
        <v>76</v>
      </c>
    </row>
    <row r="34" customFormat="false" ht="15" hidden="false" customHeight="false" outlineLevel="0" collapsed="false">
      <c r="A34" s="6" t="s">
        <v>77</v>
      </c>
      <c r="B34" s="22" t="n">
        <v>1500</v>
      </c>
      <c r="I34" s="2" t="s">
        <v>78</v>
      </c>
    </row>
    <row r="35" customFormat="false" ht="15" hidden="false" customHeight="false" outlineLevel="0" collapsed="false">
      <c r="A35" s="6" t="s">
        <v>79</v>
      </c>
      <c r="B35" s="24" t="n">
        <v>0.04</v>
      </c>
      <c r="I35" s="2" t="s">
        <v>80</v>
      </c>
    </row>
    <row r="36" customFormat="false" ht="15" hidden="false" customHeight="false" outlineLevel="0" collapsed="false">
      <c r="A36" s="6" t="s">
        <v>81</v>
      </c>
      <c r="B36" s="25" t="n">
        <v>7</v>
      </c>
      <c r="I36" s="2" t="s">
        <v>82</v>
      </c>
    </row>
    <row r="37" customFormat="false" ht="15" hidden="false" customHeight="false" outlineLevel="0" collapsed="false">
      <c r="A37" s="6" t="s">
        <v>83</v>
      </c>
      <c r="B37" s="22" t="n">
        <v>2000</v>
      </c>
      <c r="I37" s="2" t="s">
        <v>84</v>
      </c>
    </row>
    <row r="39" customFormat="false" ht="15" hidden="false" customHeight="false" outlineLevel="0" collapsed="false">
      <c r="A39" s="11" t="s">
        <v>85</v>
      </c>
    </row>
    <row r="40" customFormat="false" ht="15" hidden="false" customHeight="false" outlineLevel="0" collapsed="false">
      <c r="A40" s="6" t="s">
        <v>86</v>
      </c>
      <c r="B40" s="26" t="n">
        <v>42.9</v>
      </c>
      <c r="I40" s="2" t="s">
        <v>87</v>
      </c>
    </row>
    <row r="41" customFormat="false" ht="15" hidden="false" customHeight="false" outlineLevel="0" collapsed="false">
      <c r="A41" s="6" t="s">
        <v>88</v>
      </c>
      <c r="B41" s="21" t="n">
        <v>5.5</v>
      </c>
      <c r="I41" s="2" t="s">
        <v>89</v>
      </c>
    </row>
    <row r="42" customFormat="false" ht="15" hidden="false" customHeight="false" outlineLevel="0" collapsed="false">
      <c r="A42" s="6" t="s">
        <v>90</v>
      </c>
      <c r="B42" s="27" t="n">
        <f aca="false">B40-B41</f>
        <v>37.4</v>
      </c>
      <c r="I42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8" min="2" style="0" width="12"/>
  </cols>
  <sheetData>
    <row r="1" customFormat="false" ht="19.4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4" customFormat="false" ht="15" hidden="false" customHeight="false" outlineLevel="0" collapsed="false">
      <c r="A4" s="4" t="s">
        <v>33</v>
      </c>
      <c r="B4" s="5" t="s">
        <v>94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customFormat="false" ht="15" hidden="false" customHeight="false" outlineLevel="0" collapsed="false">
      <c r="A5" s="28" t="s">
        <v>95</v>
      </c>
      <c r="B5" s="29" t="n">
        <f aca="false">前提条件!B11</f>
        <v>1015</v>
      </c>
      <c r="C5" s="29" t="n">
        <f aca="false">前提条件!C11</f>
        <v>1062</v>
      </c>
      <c r="D5" s="29" t="n">
        <f aca="false">前提条件!D11</f>
        <v>1095</v>
      </c>
      <c r="E5" s="29" t="n">
        <f aca="false">前提条件!E11</f>
        <v>1129</v>
      </c>
      <c r="F5" s="30" t="n">
        <f aca="false">E5*(1+前提条件!F16)</f>
        <v>1169.77744105188</v>
      </c>
      <c r="G5" s="30" t="n">
        <f aca="false">F5*(1+前提条件!G16)</f>
        <v>1212.02768963143</v>
      </c>
      <c r="H5" s="30" t="n">
        <f aca="false">G5*(1+前提条件!H16)</f>
        <v>1255.8039408867</v>
      </c>
    </row>
    <row r="6" customFormat="false" ht="15" hidden="false" customHeight="false" outlineLevel="0" collapsed="false">
      <c r="A6" s="6" t="s">
        <v>96</v>
      </c>
      <c r="C6" s="31" t="n">
        <f aca="false">C5/B5-1</f>
        <v>0.0463054187192118</v>
      </c>
      <c r="D6" s="31" t="n">
        <f aca="false">D5/C5-1</f>
        <v>0.0310734463276836</v>
      </c>
      <c r="E6" s="31" t="n">
        <f aca="false">E5/D5-1</f>
        <v>0.0310502283105023</v>
      </c>
      <c r="F6" s="31" t="n">
        <f aca="false">F5/E5-1</f>
        <v>0.0361181940229247</v>
      </c>
      <c r="G6" s="31" t="n">
        <f aca="false">G5/F5-1</f>
        <v>0.0361181940229247</v>
      </c>
      <c r="H6" s="31" t="n">
        <f aca="false">H5/G5-1</f>
        <v>0.0361181940229247</v>
      </c>
    </row>
    <row r="7" customFormat="false" ht="15" hidden="false" customHeight="false" outlineLevel="0" collapsed="false">
      <c r="A7" s="11" t="s">
        <v>97</v>
      </c>
      <c r="B7" s="32" t="n">
        <f aca="false">前提条件!B10</f>
        <v>528</v>
      </c>
      <c r="C7" s="32" t="n">
        <f aca="false">前提条件!C10</f>
        <v>556</v>
      </c>
      <c r="D7" s="32" t="n">
        <f aca="false">前提条件!D10</f>
        <v>576</v>
      </c>
      <c r="E7" s="32" t="n">
        <f aca="false">前提条件!E10</f>
        <v>598</v>
      </c>
      <c r="F7" s="33" t="n">
        <f aca="false">E7*(1+前提条件!F17)</f>
        <v>623.338001817181</v>
      </c>
      <c r="G7" s="33" t="n">
        <f aca="false">F7*(1+前提条件!G17)</f>
        <v>649.749606203069</v>
      </c>
      <c r="H7" s="33" t="n">
        <f aca="false">G7*(1+前提条件!H17)</f>
        <v>677.280303030303</v>
      </c>
    </row>
    <row r="8" customFormat="false" ht="15" hidden="false" customHeight="false" outlineLevel="0" collapsed="false">
      <c r="A8" s="6" t="s">
        <v>98</v>
      </c>
      <c r="B8" s="31" t="n">
        <f aca="false">B7/B5</f>
        <v>0.520197044334975</v>
      </c>
      <c r="C8" s="31" t="n">
        <f aca="false">IF(C5=0,0,C7/C5)</f>
        <v>0.523540489642185</v>
      </c>
      <c r="D8" s="31" t="n">
        <f aca="false">IF(D5=0,0,D7/D5)</f>
        <v>0.526027397260274</v>
      </c>
      <c r="E8" s="31" t="n">
        <f aca="false">IF(E5=0,0,E7/E5)</f>
        <v>0.529672276350753</v>
      </c>
      <c r="F8" s="31" t="n">
        <f aca="false">IF(F5=0,0,F7/F5)</f>
        <v>0.532868885945232</v>
      </c>
      <c r="G8" s="31" t="n">
        <f aca="false">IF(G5=0,0,G7/G5)</f>
        <v>0.536084787304366</v>
      </c>
      <c r="H8" s="31" t="n">
        <f aca="false">IF(H5=0,0,H7/H5)</f>
        <v>0.539320096855317</v>
      </c>
    </row>
    <row r="9" customFormat="false" ht="15" hidden="false" customHeight="false" outlineLevel="0" collapsed="false">
      <c r="A9" s="11" t="s">
        <v>99</v>
      </c>
    </row>
    <row r="10" customFormat="false" ht="15" hidden="false" customHeight="false" outlineLevel="0" collapsed="false">
      <c r="A10" s="6" t="s">
        <v>100</v>
      </c>
      <c r="C10" s="34" t="n">
        <f aca="false">前提条件!$B$20</f>
        <v>102.6</v>
      </c>
      <c r="D10" s="34" t="n">
        <f aca="false">前提条件!$B$20</f>
        <v>102.6</v>
      </c>
      <c r="E10" s="34" t="n">
        <f aca="false">前提条件!$B$20</f>
        <v>102.6</v>
      </c>
      <c r="F10" s="34" t="n">
        <f aca="false">前提条件!$B$20</f>
        <v>102.6</v>
      </c>
      <c r="G10" s="34" t="n">
        <f aca="false">前提条件!$B$20</f>
        <v>102.6</v>
      </c>
      <c r="H10" s="34" t="n">
        <f aca="false">前提条件!$B$20</f>
        <v>102.6</v>
      </c>
    </row>
    <row r="11" customFormat="false" ht="15" hidden="false" customHeight="false" outlineLevel="0" collapsed="false">
      <c r="A11" s="6" t="s">
        <v>101</v>
      </c>
      <c r="C11" s="35" t="n">
        <f aca="false">-前提条件!C21</f>
        <v>-20</v>
      </c>
      <c r="D11" s="35" t="n">
        <f aca="false">-前提条件!D21</f>
        <v>-20</v>
      </c>
      <c r="E11" s="35" t="n">
        <f aca="false">-前提条件!E21</f>
        <v>-20</v>
      </c>
      <c r="F11" s="35" t="n">
        <f aca="false">-前提条件!F21</f>
        <v>-0</v>
      </c>
      <c r="G11" s="35" t="n">
        <f aca="false">-前提条件!G21</f>
        <v>-0</v>
      </c>
      <c r="H11" s="35" t="n">
        <f aca="false">-前提条件!H21</f>
        <v>-0</v>
      </c>
    </row>
    <row r="12" customFormat="false" ht="15" hidden="false" customHeight="false" outlineLevel="0" collapsed="false">
      <c r="A12" s="6" t="s">
        <v>102</v>
      </c>
      <c r="C12" s="35" t="n">
        <f aca="false">-前提条件!C22</f>
        <v>-0</v>
      </c>
      <c r="D12" s="35" t="n">
        <f aca="false">-前提条件!D22</f>
        <v>-15</v>
      </c>
      <c r="E12" s="35" t="n">
        <f aca="false">-前提条件!E22</f>
        <v>-15</v>
      </c>
      <c r="F12" s="35" t="n">
        <f aca="false">-前提条件!F22</f>
        <v>-15</v>
      </c>
      <c r="G12" s="35" t="n">
        <f aca="false">-前提条件!G22</f>
        <v>-15</v>
      </c>
      <c r="H12" s="35" t="n">
        <f aca="false">-前提条件!H22</f>
        <v>-15</v>
      </c>
    </row>
    <row r="13" customFormat="false" ht="15" hidden="false" customHeight="false" outlineLevel="0" collapsed="false">
      <c r="A13" s="9" t="s">
        <v>103</v>
      </c>
      <c r="C13" s="35" t="n">
        <f aca="false">-前提条件!C23</f>
        <v>-61</v>
      </c>
      <c r="D13" s="35" t="n">
        <f aca="false">-前提条件!D23</f>
        <v>-61</v>
      </c>
      <c r="E13" s="35" t="n">
        <f aca="false">-前提条件!E23</f>
        <v>-61</v>
      </c>
      <c r="F13" s="35" t="n">
        <f aca="false">-前提条件!F23</f>
        <v>-61</v>
      </c>
      <c r="G13" s="35" t="n">
        <f aca="false">-前提条件!G23</f>
        <v>-61</v>
      </c>
      <c r="H13" s="35" t="n">
        <f aca="false">-前提条件!H23</f>
        <v>-61</v>
      </c>
    </row>
    <row r="14" customFormat="false" ht="15" hidden="false" customHeight="false" outlineLevel="0" collapsed="false">
      <c r="A14" s="6" t="s">
        <v>104</v>
      </c>
      <c r="C14" s="35" t="n">
        <f aca="false">-前提条件!C24</f>
        <v>-0</v>
      </c>
      <c r="D14" s="35" t="n">
        <f aca="false">-前提条件!D24</f>
        <v>-0</v>
      </c>
      <c r="E14" s="35" t="n">
        <f aca="false">-前提条件!E24</f>
        <v>-0</v>
      </c>
      <c r="F14" s="35" t="n">
        <f aca="false">-前提条件!F24</f>
        <v>-400</v>
      </c>
      <c r="G14" s="35" t="n">
        <f aca="false">-前提条件!G24</f>
        <v>-400</v>
      </c>
      <c r="H14" s="35" t="n">
        <f aca="false">-前提条件!H24</f>
        <v>-0</v>
      </c>
    </row>
    <row r="15" customFormat="false" ht="15" hidden="false" customHeight="false" outlineLevel="0" collapsed="false">
      <c r="A15" s="28" t="s">
        <v>105</v>
      </c>
      <c r="C15" s="36" t="n">
        <f aca="false">SUM(C7,C10:C14)</f>
        <v>577.6</v>
      </c>
      <c r="D15" s="36" t="n">
        <f aca="false">SUM(D7,D10:D14)</f>
        <v>582.6</v>
      </c>
      <c r="E15" s="36" t="n">
        <f aca="false">SUM(E7,E10:E14)</f>
        <v>604.6</v>
      </c>
      <c r="F15" s="36" t="n">
        <f aca="false">SUM(F7,F10:F14)</f>
        <v>249.938001817181</v>
      </c>
      <c r="G15" s="36" t="n">
        <f aca="false">SUM(G7,G10:G14)</f>
        <v>276.349606203069</v>
      </c>
      <c r="H15" s="36" t="n">
        <f aca="false">SUM(H7,H10:H14)</f>
        <v>703.880303030303</v>
      </c>
    </row>
    <row r="16" customFormat="false" ht="15" hidden="false" customHeight="false" outlineLevel="0" collapsed="false">
      <c r="A16" s="6" t="s">
        <v>106</v>
      </c>
      <c r="C16" s="7" t="n">
        <f aca="false">前提条件!$B$28</f>
        <v>0</v>
      </c>
      <c r="D16" s="7" t="n">
        <f aca="false">前提条件!$B$28</f>
        <v>0</v>
      </c>
      <c r="E16" s="7" t="n">
        <f aca="false">前提条件!$B$28</f>
        <v>0</v>
      </c>
      <c r="F16" s="7" t="n">
        <f aca="false">前提条件!$B$28</f>
        <v>0</v>
      </c>
      <c r="G16" s="7" t="n">
        <f aca="false">前提条件!$B$28</f>
        <v>0</v>
      </c>
      <c r="H16" s="7" t="n">
        <f aca="false">前提条件!$B$28</f>
        <v>0</v>
      </c>
    </row>
    <row r="17" customFormat="false" ht="15" hidden="false" customHeight="false" outlineLevel="0" collapsed="false">
      <c r="A17" s="11" t="s">
        <v>107</v>
      </c>
      <c r="C17" s="37" t="n">
        <f aca="false">C15-C16</f>
        <v>577.6</v>
      </c>
      <c r="D17" s="37" t="n">
        <f aca="false">D15-D16</f>
        <v>582.6</v>
      </c>
      <c r="E17" s="37" t="n">
        <f aca="false">E15-E16</f>
        <v>604.6</v>
      </c>
      <c r="F17" s="37" t="n">
        <f aca="false">F15-F16</f>
        <v>249.938001817181</v>
      </c>
      <c r="G17" s="37" t="n">
        <f aca="false">G15-G16</f>
        <v>276.349606203069</v>
      </c>
      <c r="H17" s="37" t="n">
        <f aca="false">H15-H16</f>
        <v>703.880303030303</v>
      </c>
    </row>
    <row r="18" customFormat="false" ht="15" hidden="false" customHeight="false" outlineLevel="0" collapsed="false">
      <c r="A18" s="6" t="s">
        <v>108</v>
      </c>
      <c r="C18" s="38" t="n">
        <f aca="false">C35*前提条件!$B$35</f>
        <v>60</v>
      </c>
      <c r="D18" s="38" t="n">
        <f aca="false">D35*前提条件!$B$35</f>
        <v>52.4034232776298</v>
      </c>
      <c r="E18" s="38" t="n">
        <f aca="false">E35*前提条件!$B$35</f>
        <v>44.5029834863647</v>
      </c>
      <c r="F18" s="38" t="n">
        <f aca="false">F35*前提条件!$B$35</f>
        <v>36.286526103449</v>
      </c>
      <c r="G18" s="38" t="n">
        <f aca="false">G35*前提条件!$B$35</f>
        <v>27.7414104252167</v>
      </c>
      <c r="H18" s="38" t="n">
        <f aca="false">H35*前提条件!$B$35</f>
        <v>18.8544901198551</v>
      </c>
    </row>
    <row r="19" customFormat="false" ht="15" hidden="false" customHeight="false" outlineLevel="0" collapsed="false">
      <c r="A19" s="6" t="s">
        <v>109</v>
      </c>
      <c r="C19" s="38" t="n">
        <f aca="false">C17-C18</f>
        <v>517.6</v>
      </c>
      <c r="D19" s="38" t="n">
        <f aca="false">D17-D18</f>
        <v>530.19657672237</v>
      </c>
      <c r="E19" s="38" t="n">
        <f aca="false">E17-E18</f>
        <v>560.097016513635</v>
      </c>
      <c r="F19" s="38" t="n">
        <f aca="false">F17-F18</f>
        <v>213.651475713732</v>
      </c>
      <c r="G19" s="38" t="n">
        <f aca="false">G17-G18</f>
        <v>248.608195777853</v>
      </c>
      <c r="H19" s="38" t="n">
        <f aca="false">H17-H18</f>
        <v>685.025812910448</v>
      </c>
    </row>
    <row r="20" customFormat="false" ht="15" hidden="false" customHeight="false" outlineLevel="0" collapsed="false">
      <c r="A20" s="6" t="s">
        <v>110</v>
      </c>
      <c r="C20" s="38" t="n">
        <f aca="false">MAX(0,C19)*前提条件!$B$27</f>
        <v>178.0544</v>
      </c>
      <c r="D20" s="38" t="n">
        <f aca="false">MAX(0,D19)*前提条件!$B$27</f>
        <v>182.387622392495</v>
      </c>
      <c r="E20" s="38" t="n">
        <f aca="false">MAX(0,E19)*前提条件!$B$27</f>
        <v>192.673373680691</v>
      </c>
      <c r="F20" s="38" t="n">
        <f aca="false">MAX(0,F19)*前提条件!$B$27</f>
        <v>73.4961076455237</v>
      </c>
      <c r="G20" s="38" t="n">
        <f aca="false">MAX(0,G19)*前提条件!$B$27</f>
        <v>85.5212193475813</v>
      </c>
      <c r="H20" s="38" t="n">
        <f aca="false">MAX(0,H19)*前提条件!$B$27</f>
        <v>235.648879641194</v>
      </c>
    </row>
    <row r="21" customFormat="false" ht="15" hidden="false" customHeight="false" outlineLevel="0" collapsed="false">
      <c r="A21" s="28" t="s">
        <v>14</v>
      </c>
      <c r="C21" s="36" t="n">
        <f aca="false">C19-C20</f>
        <v>339.5456</v>
      </c>
      <c r="D21" s="36" t="n">
        <f aca="false">D19-D20</f>
        <v>347.808954329875</v>
      </c>
      <c r="E21" s="36" t="n">
        <f aca="false">E19-E20</f>
        <v>367.423642832945</v>
      </c>
      <c r="F21" s="36" t="n">
        <f aca="false">F19-F20</f>
        <v>140.155368068208</v>
      </c>
      <c r="G21" s="36" t="n">
        <f aca="false">G19-G20</f>
        <v>163.086976430271</v>
      </c>
      <c r="H21" s="36" t="n">
        <f aca="false">H19-H20</f>
        <v>449.376933269254</v>
      </c>
    </row>
    <row r="23" customFormat="false" ht="15" hidden="false" customHeight="false" outlineLevel="0" collapsed="false">
      <c r="A23" s="11" t="s">
        <v>111</v>
      </c>
    </row>
    <row r="24" customFormat="false" ht="15" hidden="false" customHeight="false" outlineLevel="0" collapsed="false">
      <c r="A24" s="6" t="s">
        <v>14</v>
      </c>
      <c r="C24" s="38" t="n">
        <f aca="false">C21</f>
        <v>339.5456</v>
      </c>
      <c r="D24" s="38" t="n">
        <f aca="false">D21</f>
        <v>347.808954329875</v>
      </c>
      <c r="E24" s="38" t="n">
        <f aca="false">E21</f>
        <v>367.423642832945</v>
      </c>
      <c r="F24" s="38" t="n">
        <f aca="false">F21</f>
        <v>140.155368068208</v>
      </c>
      <c r="G24" s="38" t="n">
        <f aca="false">G21</f>
        <v>163.086976430271</v>
      </c>
      <c r="H24" s="38" t="n">
        <f aca="false">H21</f>
        <v>449.376933269254</v>
      </c>
    </row>
    <row r="25" customFormat="false" ht="15" hidden="false" customHeight="false" outlineLevel="0" collapsed="false">
      <c r="A25" s="6" t="s">
        <v>106</v>
      </c>
      <c r="C25" s="35" t="n">
        <f aca="false">C16</f>
        <v>0</v>
      </c>
      <c r="D25" s="35" t="n">
        <f aca="false">D16</f>
        <v>0</v>
      </c>
      <c r="E25" s="35" t="n">
        <f aca="false">E16</f>
        <v>0</v>
      </c>
      <c r="F25" s="35" t="n">
        <f aca="false">F16</f>
        <v>0</v>
      </c>
      <c r="G25" s="35" t="n">
        <f aca="false">G16</f>
        <v>0</v>
      </c>
      <c r="H25" s="35" t="n">
        <f aca="false">H16</f>
        <v>0</v>
      </c>
    </row>
    <row r="26" customFormat="false" ht="15" hidden="false" customHeight="false" outlineLevel="0" collapsed="false">
      <c r="A26" s="6" t="s">
        <v>112</v>
      </c>
      <c r="C26" s="35" t="n">
        <f aca="false">-前提条件!$B$29</f>
        <v>-30</v>
      </c>
      <c r="D26" s="35" t="n">
        <f aca="false">-前提条件!$B$29</f>
        <v>-30</v>
      </c>
      <c r="E26" s="35" t="n">
        <f aca="false">-前提条件!$B$29</f>
        <v>-30</v>
      </c>
      <c r="F26" s="35" t="n">
        <f aca="false">-前提条件!$B$29</f>
        <v>-30</v>
      </c>
      <c r="G26" s="35" t="n">
        <f aca="false">-前提条件!$B$29</f>
        <v>-30</v>
      </c>
      <c r="H26" s="35" t="n">
        <f aca="false">-前提条件!$B$29</f>
        <v>-30</v>
      </c>
    </row>
    <row r="27" customFormat="false" ht="15" hidden="false" customHeight="false" outlineLevel="0" collapsed="false">
      <c r="A27" s="9" t="s">
        <v>113</v>
      </c>
      <c r="C27" s="38" t="n">
        <f aca="false">-(前提条件!B31-前提条件!B32*前提条件!B27)</f>
        <v>-36.6</v>
      </c>
      <c r="D27" s="38" t="n">
        <v>0</v>
      </c>
      <c r="E27" s="38" t="n">
        <v>0</v>
      </c>
      <c r="F27" s="38" t="n">
        <v>0</v>
      </c>
      <c r="G27" s="38" t="n">
        <v>0</v>
      </c>
      <c r="H27" s="38" t="n">
        <v>0</v>
      </c>
    </row>
    <row r="28" customFormat="false" ht="15" hidden="false" customHeight="false" outlineLevel="0" collapsed="false">
      <c r="A28" s="11" t="s">
        <v>114</v>
      </c>
      <c r="C28" s="37" t="n">
        <f aca="false">SUM(C24:C27)</f>
        <v>272.9456</v>
      </c>
      <c r="D28" s="37" t="n">
        <f aca="false">SUM(D24:D27)</f>
        <v>317.808954329875</v>
      </c>
      <c r="E28" s="37" t="n">
        <f aca="false">SUM(E24:E27)</f>
        <v>337.423642832945</v>
      </c>
      <c r="F28" s="37" t="n">
        <f aca="false">SUM(F24:F27)</f>
        <v>110.155368068208</v>
      </c>
      <c r="G28" s="37" t="n">
        <f aca="false">SUM(G24:G27)</f>
        <v>133.086976430271</v>
      </c>
      <c r="H28" s="37" t="n">
        <f aca="false">SUM(H24:H27)</f>
        <v>419.376933269254</v>
      </c>
    </row>
    <row r="29" customFormat="false" ht="15" hidden="false" customHeight="false" outlineLevel="0" collapsed="false">
      <c r="A29" s="6" t="s">
        <v>115</v>
      </c>
      <c r="C29" s="38" t="n">
        <f aca="false">-C38</f>
        <v>-189.914418059256</v>
      </c>
      <c r="D29" s="38" t="n">
        <f aca="false">-D38</f>
        <v>-197.510994781627</v>
      </c>
      <c r="E29" s="38" t="n">
        <f aca="false">-E38</f>
        <v>-205.411434572892</v>
      </c>
      <c r="F29" s="38" t="n">
        <f aca="false">-F38</f>
        <v>-213.627891955807</v>
      </c>
      <c r="G29" s="38" t="n">
        <f aca="false">-G38</f>
        <v>-222.17300763404</v>
      </c>
      <c r="H29" s="38" t="n">
        <f aca="false">-H38</f>
        <v>-231.059927939401</v>
      </c>
    </row>
    <row r="30" customFormat="false" ht="15" hidden="false" customHeight="false" outlineLevel="0" collapsed="false">
      <c r="A30" s="28" t="s">
        <v>116</v>
      </c>
      <c r="C30" s="36" t="n">
        <f aca="false">C28+C29</f>
        <v>83.0311819407436</v>
      </c>
      <c r="D30" s="36" t="n">
        <f aca="false">D28+D29</f>
        <v>120.297959548248</v>
      </c>
      <c r="E30" s="36" t="n">
        <f aca="false">E28+E29</f>
        <v>132.012208260053</v>
      </c>
      <c r="F30" s="36" t="n">
        <f aca="false">F28+F29</f>
        <v>-103.472523887599</v>
      </c>
      <c r="G30" s="36" t="n">
        <f aca="false">G28+G29</f>
        <v>-89.0860312037683</v>
      </c>
      <c r="H30" s="36" t="n">
        <f aca="false">H28+H29</f>
        <v>188.317005329853</v>
      </c>
    </row>
    <row r="31" customFormat="false" ht="15" hidden="false" customHeight="false" outlineLevel="0" collapsed="false">
      <c r="A31" s="11" t="s">
        <v>117</v>
      </c>
      <c r="C31" s="37" t="n">
        <f aca="false">前提条件!B30+前提条件!B42+C30</f>
        <v>220.431181940744</v>
      </c>
      <c r="D31" s="37" t="n">
        <f aca="false">C31+D30</f>
        <v>340.729141488992</v>
      </c>
      <c r="E31" s="37" t="n">
        <f aca="false">D31+E30</f>
        <v>472.741349749045</v>
      </c>
      <c r="F31" s="37" t="n">
        <f aca="false">E31+F30</f>
        <v>369.268825861446</v>
      </c>
      <c r="G31" s="37" t="n">
        <f aca="false">F31+G30</f>
        <v>280.182794657677</v>
      </c>
      <c r="H31" s="37" t="n">
        <f aca="false">G31+H30</f>
        <v>468.49979998753</v>
      </c>
    </row>
    <row r="34" customFormat="false" ht="15" hidden="false" customHeight="false" outlineLevel="0" collapsed="false">
      <c r="A34" s="11" t="s">
        <v>118</v>
      </c>
    </row>
    <row r="35" customFormat="false" ht="15" hidden="false" customHeight="false" outlineLevel="0" collapsed="false">
      <c r="A35" s="6" t="s">
        <v>119</v>
      </c>
      <c r="C35" s="34" t="n">
        <f aca="false">前提条件!B34</f>
        <v>1500</v>
      </c>
      <c r="D35" s="38" t="n">
        <f aca="false">C39</f>
        <v>1310.08558194074</v>
      </c>
      <c r="E35" s="38" t="n">
        <f aca="false">D39</f>
        <v>1112.57458715912</v>
      </c>
      <c r="F35" s="38" t="n">
        <f aca="false">E39</f>
        <v>907.163152586225</v>
      </c>
      <c r="G35" s="38" t="n">
        <f aca="false">F39</f>
        <v>693.535260630418</v>
      </c>
      <c r="H35" s="38" t="n">
        <f aca="false">G39</f>
        <v>471.362252996378</v>
      </c>
    </row>
    <row r="36" customFormat="false" ht="15" hidden="false" customHeight="false" outlineLevel="0" collapsed="false">
      <c r="A36" s="6" t="s">
        <v>120</v>
      </c>
      <c r="C36" s="38" t="n">
        <f aca="false">IF(C35&lt;=0.001,0,-PMT(前提条件!$B$35,前提条件!$B$36,前提条件!$B$34))</f>
        <v>249.914418059256</v>
      </c>
      <c r="D36" s="38" t="n">
        <f aca="false">IF(D35&lt;=0.001,0,-PMT(前提条件!$B$35,前提条件!$B$36,前提条件!$B$34))</f>
        <v>249.914418059256</v>
      </c>
      <c r="E36" s="38" t="n">
        <f aca="false">IF(E35&lt;=0.001,0,-PMT(前提条件!$B$35,前提条件!$B$36,前提条件!$B$34))</f>
        <v>249.914418059256</v>
      </c>
      <c r="F36" s="38" t="n">
        <f aca="false">IF(F35&lt;=0.001,0,-PMT(前提条件!$B$35,前提条件!$B$36,前提条件!$B$34))</f>
        <v>249.914418059256</v>
      </c>
      <c r="G36" s="38" t="n">
        <f aca="false">IF(G35&lt;=0.001,0,-PMT(前提条件!$B$35,前提条件!$B$36,前提条件!$B$34))</f>
        <v>249.914418059256</v>
      </c>
      <c r="H36" s="38" t="n">
        <f aca="false">IF(H35&lt;=0.001,0,-PMT(前提条件!$B$35,前提条件!$B$36,前提条件!$B$34))</f>
        <v>249.914418059256</v>
      </c>
    </row>
    <row r="37" customFormat="false" ht="15" hidden="false" customHeight="false" outlineLevel="0" collapsed="false">
      <c r="A37" s="6" t="s">
        <v>121</v>
      </c>
      <c r="C37" s="38" t="n">
        <f aca="false">C18</f>
        <v>60</v>
      </c>
      <c r="D37" s="38" t="n">
        <f aca="false">D18</f>
        <v>52.4034232776298</v>
      </c>
      <c r="E37" s="38" t="n">
        <f aca="false">E18</f>
        <v>44.5029834863647</v>
      </c>
      <c r="F37" s="38" t="n">
        <f aca="false">F18</f>
        <v>36.286526103449</v>
      </c>
      <c r="G37" s="38" t="n">
        <f aca="false">G18</f>
        <v>27.7414104252167</v>
      </c>
      <c r="H37" s="38" t="n">
        <f aca="false">H18</f>
        <v>18.8544901198551</v>
      </c>
    </row>
    <row r="38" customFormat="false" ht="15" hidden="false" customHeight="false" outlineLevel="0" collapsed="false">
      <c r="A38" s="6" t="s">
        <v>122</v>
      </c>
      <c r="C38" s="38" t="n">
        <f aca="false">MIN(C35,C36-C37)</f>
        <v>189.914418059256</v>
      </c>
      <c r="D38" s="38" t="n">
        <f aca="false">MIN(D35,D36-D37)</f>
        <v>197.510994781627</v>
      </c>
      <c r="E38" s="38" t="n">
        <f aca="false">MIN(E35,E36-E37)</f>
        <v>205.411434572892</v>
      </c>
      <c r="F38" s="38" t="n">
        <f aca="false">MIN(F35,F36-F37)</f>
        <v>213.627891955807</v>
      </c>
      <c r="G38" s="38" t="n">
        <f aca="false">MIN(G35,G36-G37)</f>
        <v>222.17300763404</v>
      </c>
      <c r="H38" s="38" t="n">
        <f aca="false">MIN(H35,H36-H37)</f>
        <v>231.059927939401</v>
      </c>
    </row>
    <row r="39" customFormat="false" ht="15" hidden="false" customHeight="false" outlineLevel="0" collapsed="false">
      <c r="A39" s="11" t="s">
        <v>123</v>
      </c>
      <c r="C39" s="37" t="n">
        <f aca="false">C35-C38</f>
        <v>1310.08558194074</v>
      </c>
      <c r="D39" s="37" t="n">
        <f aca="false">D35-D38</f>
        <v>1112.57458715912</v>
      </c>
      <c r="E39" s="37" t="n">
        <f aca="false">E35-E38</f>
        <v>907.163152586225</v>
      </c>
      <c r="F39" s="37" t="n">
        <f aca="false">F35-F38</f>
        <v>693.535260630418</v>
      </c>
      <c r="G39" s="37" t="n">
        <f aca="false">G35-G38</f>
        <v>471.362252996378</v>
      </c>
      <c r="H39" s="37" t="n">
        <f aca="false">H35-H38</f>
        <v>240.302325056977</v>
      </c>
    </row>
    <row r="40" customFormat="false" ht="15" hidden="false" customHeight="false" outlineLevel="0" collapsed="false">
      <c r="A40" s="39" t="s">
        <v>124</v>
      </c>
      <c r="C40" s="40" t="n">
        <f aca="false">IF(C36=0,0,(C15-C20-前提条件!$B$29)/C36)</f>
        <v>1.47868859615926</v>
      </c>
      <c r="D40" s="40" t="n">
        <f aca="false">IF(D36=0,0,(D15-D20-前提条件!$B$29)/D36)</f>
        <v>1.48135661992789</v>
      </c>
      <c r="E40" s="40" t="n">
        <f aca="false">IF(E36=0,0,(E15-E20-前提条件!$B$29)/E36)</f>
        <v>1.5282296607183</v>
      </c>
      <c r="F40" s="40" t="n">
        <f aca="false">IF(F36=0,0,(F15-F20-前提条件!$B$29)/F36)</f>
        <v>0.58596816985939</v>
      </c>
      <c r="G40" s="40" t="n">
        <f aca="false">IF(G36=0,0,(G15-G20-前提条件!$B$29)/G36)</f>
        <v>0.643533846924168</v>
      </c>
      <c r="H40" s="40" t="n">
        <f aca="false">IF(H36=0,0,(H15-H20-前提条件!$B$29)/H36)</f>
        <v>1.7535259741805</v>
      </c>
    </row>
    <row r="41" customFormat="false" ht="15" hidden="false" customHeight="false" outlineLevel="0" collapsed="false">
      <c r="A41" s="18" t="s">
        <v>125</v>
      </c>
    </row>
    <row r="43" customFormat="false" ht="15" hidden="false" customHeight="false" outlineLevel="0" collapsed="false">
      <c r="A43" s="11" t="s">
        <v>126</v>
      </c>
    </row>
    <row r="44" customFormat="false" ht="15" hidden="false" customHeight="false" outlineLevel="0" collapsed="false">
      <c r="A44" s="6" t="s">
        <v>127</v>
      </c>
      <c r="C44" s="38" t="n">
        <f aca="false">前提条件!B32*前提条件!B27</f>
        <v>77.4</v>
      </c>
      <c r="D44" s="38" t="n">
        <v>0</v>
      </c>
      <c r="E44" s="38" t="n">
        <v>0</v>
      </c>
      <c r="F44" s="38" t="n">
        <v>0</v>
      </c>
      <c r="G44" s="38" t="n">
        <v>0</v>
      </c>
      <c r="H44" s="38" t="n">
        <v>0</v>
      </c>
    </row>
    <row r="45" customFormat="false" ht="15" hidden="false" customHeight="false" outlineLevel="0" collapsed="false">
      <c r="A45" s="6" t="s">
        <v>128</v>
      </c>
      <c r="C45" s="38" t="n">
        <f aca="false">-C14*前提条件!$B$27</f>
        <v>0</v>
      </c>
      <c r="D45" s="38" t="n">
        <f aca="false">-D14*前提条件!$B$27</f>
        <v>0</v>
      </c>
      <c r="E45" s="38" t="n">
        <f aca="false">-E14*前提条件!$B$27</f>
        <v>0</v>
      </c>
      <c r="F45" s="38" t="n">
        <f aca="false">-F14*前提条件!$B$27</f>
        <v>137.6</v>
      </c>
      <c r="G45" s="38" t="n">
        <f aca="false">-G14*前提条件!$B$27</f>
        <v>137.6</v>
      </c>
      <c r="H45" s="38" t="n">
        <f aca="false">-H14*前提条件!$B$27</f>
        <v>0</v>
      </c>
    </row>
    <row r="46" customFormat="false" ht="15" hidden="false" customHeight="false" outlineLevel="0" collapsed="false">
      <c r="A46" s="11" t="s">
        <v>129</v>
      </c>
      <c r="C46" s="37" t="n">
        <f aca="false">C44+C45</f>
        <v>77.4</v>
      </c>
      <c r="D46" s="37" t="n">
        <f aca="false">D44+D45</f>
        <v>0</v>
      </c>
      <c r="E46" s="37" t="n">
        <f aca="false">E44+E45</f>
        <v>0</v>
      </c>
      <c r="F46" s="37" t="n">
        <f aca="false">F44+F45</f>
        <v>137.6</v>
      </c>
      <c r="G46" s="37" t="n">
        <f aca="false">G44+G45</f>
        <v>137.6</v>
      </c>
      <c r="H46" s="37" t="n">
        <f aca="false">H44+H45</f>
        <v>0</v>
      </c>
    </row>
    <row r="47" customFormat="false" ht="15" hidden="false" customHeight="false" outlineLevel="0" collapsed="false">
      <c r="A47" s="28" t="s">
        <v>130</v>
      </c>
      <c r="C47" s="36" t="n">
        <f aca="false">C46</f>
        <v>77.4</v>
      </c>
      <c r="D47" s="36" t="n">
        <f aca="false">C47+D46</f>
        <v>77.4</v>
      </c>
      <c r="E47" s="36" t="n">
        <f aca="false">D47+E46</f>
        <v>77.4</v>
      </c>
      <c r="F47" s="36" t="n">
        <f aca="false">E47+F46</f>
        <v>215</v>
      </c>
      <c r="G47" s="36" t="n">
        <f aca="false">F47+G46</f>
        <v>352.6</v>
      </c>
      <c r="H47" s="36" t="n">
        <f aca="false">G47+H46</f>
        <v>352.6</v>
      </c>
    </row>
    <row r="48" customFormat="false" ht="15" hidden="false" customHeight="false" outlineLevel="0" collapsed="false">
      <c r="A48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8" min="2" style="0" width="12"/>
  </cols>
  <sheetData>
    <row r="1" customFormat="false" ht="19.4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93</v>
      </c>
    </row>
    <row r="4" customFormat="false" ht="15" hidden="false" customHeight="false" outlineLevel="0" collapsed="false">
      <c r="A4" s="4" t="s">
        <v>33</v>
      </c>
      <c r="B4" s="5" t="s">
        <v>94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customFormat="false" ht="15" hidden="false" customHeight="false" outlineLevel="0" collapsed="false">
      <c r="A5" s="28" t="s">
        <v>95</v>
      </c>
      <c r="B5" s="29" t="n">
        <f aca="false">前提条件!B11</f>
        <v>1015</v>
      </c>
      <c r="C5" s="29" t="n">
        <f aca="false">前提条件!C11</f>
        <v>1062</v>
      </c>
      <c r="D5" s="29" t="n">
        <f aca="false">前提条件!D11</f>
        <v>1095</v>
      </c>
      <c r="E5" s="29" t="n">
        <f aca="false">前提条件!E11</f>
        <v>1129</v>
      </c>
      <c r="F5" s="30" t="n">
        <f aca="false">E5*(1+前提条件!F16)</f>
        <v>1169.77744105188</v>
      </c>
      <c r="G5" s="30" t="n">
        <f aca="false">F5*(1+前提条件!G16)</f>
        <v>1212.02768963143</v>
      </c>
      <c r="H5" s="30" t="n">
        <f aca="false">G5*(1+前提条件!H16)</f>
        <v>1255.8039408867</v>
      </c>
    </row>
    <row r="6" customFormat="false" ht="15" hidden="false" customHeight="false" outlineLevel="0" collapsed="false">
      <c r="A6" s="6" t="s">
        <v>96</v>
      </c>
      <c r="C6" s="31" t="n">
        <f aca="false">C5/B5-1</f>
        <v>0.0463054187192118</v>
      </c>
      <c r="D6" s="31" t="n">
        <f aca="false">D5/C5-1</f>
        <v>0.0310734463276836</v>
      </c>
      <c r="E6" s="31" t="n">
        <f aca="false">E5/D5-1</f>
        <v>0.0310502283105023</v>
      </c>
      <c r="F6" s="31" t="n">
        <f aca="false">F5/E5-1</f>
        <v>0.0361181940229247</v>
      </c>
      <c r="G6" s="31" t="n">
        <f aca="false">G5/F5-1</f>
        <v>0.0361181940229247</v>
      </c>
      <c r="H6" s="31" t="n">
        <f aca="false">H5/G5-1</f>
        <v>0.0361181940229247</v>
      </c>
    </row>
    <row r="7" customFormat="false" ht="15" hidden="false" customHeight="false" outlineLevel="0" collapsed="false">
      <c r="A7" s="11" t="s">
        <v>97</v>
      </c>
      <c r="B7" s="32" t="n">
        <f aca="false">前提条件!B10</f>
        <v>528</v>
      </c>
      <c r="C7" s="32" t="n">
        <f aca="false">前提条件!C10</f>
        <v>556</v>
      </c>
      <c r="D7" s="32" t="n">
        <f aca="false">前提条件!D10</f>
        <v>576</v>
      </c>
      <c r="E7" s="32" t="n">
        <f aca="false">前提条件!E10</f>
        <v>598</v>
      </c>
      <c r="F7" s="33" t="n">
        <f aca="false">E7*(1+前提条件!F17)</f>
        <v>623.338001817181</v>
      </c>
      <c r="G7" s="33" t="n">
        <f aca="false">F7*(1+前提条件!G17)</f>
        <v>649.749606203069</v>
      </c>
      <c r="H7" s="33" t="n">
        <f aca="false">G7*(1+前提条件!H17)</f>
        <v>677.280303030303</v>
      </c>
    </row>
    <row r="8" customFormat="false" ht="15" hidden="false" customHeight="false" outlineLevel="0" collapsed="false">
      <c r="A8" s="6" t="s">
        <v>98</v>
      </c>
      <c r="B8" s="31" t="n">
        <f aca="false">B7/B5</f>
        <v>0.520197044334975</v>
      </c>
      <c r="C8" s="31" t="n">
        <f aca="false">IF(C5=0,0,C7/C5)</f>
        <v>0.523540489642185</v>
      </c>
      <c r="D8" s="31" t="n">
        <f aca="false">IF(D5=0,0,D7/D5)</f>
        <v>0.526027397260274</v>
      </c>
      <c r="E8" s="31" t="n">
        <f aca="false">IF(E5=0,0,E7/E5)</f>
        <v>0.529672276350753</v>
      </c>
      <c r="F8" s="31" t="n">
        <f aca="false">IF(F5=0,0,F7/F5)</f>
        <v>0.532868885945232</v>
      </c>
      <c r="G8" s="31" t="n">
        <f aca="false">IF(G5=0,0,G7/G5)</f>
        <v>0.536084787304366</v>
      </c>
      <c r="H8" s="31" t="n">
        <f aca="false">IF(H5=0,0,H7/H5)</f>
        <v>0.539320096855317</v>
      </c>
    </row>
    <row r="9" customFormat="false" ht="15" hidden="false" customHeight="false" outlineLevel="0" collapsed="false">
      <c r="A9" s="11" t="s">
        <v>99</v>
      </c>
    </row>
    <row r="10" customFormat="false" ht="15" hidden="false" customHeight="false" outlineLevel="0" collapsed="false">
      <c r="A10" s="6" t="s">
        <v>100</v>
      </c>
      <c r="C10" s="34" t="n">
        <f aca="false">前提条件!$B$20</f>
        <v>102.6</v>
      </c>
      <c r="D10" s="34" t="n">
        <f aca="false">前提条件!$B$20</f>
        <v>102.6</v>
      </c>
      <c r="E10" s="34" t="n">
        <f aca="false">前提条件!$B$20</f>
        <v>102.6</v>
      </c>
      <c r="F10" s="34" t="n">
        <f aca="false">前提条件!$B$20</f>
        <v>102.6</v>
      </c>
      <c r="G10" s="34" t="n">
        <f aca="false">前提条件!$B$20</f>
        <v>102.6</v>
      </c>
      <c r="H10" s="34" t="n">
        <f aca="false">前提条件!$B$20</f>
        <v>102.6</v>
      </c>
    </row>
    <row r="11" customFormat="false" ht="15" hidden="false" customHeight="false" outlineLevel="0" collapsed="false">
      <c r="A11" s="6" t="s">
        <v>101</v>
      </c>
      <c r="C11" s="35" t="n">
        <f aca="false">-前提条件!C21</f>
        <v>-20</v>
      </c>
      <c r="D11" s="35" t="n">
        <f aca="false">-前提条件!D21</f>
        <v>-20</v>
      </c>
      <c r="E11" s="35" t="n">
        <f aca="false">-前提条件!E21</f>
        <v>-20</v>
      </c>
      <c r="F11" s="35" t="n">
        <f aca="false">-前提条件!F21</f>
        <v>-0</v>
      </c>
      <c r="G11" s="35" t="n">
        <f aca="false">-前提条件!G21</f>
        <v>-0</v>
      </c>
      <c r="H11" s="35" t="n">
        <f aca="false">-前提条件!H21</f>
        <v>-0</v>
      </c>
    </row>
    <row r="12" customFormat="false" ht="15" hidden="false" customHeight="false" outlineLevel="0" collapsed="false">
      <c r="A12" s="6" t="s">
        <v>102</v>
      </c>
      <c r="C12" s="35" t="n">
        <f aca="false">-前提条件!C22</f>
        <v>-0</v>
      </c>
      <c r="D12" s="35" t="n">
        <f aca="false">-前提条件!D22</f>
        <v>-15</v>
      </c>
      <c r="E12" s="35" t="n">
        <f aca="false">-前提条件!E22</f>
        <v>-15</v>
      </c>
      <c r="F12" s="35" t="n">
        <f aca="false">-前提条件!F22</f>
        <v>-15</v>
      </c>
      <c r="G12" s="35" t="n">
        <f aca="false">-前提条件!G22</f>
        <v>-15</v>
      </c>
      <c r="H12" s="35" t="n">
        <f aca="false">-前提条件!H22</f>
        <v>-15</v>
      </c>
    </row>
    <row r="13" customFormat="false" ht="15" hidden="false" customHeight="false" outlineLevel="0" collapsed="false">
      <c r="A13" s="9" t="s">
        <v>103</v>
      </c>
      <c r="C13" s="35" t="n">
        <f aca="false">-前提条件!C23</f>
        <v>-61</v>
      </c>
      <c r="D13" s="35" t="n">
        <f aca="false">-前提条件!D23</f>
        <v>-61</v>
      </c>
      <c r="E13" s="35" t="n">
        <f aca="false">-前提条件!E23</f>
        <v>-61</v>
      </c>
      <c r="F13" s="35" t="n">
        <f aca="false">-前提条件!F23</f>
        <v>-61</v>
      </c>
      <c r="G13" s="35" t="n">
        <f aca="false">-前提条件!G23</f>
        <v>-61</v>
      </c>
      <c r="H13" s="35" t="n">
        <f aca="false">-前提条件!H23</f>
        <v>-61</v>
      </c>
    </row>
    <row r="14" customFormat="false" ht="15" hidden="false" customHeight="false" outlineLevel="0" collapsed="false">
      <c r="A14" s="6" t="s">
        <v>104</v>
      </c>
      <c r="C14" s="35" t="n">
        <f aca="false">-前提条件!C24</f>
        <v>-0</v>
      </c>
      <c r="D14" s="35" t="n">
        <f aca="false">-前提条件!D24</f>
        <v>-0</v>
      </c>
      <c r="E14" s="35" t="n">
        <f aca="false">-前提条件!E24</f>
        <v>-0</v>
      </c>
      <c r="F14" s="35" t="n">
        <f aca="false">-前提条件!F24</f>
        <v>-400</v>
      </c>
      <c r="G14" s="35" t="n">
        <f aca="false">-前提条件!G24</f>
        <v>-400</v>
      </c>
      <c r="H14" s="35" t="n">
        <f aca="false">-前提条件!H24</f>
        <v>-0</v>
      </c>
    </row>
    <row r="15" customFormat="false" ht="15" hidden="false" customHeight="false" outlineLevel="0" collapsed="false">
      <c r="A15" s="28" t="s">
        <v>105</v>
      </c>
      <c r="C15" s="36" t="n">
        <f aca="false">SUM(C7,C10:C14)</f>
        <v>577.6</v>
      </c>
      <c r="D15" s="36" t="n">
        <f aca="false">SUM(D7,D10:D14)</f>
        <v>582.6</v>
      </c>
      <c r="E15" s="36" t="n">
        <f aca="false">SUM(E7,E10:E14)</f>
        <v>604.6</v>
      </c>
      <c r="F15" s="36" t="n">
        <f aca="false">SUM(F7,F10:F14)</f>
        <v>249.938001817181</v>
      </c>
      <c r="G15" s="36" t="n">
        <f aca="false">SUM(G7,G10:G14)</f>
        <v>276.349606203069</v>
      </c>
      <c r="H15" s="36" t="n">
        <f aca="false">SUM(H7,H10:H14)</f>
        <v>703.880303030303</v>
      </c>
    </row>
    <row r="16" customFormat="false" ht="15" hidden="false" customHeight="false" outlineLevel="0" collapsed="false">
      <c r="A16" s="6" t="s">
        <v>106</v>
      </c>
      <c r="C16" s="7" t="n">
        <f aca="false">前提条件!$B$28</f>
        <v>0</v>
      </c>
      <c r="D16" s="7" t="n">
        <f aca="false">前提条件!$B$28</f>
        <v>0</v>
      </c>
      <c r="E16" s="7" t="n">
        <f aca="false">前提条件!$B$28</f>
        <v>0</v>
      </c>
      <c r="F16" s="7" t="n">
        <f aca="false">前提条件!$B$28</f>
        <v>0</v>
      </c>
      <c r="G16" s="7" t="n">
        <f aca="false">前提条件!$B$28</f>
        <v>0</v>
      </c>
      <c r="H16" s="7" t="n">
        <f aca="false">前提条件!$B$28</f>
        <v>0</v>
      </c>
    </row>
    <row r="17" customFormat="false" ht="15" hidden="false" customHeight="false" outlineLevel="0" collapsed="false">
      <c r="A17" s="11" t="s">
        <v>107</v>
      </c>
      <c r="C17" s="37" t="n">
        <f aca="false">C15-C16</f>
        <v>577.6</v>
      </c>
      <c r="D17" s="37" t="n">
        <f aca="false">D15-D16</f>
        <v>582.6</v>
      </c>
      <c r="E17" s="37" t="n">
        <f aca="false">E15-E16</f>
        <v>604.6</v>
      </c>
      <c r="F17" s="37" t="n">
        <f aca="false">F15-F16</f>
        <v>249.938001817181</v>
      </c>
      <c r="G17" s="37" t="n">
        <f aca="false">G15-G16</f>
        <v>276.349606203069</v>
      </c>
      <c r="H17" s="37" t="n">
        <f aca="false">H15-H16</f>
        <v>703.880303030303</v>
      </c>
    </row>
    <row r="18" customFormat="false" ht="15" hidden="false" customHeight="false" outlineLevel="0" collapsed="false">
      <c r="A18" s="6" t="s">
        <v>108</v>
      </c>
      <c r="C18" s="38" t="n">
        <f aca="false">C35*前提条件!$B$35</f>
        <v>80</v>
      </c>
      <c r="D18" s="38" t="n">
        <f aca="false">D35*前提条件!$B$35</f>
        <v>69.8712310368397</v>
      </c>
      <c r="E18" s="38" t="n">
        <f aca="false">E35*前提条件!$B$35</f>
        <v>59.3373113151529</v>
      </c>
      <c r="F18" s="38" t="n">
        <f aca="false">F35*前提条件!$B$35</f>
        <v>48.3820348045987</v>
      </c>
      <c r="G18" s="38" t="n">
        <f aca="false">G35*前提条件!$B$35</f>
        <v>36.9885472336223</v>
      </c>
      <c r="H18" s="38" t="n">
        <f aca="false">H35*前提条件!$B$35</f>
        <v>25.1393201598069</v>
      </c>
    </row>
    <row r="19" customFormat="false" ht="15" hidden="false" customHeight="false" outlineLevel="0" collapsed="false">
      <c r="A19" s="6" t="s">
        <v>109</v>
      </c>
      <c r="C19" s="38" t="n">
        <f aca="false">C17-C18</f>
        <v>497.6</v>
      </c>
      <c r="D19" s="38" t="n">
        <f aca="false">D17-D18</f>
        <v>512.72876896316</v>
      </c>
      <c r="E19" s="38" t="n">
        <f aca="false">E17-E18</f>
        <v>545.262688684847</v>
      </c>
      <c r="F19" s="38" t="n">
        <f aca="false">F17-F18</f>
        <v>201.555967012582</v>
      </c>
      <c r="G19" s="38" t="n">
        <f aca="false">G17-G18</f>
        <v>239.361058969447</v>
      </c>
      <c r="H19" s="38" t="n">
        <f aca="false">H17-H18</f>
        <v>678.740982870496</v>
      </c>
    </row>
    <row r="20" customFormat="false" ht="15" hidden="false" customHeight="false" outlineLevel="0" collapsed="false">
      <c r="A20" s="6" t="s">
        <v>110</v>
      </c>
      <c r="C20" s="38" t="n">
        <f aca="false">MAX(0,C19)*前提条件!$B$27</f>
        <v>171.1744</v>
      </c>
      <c r="D20" s="38" t="n">
        <f aca="false">MAX(0,D19)*前提条件!$B$27</f>
        <v>176.378696523327</v>
      </c>
      <c r="E20" s="38" t="n">
        <f aca="false">MAX(0,E19)*前提条件!$B$27</f>
        <v>187.570364907587</v>
      </c>
      <c r="F20" s="38" t="n">
        <f aca="false">MAX(0,F19)*前提条件!$B$27</f>
        <v>69.3352526523282</v>
      </c>
      <c r="G20" s="38" t="n">
        <f aca="false">MAX(0,G19)*前提条件!$B$27</f>
        <v>82.3402042854898</v>
      </c>
      <c r="H20" s="38" t="n">
        <f aca="false">MAX(0,H19)*前提条件!$B$27</f>
        <v>233.486898107451</v>
      </c>
    </row>
    <row r="21" customFormat="false" ht="15" hidden="false" customHeight="false" outlineLevel="0" collapsed="false">
      <c r="A21" s="28" t="s">
        <v>14</v>
      </c>
      <c r="C21" s="36" t="n">
        <f aca="false">C19-C20</f>
        <v>326.4256</v>
      </c>
      <c r="D21" s="36" t="n">
        <f aca="false">D19-D20</f>
        <v>336.350072439833</v>
      </c>
      <c r="E21" s="36" t="n">
        <f aca="false">E19-E20</f>
        <v>357.69232377726</v>
      </c>
      <c r="F21" s="36" t="n">
        <f aca="false">F19-F20</f>
        <v>132.220714360254</v>
      </c>
      <c r="G21" s="36" t="n">
        <f aca="false">G19-G20</f>
        <v>157.020854683957</v>
      </c>
      <c r="H21" s="36" t="n">
        <f aca="false">H19-H20</f>
        <v>445.254084763046</v>
      </c>
    </row>
    <row r="23" customFormat="false" ht="15" hidden="false" customHeight="false" outlineLevel="0" collapsed="false">
      <c r="A23" s="11" t="s">
        <v>111</v>
      </c>
    </row>
    <row r="24" customFormat="false" ht="15" hidden="false" customHeight="false" outlineLevel="0" collapsed="false">
      <c r="A24" s="6" t="s">
        <v>14</v>
      </c>
      <c r="C24" s="38" t="n">
        <f aca="false">C21</f>
        <v>326.4256</v>
      </c>
      <c r="D24" s="38" t="n">
        <f aca="false">D21</f>
        <v>336.350072439833</v>
      </c>
      <c r="E24" s="38" t="n">
        <f aca="false">E21</f>
        <v>357.69232377726</v>
      </c>
      <c r="F24" s="38" t="n">
        <f aca="false">F21</f>
        <v>132.220714360254</v>
      </c>
      <c r="G24" s="38" t="n">
        <f aca="false">G21</f>
        <v>157.020854683957</v>
      </c>
      <c r="H24" s="38" t="n">
        <f aca="false">H21</f>
        <v>445.254084763046</v>
      </c>
    </row>
    <row r="25" customFormat="false" ht="15" hidden="false" customHeight="false" outlineLevel="0" collapsed="false">
      <c r="A25" s="6" t="s">
        <v>106</v>
      </c>
      <c r="C25" s="35" t="n">
        <f aca="false">C16</f>
        <v>0</v>
      </c>
      <c r="D25" s="35" t="n">
        <f aca="false">D16</f>
        <v>0</v>
      </c>
      <c r="E25" s="35" t="n">
        <f aca="false">E16</f>
        <v>0</v>
      </c>
      <c r="F25" s="35" t="n">
        <f aca="false">F16</f>
        <v>0</v>
      </c>
      <c r="G25" s="35" t="n">
        <f aca="false">G16</f>
        <v>0</v>
      </c>
      <c r="H25" s="35" t="n">
        <f aca="false">H16</f>
        <v>0</v>
      </c>
    </row>
    <row r="26" customFormat="false" ht="15" hidden="false" customHeight="false" outlineLevel="0" collapsed="false">
      <c r="A26" s="6" t="s">
        <v>112</v>
      </c>
      <c r="C26" s="35" t="n">
        <f aca="false">-前提条件!$B$29</f>
        <v>-30</v>
      </c>
      <c r="D26" s="35" t="n">
        <f aca="false">-前提条件!$B$29</f>
        <v>-30</v>
      </c>
      <c r="E26" s="35" t="n">
        <f aca="false">-前提条件!$B$29</f>
        <v>-30</v>
      </c>
      <c r="F26" s="35" t="n">
        <f aca="false">-前提条件!$B$29</f>
        <v>-30</v>
      </c>
      <c r="G26" s="35" t="n">
        <f aca="false">-前提条件!$B$29</f>
        <v>-30</v>
      </c>
      <c r="H26" s="35" t="n">
        <f aca="false">-前提条件!$B$29</f>
        <v>-30</v>
      </c>
    </row>
    <row r="27" customFormat="false" ht="15" hidden="false" customHeight="false" outlineLevel="0" collapsed="false">
      <c r="A27" s="9" t="s">
        <v>113</v>
      </c>
      <c r="C27" s="38" t="n">
        <f aca="false">-(前提条件!B31-前提条件!B32*前提条件!B27)</f>
        <v>-36.6</v>
      </c>
      <c r="D27" s="38" t="n">
        <v>0</v>
      </c>
      <c r="E27" s="38" t="n">
        <v>0</v>
      </c>
      <c r="F27" s="38" t="n">
        <v>0</v>
      </c>
      <c r="G27" s="38" t="n">
        <v>0</v>
      </c>
      <c r="H27" s="38" t="n">
        <v>0</v>
      </c>
    </row>
    <row r="28" customFormat="false" ht="15" hidden="false" customHeight="false" outlineLevel="0" collapsed="false">
      <c r="A28" s="11" t="s">
        <v>114</v>
      </c>
      <c r="C28" s="37" t="n">
        <f aca="false">SUM(C24:C27)</f>
        <v>259.8256</v>
      </c>
      <c r="D28" s="37" t="n">
        <f aca="false">SUM(D24:D27)</f>
        <v>306.350072439833</v>
      </c>
      <c r="E28" s="37" t="n">
        <f aca="false">SUM(E24:E27)</f>
        <v>327.69232377726</v>
      </c>
      <c r="F28" s="37" t="n">
        <f aca="false">SUM(F24:F27)</f>
        <v>102.220714360254</v>
      </c>
      <c r="G28" s="37" t="n">
        <f aca="false">SUM(G24:G27)</f>
        <v>127.020854683957</v>
      </c>
      <c r="H28" s="37" t="n">
        <f aca="false">SUM(H24:H27)</f>
        <v>415.254084763046</v>
      </c>
    </row>
    <row r="29" customFormat="false" ht="15" hidden="false" customHeight="false" outlineLevel="0" collapsed="false">
      <c r="A29" s="6" t="s">
        <v>115</v>
      </c>
      <c r="C29" s="38" t="n">
        <f aca="false">-C38</f>
        <v>-253.219224079008</v>
      </c>
      <c r="D29" s="38" t="n">
        <f aca="false">-D38</f>
        <v>-263.347993042169</v>
      </c>
      <c r="E29" s="38" t="n">
        <f aca="false">-E38</f>
        <v>-273.881912763856</v>
      </c>
      <c r="F29" s="38" t="n">
        <f aca="false">-F38</f>
        <v>-284.83718927441</v>
      </c>
      <c r="G29" s="38" t="n">
        <f aca="false">-G38</f>
        <v>-296.230676845386</v>
      </c>
      <c r="H29" s="38" t="n">
        <f aca="false">-H38</f>
        <v>-308.079903919202</v>
      </c>
    </row>
    <row r="30" customFormat="false" ht="15" hidden="false" customHeight="false" outlineLevel="0" collapsed="false">
      <c r="A30" s="28" t="s">
        <v>116</v>
      </c>
      <c r="C30" s="36" t="n">
        <f aca="false">C28+C29</f>
        <v>6.60637592099158</v>
      </c>
      <c r="D30" s="36" t="n">
        <f aca="false">D28+D29</f>
        <v>43.0020793976645</v>
      </c>
      <c r="E30" s="36" t="n">
        <f aca="false">E28+E29</f>
        <v>53.8104110134042</v>
      </c>
      <c r="F30" s="36" t="n">
        <f aca="false">F28+F29</f>
        <v>-182.616474914156</v>
      </c>
      <c r="G30" s="36" t="n">
        <f aca="false">G28+G29</f>
        <v>-169.209822161429</v>
      </c>
      <c r="H30" s="36" t="n">
        <f aca="false">H28+H29</f>
        <v>107.174180843844</v>
      </c>
    </row>
    <row r="31" customFormat="false" ht="15" hidden="false" customHeight="false" outlineLevel="0" collapsed="false">
      <c r="A31" s="11" t="s">
        <v>117</v>
      </c>
      <c r="C31" s="37" t="n">
        <f aca="false">前提条件!B30+前提条件!B42+C30</f>
        <v>144.006375920992</v>
      </c>
      <c r="D31" s="37" t="n">
        <f aca="false">C31+D30</f>
        <v>187.008455318656</v>
      </c>
      <c r="E31" s="37" t="n">
        <f aca="false">D31+E30</f>
        <v>240.81886633206</v>
      </c>
      <c r="F31" s="37" t="n">
        <f aca="false">E31+F30</f>
        <v>58.2023914179043</v>
      </c>
      <c r="G31" s="37" t="n">
        <f aca="false">F31+G30</f>
        <v>-111.007430743525</v>
      </c>
      <c r="H31" s="37" t="n">
        <f aca="false">G31+H30</f>
        <v>-3.83324989968057</v>
      </c>
    </row>
    <row r="34" customFormat="false" ht="15" hidden="false" customHeight="false" outlineLevel="0" collapsed="false">
      <c r="A34" s="11" t="s">
        <v>118</v>
      </c>
    </row>
    <row r="35" customFormat="false" ht="15" hidden="false" customHeight="false" outlineLevel="0" collapsed="false">
      <c r="A35" s="6" t="s">
        <v>119</v>
      </c>
      <c r="C35" s="34" t="n">
        <f aca="false">前提条件!B37</f>
        <v>2000</v>
      </c>
      <c r="D35" s="38" t="n">
        <f aca="false">C39</f>
        <v>1746.78077592099</v>
      </c>
      <c r="E35" s="38" t="n">
        <f aca="false">D39</f>
        <v>1483.43278287882</v>
      </c>
      <c r="F35" s="38" t="n">
        <f aca="false">E39</f>
        <v>1209.55087011497</v>
      </c>
      <c r="G35" s="38" t="n">
        <f aca="false">F39</f>
        <v>924.713680840558</v>
      </c>
      <c r="H35" s="38" t="n">
        <f aca="false">G39</f>
        <v>628.483003995171</v>
      </c>
    </row>
    <row r="36" customFormat="false" ht="15" hidden="false" customHeight="false" outlineLevel="0" collapsed="false">
      <c r="A36" s="6" t="s">
        <v>120</v>
      </c>
      <c r="C36" s="38" t="n">
        <f aca="false">IF(C35&lt;=0.001,0,-PMT(前提条件!$B$35,前提条件!$B$36,前提条件!$B$37))</f>
        <v>333.219224079008</v>
      </c>
      <c r="D36" s="38" t="n">
        <f aca="false">IF(D35&lt;=0.001,0,-PMT(前提条件!$B$35,前提条件!$B$36,前提条件!$B$37))</f>
        <v>333.219224079008</v>
      </c>
      <c r="E36" s="38" t="n">
        <f aca="false">IF(E35&lt;=0.001,0,-PMT(前提条件!$B$35,前提条件!$B$36,前提条件!$B$37))</f>
        <v>333.219224079008</v>
      </c>
      <c r="F36" s="38" t="n">
        <f aca="false">IF(F35&lt;=0.001,0,-PMT(前提条件!$B$35,前提条件!$B$36,前提条件!$B$37))</f>
        <v>333.219224079008</v>
      </c>
      <c r="G36" s="38" t="n">
        <f aca="false">IF(G35&lt;=0.001,0,-PMT(前提条件!$B$35,前提条件!$B$36,前提条件!$B$37))</f>
        <v>333.219224079008</v>
      </c>
      <c r="H36" s="38" t="n">
        <f aca="false">IF(H35&lt;=0.001,0,-PMT(前提条件!$B$35,前提条件!$B$36,前提条件!$B$37))</f>
        <v>333.219224079008</v>
      </c>
    </row>
    <row r="37" customFormat="false" ht="15" hidden="false" customHeight="false" outlineLevel="0" collapsed="false">
      <c r="A37" s="6" t="s">
        <v>121</v>
      </c>
      <c r="C37" s="38" t="n">
        <f aca="false">C18</f>
        <v>80</v>
      </c>
      <c r="D37" s="38" t="n">
        <f aca="false">D18</f>
        <v>69.8712310368397</v>
      </c>
      <c r="E37" s="38" t="n">
        <f aca="false">E18</f>
        <v>59.3373113151529</v>
      </c>
      <c r="F37" s="38" t="n">
        <f aca="false">F18</f>
        <v>48.3820348045987</v>
      </c>
      <c r="G37" s="38" t="n">
        <f aca="false">G18</f>
        <v>36.9885472336223</v>
      </c>
      <c r="H37" s="38" t="n">
        <f aca="false">H18</f>
        <v>25.1393201598069</v>
      </c>
    </row>
    <row r="38" customFormat="false" ht="15" hidden="false" customHeight="false" outlineLevel="0" collapsed="false">
      <c r="A38" s="6" t="s">
        <v>122</v>
      </c>
      <c r="C38" s="38" t="n">
        <f aca="false">MIN(C35,C36-C37)</f>
        <v>253.219224079008</v>
      </c>
      <c r="D38" s="38" t="n">
        <f aca="false">MIN(D35,D36-D37)</f>
        <v>263.347993042169</v>
      </c>
      <c r="E38" s="38" t="n">
        <f aca="false">MIN(E35,E36-E37)</f>
        <v>273.881912763856</v>
      </c>
      <c r="F38" s="38" t="n">
        <f aca="false">MIN(F35,F36-F37)</f>
        <v>284.83718927441</v>
      </c>
      <c r="G38" s="38" t="n">
        <f aca="false">MIN(G35,G36-G37)</f>
        <v>296.230676845386</v>
      </c>
      <c r="H38" s="38" t="n">
        <f aca="false">MIN(H35,H36-H37)</f>
        <v>308.079903919202</v>
      </c>
    </row>
    <row r="39" customFormat="false" ht="15" hidden="false" customHeight="false" outlineLevel="0" collapsed="false">
      <c r="A39" s="11" t="s">
        <v>123</v>
      </c>
      <c r="C39" s="37" t="n">
        <f aca="false">C35-C38</f>
        <v>1746.78077592099</v>
      </c>
      <c r="D39" s="37" t="n">
        <f aca="false">D35-D38</f>
        <v>1483.43278287882</v>
      </c>
      <c r="E39" s="37" t="n">
        <f aca="false">E35-E38</f>
        <v>1209.55087011497</v>
      </c>
      <c r="F39" s="37" t="n">
        <f aca="false">F35-F38</f>
        <v>924.713680840558</v>
      </c>
      <c r="G39" s="37" t="n">
        <f aca="false">G35-G38</f>
        <v>628.483003995171</v>
      </c>
      <c r="H39" s="37" t="n">
        <f aca="false">H35-H38</f>
        <v>320.40310007597</v>
      </c>
    </row>
    <row r="40" customFormat="false" ht="15" hidden="false" customHeight="false" outlineLevel="0" collapsed="false">
      <c r="A40" s="39" t="s">
        <v>124</v>
      </c>
      <c r="C40" s="40" t="n">
        <f aca="false">IF(C36=0,0,(C15-C20-前提条件!$B$29)/C36)</f>
        <v>1.12966351518407</v>
      </c>
      <c r="D40" s="40" t="n">
        <f aca="false">IF(D36=0,0,(D15-D20-前提条件!$B$29)/D36)</f>
        <v>1.12905041573312</v>
      </c>
      <c r="E40" s="40" t="n">
        <f aca="false">IF(E36=0,0,(E15-E20-前提条件!$B$29)/E36)</f>
        <v>1.16148651435742</v>
      </c>
      <c r="F40" s="40" t="n">
        <f aca="false">IF(F36=0,0,(F15-F20-前提条件!$B$29)/F36)</f>
        <v>0.451962966965986</v>
      </c>
      <c r="G40" s="40" t="n">
        <f aca="false">IF(G36=0,0,(G15-G20-前提条件!$B$29)/G36)</f>
        <v>0.492196698347428</v>
      </c>
      <c r="H40" s="40" t="n">
        <f aca="false">IF(H36=0,0,(H15-H20-前提条件!$B$29)/H36)</f>
        <v>1.32163264631585</v>
      </c>
    </row>
    <row r="41" customFormat="false" ht="15" hidden="false" customHeight="false" outlineLevel="0" collapsed="false">
      <c r="A41" s="18" t="s">
        <v>125</v>
      </c>
    </row>
    <row r="43" customFormat="false" ht="15" hidden="false" customHeight="false" outlineLevel="0" collapsed="false">
      <c r="A43" s="11" t="s">
        <v>126</v>
      </c>
    </row>
    <row r="44" customFormat="false" ht="15" hidden="false" customHeight="false" outlineLevel="0" collapsed="false">
      <c r="A44" s="6" t="s">
        <v>127</v>
      </c>
      <c r="C44" s="38" t="n">
        <f aca="false">前提条件!B32*前提条件!B27</f>
        <v>77.4</v>
      </c>
      <c r="D44" s="38" t="n">
        <v>0</v>
      </c>
      <c r="E44" s="38" t="n">
        <v>0</v>
      </c>
      <c r="F44" s="38" t="n">
        <v>0</v>
      </c>
      <c r="G44" s="38" t="n">
        <v>0</v>
      </c>
      <c r="H44" s="38" t="n">
        <v>0</v>
      </c>
    </row>
    <row r="45" customFormat="false" ht="15" hidden="false" customHeight="false" outlineLevel="0" collapsed="false">
      <c r="A45" s="6" t="s">
        <v>128</v>
      </c>
      <c r="C45" s="38" t="n">
        <f aca="false">-C14*前提条件!$B$27</f>
        <v>0</v>
      </c>
      <c r="D45" s="38" t="n">
        <f aca="false">-D14*前提条件!$B$27</f>
        <v>0</v>
      </c>
      <c r="E45" s="38" t="n">
        <f aca="false">-E14*前提条件!$B$27</f>
        <v>0</v>
      </c>
      <c r="F45" s="38" t="n">
        <f aca="false">-F14*前提条件!$B$27</f>
        <v>137.6</v>
      </c>
      <c r="G45" s="38" t="n">
        <f aca="false">-G14*前提条件!$B$27</f>
        <v>137.6</v>
      </c>
      <c r="H45" s="38" t="n">
        <f aca="false">-H14*前提条件!$B$27</f>
        <v>0</v>
      </c>
    </row>
    <row r="46" customFormat="false" ht="15" hidden="false" customHeight="false" outlineLevel="0" collapsed="false">
      <c r="A46" s="11" t="s">
        <v>129</v>
      </c>
      <c r="C46" s="37" t="n">
        <f aca="false">C44+C45</f>
        <v>77.4</v>
      </c>
      <c r="D46" s="37" t="n">
        <f aca="false">D44+D45</f>
        <v>0</v>
      </c>
      <c r="E46" s="37" t="n">
        <f aca="false">E44+E45</f>
        <v>0</v>
      </c>
      <c r="F46" s="37" t="n">
        <f aca="false">F44+F45</f>
        <v>137.6</v>
      </c>
      <c r="G46" s="37" t="n">
        <f aca="false">G44+G45</f>
        <v>137.6</v>
      </c>
      <c r="H46" s="37" t="n">
        <f aca="false">H44+H45</f>
        <v>0</v>
      </c>
    </row>
    <row r="47" customFormat="false" ht="15" hidden="false" customHeight="false" outlineLevel="0" collapsed="false">
      <c r="A47" s="28" t="s">
        <v>130</v>
      </c>
      <c r="C47" s="36" t="n">
        <f aca="false">C46</f>
        <v>77.4</v>
      </c>
      <c r="D47" s="36" t="n">
        <f aca="false">C47+D46</f>
        <v>77.4</v>
      </c>
      <c r="E47" s="36" t="n">
        <f aca="false">D47+E46</f>
        <v>77.4</v>
      </c>
      <c r="F47" s="36" t="n">
        <f aca="false">E47+F46</f>
        <v>215</v>
      </c>
      <c r="G47" s="36" t="n">
        <f aca="false">F47+G46</f>
        <v>352.6</v>
      </c>
      <c r="H47" s="36" t="n">
        <f aca="false">G47+H46</f>
        <v>352.6</v>
      </c>
    </row>
    <row r="48" customFormat="false" ht="15" hidden="false" customHeight="false" outlineLevel="0" collapsed="false">
      <c r="A48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2026-10-18T04:33:00Z</dcterms:created>
  <dc:creator>openpyxl</dc:creator>
  <dc:description/>
  <dc:language>en-US</dc:language>
  <cp:lastModifiedBy/>
  <dcterms:modified xsi:type="dcterms:W3CDTF">2026-10-18T04:33:00Z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