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Y2026着地見込み" sheetId="1" state="visible" r:id="rId3"/>
    <sheet name="①サマリー" sheetId="2" state="visible" r:id="rId4"/>
    <sheet name="④FY2026月次実績" sheetId="3" state="visible" r:id="rId5"/>
    <sheet name="②前提" sheetId="4" state="visible" r:id="rId6"/>
    <sheet name="③FY2027月次推移" sheetId="5" state="visible" r:id="rId7"/>
    <sheet name="⑤利益ブリッジ" sheetId="6" state="visible" r:id="rId8"/>
    <sheet name="⑥ワイン仕入・在庫計画" sheetId="7" state="visible" r:id="rId9"/>
    <sheet name="⑦FY2027資金繰り表"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<sst xmlns="http://schemas.openxmlformats.org/spreadsheetml/2006/main" count="512" uniqueCount="407">
  <si>
    <r>
      <rPr>
        <b val="true"/>
        <sz val="15"/>
        <rFont val="メイリオ"/>
        <family val="0"/>
        <charset val="1"/>
      </rPr>
      <t xml:space="preserve">FY2026</t>
    </r>
    <r>
      <rPr>
        <b val="true"/>
        <sz val="15"/>
        <rFont val="WenQuanYi Zen Hei"/>
        <family val="2"/>
      </rPr>
      <t xml:space="preserve">（</t>
    </r>
    <r>
      <rPr>
        <b val="true"/>
        <sz val="15"/>
        <rFont val="メイリオ"/>
        <family val="0"/>
        <charset val="1"/>
      </rPr>
      <t xml:space="preserve">2026</t>
    </r>
    <r>
      <rPr>
        <b val="true"/>
        <sz val="15"/>
        <rFont val="WenQuanYi Zen Hei"/>
        <family val="2"/>
      </rPr>
      <t xml:space="preserve">年</t>
    </r>
    <r>
      <rPr>
        <b val="true"/>
        <sz val="15"/>
        <rFont val="メイリオ"/>
        <family val="0"/>
        <charset val="1"/>
      </rPr>
      <t xml:space="preserve">9</t>
    </r>
    <r>
      <rPr>
        <b val="true"/>
        <sz val="15"/>
        <rFont val="WenQuanYi Zen Hei"/>
        <family val="2"/>
      </rPr>
      <t xml:space="preserve">月期）着地見込みの修正</t>
    </r>
  </si>
  <si>
    <r>
      <rPr>
        <sz val="9"/>
        <color rgb="FF8C8C8C"/>
        <rFont val="メイリオ"/>
        <family val="0"/>
        <charset val="1"/>
      </rPr>
      <t xml:space="preserve">2026</t>
    </r>
    <r>
      <rPr>
        <sz val="9"/>
        <color rgb="FF8C8C8C"/>
        <rFont val="WenQuanYi Zen Hei"/>
        <family val="2"/>
      </rPr>
      <t xml:space="preserve">年</t>
    </r>
    <r>
      <rPr>
        <sz val="9"/>
        <color rgb="FF8C8C8C"/>
        <rFont val="メイリオ"/>
        <family val="0"/>
        <charset val="1"/>
      </rPr>
      <t xml:space="preserve">9</t>
    </r>
    <r>
      <rPr>
        <sz val="9"/>
        <color rgb="FF8C8C8C"/>
        <rFont val="WenQuanYi Zen Hei"/>
        <family val="2"/>
      </rPr>
      <t xml:space="preserve">月末に私募ファンド</t>
    </r>
    <r>
      <rPr>
        <sz val="9"/>
        <color rgb="FF8C8C8C"/>
        <rFont val="メイリオ"/>
        <family val="0"/>
        <charset val="1"/>
      </rPr>
      <t xml:space="preserve">3</t>
    </r>
    <r>
      <rPr>
        <sz val="9"/>
        <color rgb="FF8C8C8C"/>
        <rFont val="WenQuanYi Zen Hei"/>
        <family val="2"/>
      </rPr>
      <t xml:space="preserve">号・</t>
    </r>
    <r>
      <rPr>
        <sz val="9"/>
        <color rgb="FF8C8C8C"/>
        <rFont val="メイリオ"/>
        <family val="0"/>
        <charset val="1"/>
      </rPr>
      <t xml:space="preserve">4</t>
    </r>
    <r>
      <rPr>
        <sz val="9"/>
        <color rgb="FF8C8C8C"/>
        <rFont val="WenQuanYi Zen Hei"/>
        <family val="2"/>
      </rPr>
      <t xml:space="preserve">号の組成が間に合い、あわせて</t>
    </r>
    <r>
      <rPr>
        <sz val="9"/>
        <color rgb="FF8C8C8C"/>
        <rFont val="メイリオ"/>
        <family val="0"/>
        <charset val="1"/>
      </rPr>
      <t xml:space="preserve">FY2027</t>
    </r>
    <r>
      <rPr>
        <sz val="9"/>
        <color rgb="FF8C8C8C"/>
        <rFont val="WenQuanYi Zen Hei"/>
        <family val="2"/>
      </rPr>
      <t xml:space="preserve">予定案件の一部が前倒し計上となります。単位：円（税別）</t>
    </r>
  </si>
  <si>
    <r>
      <rPr>
        <b val="true"/>
        <sz val="11"/>
        <color rgb="FFFFFFFF"/>
        <rFont val="WenQuanYi Zen Hei"/>
        <family val="2"/>
      </rPr>
      <t xml:space="preserve">【</t>
    </r>
    <r>
      <rPr>
        <b val="true"/>
        <sz val="11"/>
        <color rgb="FFFFFFFF"/>
        <rFont val="メイリオ"/>
        <family val="0"/>
        <charset val="1"/>
      </rPr>
      <t xml:space="preserve">1</t>
    </r>
    <r>
      <rPr>
        <b val="true"/>
        <sz val="11"/>
        <color rgb="FFFFFFFF"/>
        <rFont val="WenQuanYi Zen Hei"/>
        <family val="2"/>
      </rPr>
      <t xml:space="preserve">】営業利益の修正</t>
    </r>
  </si>
  <si>
    <t xml:space="preserve">項目</t>
  </si>
  <si>
    <t xml:space="preserve">売上</t>
  </si>
  <si>
    <t xml:space="preserve">粗利</t>
  </si>
  <si>
    <t xml:space="preserve">累計 営業利益</t>
  </si>
  <si>
    <t xml:space="preserve">内容</t>
  </si>
  <si>
    <t xml:space="preserve">従来見込み 営業利益</t>
  </si>
  <si>
    <r>
      <rPr>
        <sz val="9"/>
        <color rgb="FF333333"/>
        <rFont val="WenQuanYi Zen Hei"/>
        <family val="2"/>
      </rPr>
      <t xml:space="preserve">★確定値をご入力ください。貴社ご指摘の「営業利益</t>
    </r>
    <r>
      <rPr>
        <sz val="9"/>
        <color rgb="FF333333"/>
        <rFont val="メイリオ"/>
        <family val="0"/>
        <charset val="1"/>
      </rPr>
      <t xml:space="preserve">0</t>
    </r>
    <r>
      <rPr>
        <sz val="9"/>
        <color rgb="FF333333"/>
        <rFont val="WenQuanYi Zen Hei"/>
        <family val="2"/>
      </rPr>
      <t xml:space="preserve">円＋</t>
    </r>
    <r>
      <rPr>
        <sz val="9"/>
        <color rgb="FF333333"/>
        <rFont val="メイリオ"/>
        <family val="0"/>
        <charset val="1"/>
      </rPr>
      <t xml:space="preserve">α</t>
    </r>
    <r>
      <rPr>
        <sz val="9"/>
        <color rgb="FF333333"/>
        <rFont val="WenQuanYi Zen Hei"/>
        <family val="2"/>
      </rPr>
      <t xml:space="preserve">」に合わせるには▲</t>
    </r>
    <r>
      <rPr>
        <sz val="9"/>
        <color rgb="FF333333"/>
        <rFont val="メイリオ"/>
        <family val="0"/>
        <charset val="1"/>
      </rPr>
      <t xml:space="preserve">105</t>
    </r>
    <r>
      <rPr>
        <sz val="9"/>
        <color rgb="FF333333"/>
        <rFont val="WenQuanYi Zen Hei"/>
        <family val="2"/>
      </rPr>
      <t xml:space="preserve">百万円程度となります。</t>
    </r>
  </si>
  <si>
    <r>
      <rPr>
        <sz val="11"/>
        <rFont val="WenQuanYi Zen Hei"/>
        <family val="2"/>
      </rPr>
      <t xml:space="preserve">① 私募ファンド</t>
    </r>
    <r>
      <rPr>
        <sz val="11"/>
        <rFont val="メイリオ"/>
        <family val="0"/>
        <charset val="1"/>
      </rPr>
      <t xml:space="preserve">3</t>
    </r>
    <r>
      <rPr>
        <sz val="11"/>
        <rFont val="WenQuanYi Zen Hei"/>
        <family val="2"/>
      </rPr>
      <t xml:space="preserve">号</t>
    </r>
  </si>
  <si>
    <r>
      <rPr>
        <sz val="9"/>
        <color rgb="FF8C8C8C"/>
        <rFont val="メイリオ"/>
        <family val="0"/>
        <charset val="1"/>
      </rPr>
      <t xml:space="preserve">2026</t>
    </r>
    <r>
      <rPr>
        <sz val="9"/>
        <color rgb="FF8C8C8C"/>
        <rFont val="WenQuanYi Zen Hei"/>
        <family val="2"/>
      </rPr>
      <t xml:space="preserve">年</t>
    </r>
    <r>
      <rPr>
        <sz val="9"/>
        <color rgb="FF8C8C8C"/>
        <rFont val="メイリオ"/>
        <family val="0"/>
        <charset val="1"/>
      </rPr>
      <t xml:space="preserve">9</t>
    </r>
    <r>
      <rPr>
        <sz val="9"/>
        <color rgb="FF8C8C8C"/>
        <rFont val="WenQuanYi Zen Hei"/>
        <family val="2"/>
      </rPr>
      <t xml:space="preserve">月末に組成完了。粗利</t>
    </r>
    <r>
      <rPr>
        <sz val="9"/>
        <color rgb="FF8C8C8C"/>
        <rFont val="メイリオ"/>
        <family val="0"/>
        <charset val="1"/>
      </rPr>
      <t xml:space="preserve">60</t>
    </r>
    <r>
      <rPr>
        <sz val="9"/>
        <color rgb="FF8C8C8C"/>
        <rFont val="WenQuanYi Zen Hei"/>
        <family val="2"/>
      </rPr>
      <t xml:space="preserve">百万円＋販売手数料</t>
    </r>
    <r>
      <rPr>
        <sz val="9"/>
        <color rgb="FF8C8C8C"/>
        <rFont val="メイリオ"/>
        <family val="0"/>
        <charset val="1"/>
      </rPr>
      <t xml:space="preserve">10</t>
    </r>
    <r>
      <rPr>
        <sz val="9"/>
        <color rgb="FF8C8C8C"/>
        <rFont val="WenQuanYi Zen Hei"/>
        <family val="2"/>
      </rPr>
      <t xml:space="preserve">百万円。</t>
    </r>
  </si>
  <si>
    <r>
      <rPr>
        <sz val="11"/>
        <rFont val="WenQuanYi Zen Hei"/>
        <family val="2"/>
      </rPr>
      <t xml:space="preserve">② 私募ファンド</t>
    </r>
    <r>
      <rPr>
        <sz val="11"/>
        <rFont val="メイリオ"/>
        <family val="0"/>
        <charset val="1"/>
      </rPr>
      <t xml:space="preserve">4</t>
    </r>
    <r>
      <rPr>
        <sz val="11"/>
        <rFont val="WenQuanYi Zen Hei"/>
        <family val="2"/>
      </rPr>
      <t xml:space="preserve">号</t>
    </r>
  </si>
  <si>
    <r>
      <rPr>
        <sz val="9"/>
        <color rgb="FF8C8C8C"/>
        <rFont val="WenQuanYi Zen Hei"/>
        <family val="2"/>
      </rPr>
      <t xml:space="preserve">同上。粗利率</t>
    </r>
    <r>
      <rPr>
        <sz val="9"/>
        <color rgb="FF8C8C8C"/>
        <rFont val="メイリオ"/>
        <family val="0"/>
        <charset val="1"/>
      </rPr>
      <t xml:space="preserve">5%</t>
    </r>
    <r>
      <rPr>
        <sz val="9"/>
        <color rgb="FF8C8C8C"/>
        <rFont val="WenQuanYi Zen Hei"/>
        <family val="2"/>
      </rPr>
      <t xml:space="preserve">。</t>
    </r>
  </si>
  <si>
    <r>
      <rPr>
        <sz val="11"/>
        <rFont val="WenQuanYi Zen Hei"/>
        <family val="2"/>
      </rPr>
      <t xml:space="preserve">③ アピシウス</t>
    </r>
    <r>
      <rPr>
        <sz val="11"/>
        <rFont val="メイリオ"/>
        <family val="0"/>
        <charset val="1"/>
      </rPr>
      <t xml:space="preserve">M&amp;A</t>
    </r>
    <r>
      <rPr>
        <sz val="11"/>
        <rFont val="WenQuanYi Zen Hei"/>
        <family val="2"/>
      </rPr>
      <t xml:space="preserve">仲介（前倒し）</t>
    </r>
  </si>
  <si>
    <r>
      <rPr>
        <sz val="9"/>
        <color rgb="FF8C8C8C"/>
        <rFont val="メイリオ"/>
        <family val="0"/>
        <charset val="1"/>
      </rPr>
      <t xml:space="preserve">FY2027</t>
    </r>
    <r>
      <rPr>
        <sz val="9"/>
        <color rgb="FF8C8C8C"/>
        <rFont val="WenQuanYi Zen Hei"/>
        <family val="2"/>
      </rPr>
      <t xml:space="preserve">の上乗せ案件として見込んでいたものが当期計上となる。</t>
    </r>
  </si>
  <si>
    <t xml:space="preserve">④ コンサルティング料（前倒し）</t>
  </si>
  <si>
    <t xml:space="preserve">同上。</t>
  </si>
  <si>
    <t xml:space="preserve">上積み 計</t>
  </si>
  <si>
    <t xml:space="preserve">修正後 営業利益</t>
  </si>
  <si>
    <r>
      <rPr>
        <sz val="9"/>
        <color rgb="FF333333"/>
        <rFont val="WenQuanYi Zen Hei"/>
        <family val="2"/>
      </rPr>
      <t xml:space="preserve">私募</t>
    </r>
    <r>
      <rPr>
        <sz val="9"/>
        <color rgb="FF333333"/>
        <rFont val="メイリオ"/>
        <family val="0"/>
        <charset val="1"/>
      </rPr>
      <t xml:space="preserve">2</t>
    </r>
    <r>
      <rPr>
        <sz val="9"/>
        <color rgb="FF333333"/>
        <rFont val="WenQuanYi Zen Hei"/>
        <family val="2"/>
      </rPr>
      <t xml:space="preserve">本の粗利</t>
    </r>
    <r>
      <rPr>
        <sz val="9"/>
        <color rgb="FF333333"/>
        <rFont val="メイリオ"/>
        <family val="0"/>
        <charset val="1"/>
      </rPr>
      <t xml:space="preserve">75</t>
    </r>
    <r>
      <rPr>
        <sz val="9"/>
        <color rgb="FF333333"/>
        <rFont val="WenQuanYi Zen Hei"/>
        <family val="2"/>
      </rPr>
      <t xml:space="preserve">百万円と前倒し</t>
    </r>
    <r>
      <rPr>
        <sz val="9"/>
        <color rgb="FF333333"/>
        <rFont val="メイリオ"/>
        <family val="0"/>
        <charset val="1"/>
      </rPr>
      <t xml:space="preserve">30</t>
    </r>
    <r>
      <rPr>
        <sz val="9"/>
        <color rgb="FF333333"/>
        <rFont val="WenQuanYi Zen Hei"/>
        <family val="2"/>
      </rPr>
      <t xml:space="preserve">百万円で、営業損益はほぼ均衡まで戻ります。</t>
    </r>
  </si>
  <si>
    <r>
      <rPr>
        <b val="true"/>
        <sz val="11"/>
        <color rgb="FFFFFFFF"/>
        <rFont val="WenQuanYi Zen Hei"/>
        <family val="2"/>
      </rPr>
      <t xml:space="preserve">【</t>
    </r>
    <r>
      <rPr>
        <b val="true"/>
        <sz val="11"/>
        <color rgb="FFFFFFFF"/>
        <rFont val="メイリオ"/>
        <family val="0"/>
        <charset val="1"/>
      </rPr>
      <t xml:space="preserve">2</t>
    </r>
    <r>
      <rPr>
        <b val="true"/>
        <sz val="11"/>
        <color rgb="FFFFFFFF"/>
        <rFont val="WenQuanYi Zen Hei"/>
        <family val="2"/>
      </rPr>
      <t xml:space="preserve">】修正後の</t>
    </r>
    <r>
      <rPr>
        <b val="true"/>
        <sz val="11"/>
        <color rgb="FFFFFFFF"/>
        <rFont val="メイリオ"/>
        <family val="0"/>
        <charset val="1"/>
      </rPr>
      <t xml:space="preserve">FY2026 </t>
    </r>
    <r>
      <rPr>
        <b val="true"/>
        <sz val="11"/>
        <color rgb="FFFFFFFF"/>
        <rFont val="WenQuanYi Zen Hei"/>
        <family val="2"/>
      </rPr>
      <t xml:space="preserve">損益</t>
    </r>
  </si>
  <si>
    <t xml:space="preserve">科目</t>
  </si>
  <si>
    <t xml:space="preserve">従来見込み</t>
  </si>
  <si>
    <t xml:space="preserve">上積み</t>
  </si>
  <si>
    <t xml:space="preserve">修正後</t>
  </si>
  <si>
    <t xml:space="preserve">売上高</t>
  </si>
  <si>
    <r>
      <rPr>
        <sz val="9"/>
        <color rgb="FF8C8C8C"/>
        <rFont val="WenQuanYi Zen Hei"/>
        <family val="2"/>
      </rPr>
      <t xml:space="preserve">私募</t>
    </r>
    <r>
      <rPr>
        <sz val="9"/>
        <color rgb="FF8C8C8C"/>
        <rFont val="メイリオ"/>
        <family val="0"/>
        <charset val="1"/>
      </rPr>
      <t xml:space="preserve">600</t>
    </r>
    <r>
      <rPr>
        <sz val="9"/>
        <color rgb="FF8C8C8C"/>
        <rFont val="WenQuanYi Zen Hei"/>
        <family val="2"/>
      </rPr>
      <t xml:space="preserve">百万円＋前倒し</t>
    </r>
    <r>
      <rPr>
        <sz val="9"/>
        <color rgb="FF8C8C8C"/>
        <rFont val="メイリオ"/>
        <family val="0"/>
        <charset val="1"/>
      </rPr>
      <t xml:space="preserve">30</t>
    </r>
    <r>
      <rPr>
        <sz val="9"/>
        <color rgb="FF8C8C8C"/>
        <rFont val="WenQuanYi Zen Hei"/>
        <family val="2"/>
      </rPr>
      <t xml:space="preserve">百万円</t>
    </r>
  </si>
  <si>
    <t xml:space="preserve">売上原価</t>
  </si>
  <si>
    <r>
      <rPr>
        <sz val="9"/>
        <color rgb="FF8C8C8C"/>
        <rFont val="WenQuanYi Zen Hei"/>
        <family val="2"/>
      </rPr>
      <t xml:space="preserve">私募</t>
    </r>
    <r>
      <rPr>
        <sz val="9"/>
        <color rgb="FF8C8C8C"/>
        <rFont val="メイリオ"/>
        <family val="0"/>
        <charset val="1"/>
      </rPr>
      <t xml:space="preserve">2</t>
    </r>
    <r>
      <rPr>
        <sz val="9"/>
        <color rgb="FF8C8C8C"/>
        <rFont val="WenQuanYi Zen Hei"/>
        <family val="2"/>
      </rPr>
      <t xml:space="preserve">本の原価</t>
    </r>
    <r>
      <rPr>
        <sz val="9"/>
        <color rgb="FF8C8C8C"/>
        <rFont val="メイリオ"/>
        <family val="0"/>
        <charset val="1"/>
      </rPr>
      <t xml:space="preserve">525</t>
    </r>
    <r>
      <rPr>
        <sz val="9"/>
        <color rgb="FF8C8C8C"/>
        <rFont val="WenQuanYi Zen Hei"/>
        <family val="2"/>
      </rPr>
      <t xml:space="preserve">百万円。前倒し</t>
    </r>
    <r>
      <rPr>
        <sz val="9"/>
        <color rgb="FF8C8C8C"/>
        <rFont val="メイリオ"/>
        <family val="0"/>
        <charset val="1"/>
      </rPr>
      <t xml:space="preserve">2</t>
    </r>
    <r>
      <rPr>
        <sz val="9"/>
        <color rgb="FF8C8C8C"/>
        <rFont val="WenQuanYi Zen Hei"/>
        <family val="2"/>
      </rPr>
      <t xml:space="preserve">件は原価なし</t>
    </r>
  </si>
  <si>
    <t xml:space="preserve">売上総利益</t>
  </si>
  <si>
    <t xml:space="preserve">　うち 既存事業</t>
  </si>
  <si>
    <r>
      <rPr>
        <sz val="9"/>
        <color rgb="FF8C8C8C"/>
        <rFont val="WenQuanYi Zen Hei"/>
        <family val="2"/>
      </rPr>
      <t xml:space="preserve">私募</t>
    </r>
    <r>
      <rPr>
        <sz val="9"/>
        <color rgb="FF8C8C8C"/>
        <rFont val="メイリオ"/>
        <family val="0"/>
        <charset val="1"/>
      </rPr>
      <t xml:space="preserve">2</t>
    </r>
    <r>
      <rPr>
        <sz val="9"/>
        <color rgb="FF8C8C8C"/>
        <rFont val="WenQuanYi Zen Hei"/>
        <family val="2"/>
      </rPr>
      <t xml:space="preserve">本は既存事業の売上として計上</t>
    </r>
  </si>
  <si>
    <t xml:space="preserve">　うち 上乗せ案件（前倒し）</t>
  </si>
  <si>
    <r>
      <rPr>
        <sz val="9"/>
        <color rgb="FF8C8C8C"/>
        <rFont val="メイリオ"/>
        <family val="0"/>
        <charset val="1"/>
      </rPr>
      <t xml:space="preserve">M&amp;A</t>
    </r>
    <r>
      <rPr>
        <sz val="9"/>
        <color rgb="FF8C8C8C"/>
        <rFont val="WenQuanYi Zen Hei"/>
        <family val="2"/>
      </rPr>
      <t xml:space="preserve">仲介</t>
    </r>
    <r>
      <rPr>
        <sz val="9"/>
        <color rgb="FF8C8C8C"/>
        <rFont val="メイリオ"/>
        <family val="0"/>
        <charset val="1"/>
      </rPr>
      <t xml:space="preserve">20</t>
    </r>
    <r>
      <rPr>
        <sz val="9"/>
        <color rgb="FF8C8C8C"/>
        <rFont val="WenQuanYi Zen Hei"/>
        <family val="2"/>
      </rPr>
      <t xml:space="preserve">＋コンサルティング料</t>
    </r>
    <r>
      <rPr>
        <sz val="9"/>
        <color rgb="FF8C8C8C"/>
        <rFont val="メイリオ"/>
        <family val="0"/>
        <charset val="1"/>
      </rPr>
      <t xml:space="preserve">10</t>
    </r>
  </si>
  <si>
    <t xml:space="preserve">販管費</t>
  </si>
  <si>
    <t xml:space="preserve">変更なし</t>
  </si>
  <si>
    <t xml:space="preserve">営業利益</t>
  </si>
  <si>
    <t xml:space="preserve">営業外費用</t>
  </si>
  <si>
    <t xml:space="preserve">経常利益</t>
  </si>
  <si>
    <r>
      <rPr>
        <b val="true"/>
        <sz val="11"/>
        <rFont val="WenQuanYi Zen Hei"/>
        <family val="2"/>
      </rPr>
      <t xml:space="preserve">繰越欠損金 残高（</t>
    </r>
    <r>
      <rPr>
        <b val="true"/>
        <sz val="11"/>
        <rFont val="メイリオ"/>
        <family val="0"/>
        <charset val="1"/>
      </rPr>
      <t xml:space="preserve">FY2026</t>
    </r>
    <r>
      <rPr>
        <b val="true"/>
        <sz val="11"/>
        <rFont val="WenQuanYi Zen Hei"/>
        <family val="2"/>
      </rPr>
      <t xml:space="preserve">末）</t>
    </r>
  </si>
  <si>
    <r>
      <rPr>
        <sz val="9"/>
        <color rgb="FF8C8C8C"/>
        <rFont val="メイリオ"/>
        <family val="0"/>
        <charset val="1"/>
      </rPr>
      <t xml:space="preserve">FY2025</t>
    </r>
    <r>
      <rPr>
        <sz val="9"/>
        <color rgb="FF8C8C8C"/>
        <rFont val="WenQuanYi Zen Hei"/>
        <family val="2"/>
      </rPr>
      <t xml:space="preserve">分</t>
    </r>
  </si>
  <si>
    <r>
      <rPr>
        <sz val="9"/>
        <color rgb="FF333333"/>
        <rFont val="メイリオ"/>
        <family val="0"/>
        <charset val="1"/>
      </rPr>
      <t xml:space="preserve">FY2025</t>
    </r>
    <r>
      <rPr>
        <sz val="9"/>
        <color rgb="FF333333"/>
        <rFont val="WenQuanYi Zen Hei"/>
        <family val="2"/>
      </rPr>
      <t xml:space="preserve">の欠損</t>
    </r>
    <r>
      <rPr>
        <sz val="9"/>
        <color rgb="FF333333"/>
        <rFont val="メイリオ"/>
        <family val="0"/>
        <charset val="1"/>
      </rPr>
      <t xml:space="preserve">127.4</t>
    </r>
    <r>
      <rPr>
        <sz val="9"/>
        <color rgb="FF333333"/>
        <rFont val="WenQuanYi Zen Hei"/>
        <family val="2"/>
      </rPr>
      <t xml:space="preserve">百万円＋</t>
    </r>
    <r>
      <rPr>
        <sz val="9"/>
        <color rgb="FF333333"/>
        <rFont val="メイリオ"/>
        <family val="0"/>
        <charset val="1"/>
      </rPr>
      <t xml:space="preserve">FY2026</t>
    </r>
    <r>
      <rPr>
        <sz val="9"/>
        <color rgb="FF333333"/>
        <rFont val="WenQuanYi Zen Hei"/>
        <family val="2"/>
      </rPr>
      <t xml:space="preserve">の経常損失。従来の約</t>
    </r>
    <r>
      <rPr>
        <sz val="9"/>
        <color rgb="FF333333"/>
        <rFont val="メイリオ"/>
        <family val="0"/>
        <charset val="1"/>
      </rPr>
      <t xml:space="preserve">252</t>
    </r>
    <r>
      <rPr>
        <sz val="9"/>
        <color rgb="FF333333"/>
        <rFont val="WenQuanYi Zen Hei"/>
        <family val="2"/>
      </rPr>
      <t xml:space="preserve">百万円から縮小するため、プラン</t>
    </r>
    <r>
      <rPr>
        <sz val="9"/>
        <color rgb="FF333333"/>
        <rFont val="メイリオ"/>
        <family val="0"/>
        <charset val="1"/>
      </rPr>
      <t xml:space="preserve">E</t>
    </r>
    <r>
      <rPr>
        <sz val="9"/>
        <color rgb="FF333333"/>
        <rFont val="WenQuanYi Zen Hei"/>
        <family val="2"/>
      </rPr>
      <t xml:space="preserve">では一部に課税が生じます。</t>
    </r>
  </si>
  <si>
    <r>
      <rPr>
        <b val="true"/>
        <sz val="11"/>
        <color rgb="FFFFFFFF"/>
        <rFont val="WenQuanYi Zen Hei"/>
        <family val="2"/>
      </rPr>
      <t xml:space="preserve">【</t>
    </r>
    <r>
      <rPr>
        <b val="true"/>
        <sz val="11"/>
        <color rgb="FFFFFFFF"/>
        <rFont val="メイリオ"/>
        <family val="0"/>
        <charset val="1"/>
      </rPr>
      <t xml:space="preserve">3</t>
    </r>
    <r>
      <rPr>
        <b val="true"/>
        <sz val="11"/>
        <color rgb="FFFFFFFF"/>
        <rFont val="WenQuanYi Zen Hei"/>
        <family val="2"/>
      </rPr>
      <t xml:space="preserve">】それでも計画未達である理由</t>
    </r>
  </si>
  <si>
    <r>
      <rPr>
        <b val="true"/>
        <sz val="11"/>
        <rFont val="メイリオ"/>
        <family val="0"/>
        <charset val="1"/>
      </rPr>
      <t xml:space="preserve">SBI</t>
    </r>
    <r>
      <rPr>
        <b val="true"/>
        <sz val="11"/>
        <rFont val="WenQuanYi Zen Hei"/>
        <family val="2"/>
      </rPr>
      <t xml:space="preserve">証券との公募ファンドの大幅遅延</t>
    </r>
  </si>
  <si>
    <t xml:space="preserve">粗利ベース</t>
  </si>
  <si>
    <r>
      <rPr>
        <sz val="9"/>
        <color rgb="FF333333"/>
        <rFont val="WenQuanYi Zen Hei"/>
        <family val="2"/>
      </rPr>
      <t xml:space="preserve">★最大の未達要因。計画では売上約</t>
    </r>
    <r>
      <rPr>
        <sz val="9"/>
        <color rgb="FF333333"/>
        <rFont val="メイリオ"/>
        <family val="0"/>
        <charset val="1"/>
      </rPr>
      <t xml:space="preserve">700</t>
    </r>
    <r>
      <rPr>
        <sz val="9"/>
        <color rgb="FF333333"/>
        <rFont val="WenQuanYi Zen Hei"/>
        <family val="2"/>
      </rPr>
      <t xml:space="preserve">百万円・粗利</t>
    </r>
    <r>
      <rPr>
        <sz val="9"/>
        <color rgb="FF333333"/>
        <rFont val="メイリオ"/>
        <family val="0"/>
        <charset val="1"/>
      </rPr>
      <t xml:space="preserve">200</t>
    </r>
    <r>
      <rPr>
        <sz val="9"/>
        <color rgb="FF333333"/>
        <rFont val="WenQuanYi Zen Hei"/>
        <family val="2"/>
      </rPr>
      <t xml:space="preserve">百万円超を見込んでいたが、審査・制度対応の長期化により当期中の組成に至らず。</t>
    </r>
  </si>
  <si>
    <r>
      <rPr>
        <sz val="11"/>
        <rFont val="WenQuanYi Zen Hei"/>
        <family val="2"/>
      </rPr>
      <t xml:space="preserve">不採算飲食</t>
    </r>
    <r>
      <rPr>
        <sz val="11"/>
        <rFont val="メイリオ"/>
        <family val="0"/>
        <charset val="1"/>
      </rPr>
      <t xml:space="preserve">3</t>
    </r>
    <r>
      <rPr>
        <sz val="11"/>
        <rFont val="WenQuanYi Zen Hei"/>
        <family val="2"/>
      </rPr>
      <t xml:space="preserve">店舗の営業赤字</t>
    </r>
  </si>
  <si>
    <r>
      <rPr>
        <sz val="9"/>
        <color rgb="FF333333"/>
        <rFont val="WenQuanYi Zen Hei"/>
        <family val="2"/>
      </rPr>
      <t xml:space="preserve">★店舗別の確定値をご入力ください。撤退により消滅した固定費は年</t>
    </r>
    <r>
      <rPr>
        <sz val="9"/>
        <color rgb="FF333333"/>
        <rFont val="メイリオ"/>
        <family val="0"/>
        <charset val="1"/>
      </rPr>
      <t xml:space="preserve">102.9</t>
    </r>
    <r>
      <rPr>
        <sz val="9"/>
        <color rgb="FF333333"/>
        <rFont val="WenQuanYi Zen Hei"/>
        <family val="2"/>
      </rPr>
      <t xml:space="preserve">百万円（月</t>
    </r>
    <r>
      <rPr>
        <sz val="9"/>
        <color rgb="FF333333"/>
        <rFont val="メイリオ"/>
        <family val="0"/>
        <charset val="1"/>
      </rPr>
      <t xml:space="preserve">8,577,274</t>
    </r>
    <r>
      <rPr>
        <sz val="9"/>
        <color rgb="FF333333"/>
        <rFont val="WenQuanYi Zen Hei"/>
        <family val="2"/>
      </rPr>
      <t xml:space="preserve">円</t>
    </r>
    <r>
      <rPr>
        <sz val="9"/>
        <color rgb="FF333333"/>
        <rFont val="メイリオ"/>
        <family val="0"/>
        <charset val="1"/>
      </rPr>
      <t xml:space="preserve">×12</t>
    </r>
    <r>
      <rPr>
        <sz val="9"/>
        <color rgb="FF333333"/>
        <rFont val="WenQuanYi Zen Hei"/>
        <family val="2"/>
      </rPr>
      <t xml:space="preserve">）で、こちらは勘定科目レベルで検証済み。</t>
    </r>
  </si>
  <si>
    <t xml:space="preserve">これらが計画どおりであった場合の営業利益</t>
  </si>
  <si>
    <t xml:space="preserve">私募が間に合った今も、公募ファンドの遅延という最大の未達要因は解消していません。</t>
  </si>
  <si>
    <r>
      <rPr>
        <b val="true"/>
        <sz val="11"/>
        <color rgb="FFFFFFFF"/>
        <rFont val="WenQuanYi Zen Hei"/>
        <family val="2"/>
      </rPr>
      <t xml:space="preserve">【</t>
    </r>
    <r>
      <rPr>
        <b val="true"/>
        <sz val="11"/>
        <color rgb="FFFFFFFF"/>
        <rFont val="メイリオ"/>
        <family val="0"/>
        <charset val="1"/>
      </rPr>
      <t xml:space="preserve">4</t>
    </r>
    <r>
      <rPr>
        <b val="true"/>
        <sz val="11"/>
        <color rgb="FFFFFFFF"/>
        <rFont val="WenQuanYi Zen Hei"/>
        <family val="2"/>
      </rPr>
      <t xml:space="preserve">】</t>
    </r>
    <r>
      <rPr>
        <b val="true"/>
        <sz val="11"/>
        <color rgb="FFFFFFFF"/>
        <rFont val="メイリオ"/>
        <family val="0"/>
        <charset val="1"/>
      </rPr>
      <t xml:space="preserve">FY2027</t>
    </r>
    <r>
      <rPr>
        <b val="true"/>
        <sz val="11"/>
        <color rgb="FFFFFFFF"/>
        <rFont val="WenQuanYi Zen Hei"/>
        <family val="2"/>
      </rPr>
      <t xml:space="preserve">への影響</t>
    </r>
  </si>
  <si>
    <t xml:space="preserve">上乗せ案件の減少</t>
  </si>
  <si>
    <r>
      <rPr>
        <sz val="11"/>
        <rFont val="メイリオ"/>
        <family val="0"/>
        <charset val="1"/>
      </rPr>
      <t xml:space="preserve">M&amp;A</t>
    </r>
    <r>
      <rPr>
        <sz val="11"/>
        <rFont val="WenQuanYi Zen Hei"/>
        <family val="2"/>
      </rPr>
      <t xml:space="preserve">仲介</t>
    </r>
    <r>
      <rPr>
        <sz val="11"/>
        <rFont val="メイリオ"/>
        <family val="0"/>
        <charset val="1"/>
      </rPr>
      <t xml:space="preserve">20.0</t>
    </r>
    <r>
      <rPr>
        <sz val="11"/>
        <rFont val="WenQuanYi Zen Hei"/>
        <family val="2"/>
      </rPr>
      <t xml:space="preserve">百万円とコンサルティング料</t>
    </r>
    <r>
      <rPr>
        <sz val="11"/>
        <rFont val="メイリオ"/>
        <family val="0"/>
        <charset val="1"/>
      </rPr>
      <t xml:space="preserve">10.0</t>
    </r>
    <r>
      <rPr>
        <sz val="11"/>
        <rFont val="WenQuanYi Zen Hei"/>
        <family val="2"/>
      </rPr>
      <t xml:space="preserve">百万円が</t>
    </r>
    <r>
      <rPr>
        <sz val="11"/>
        <rFont val="メイリオ"/>
        <family val="0"/>
        <charset val="1"/>
      </rPr>
      <t xml:space="preserve">FY2026</t>
    </r>
    <r>
      <rPr>
        <sz val="11"/>
        <rFont val="WenQuanYi Zen Hei"/>
        <family val="2"/>
      </rPr>
      <t xml:space="preserve">に前倒し計上されるため、</t>
    </r>
    <r>
      <rPr>
        <sz val="11"/>
        <rFont val="メイリオ"/>
        <family val="0"/>
        <charset val="1"/>
      </rPr>
      <t xml:space="preserve">FY2027</t>
    </r>
    <r>
      <rPr>
        <sz val="11"/>
        <rFont val="WenQuanYi Zen Hei"/>
        <family val="2"/>
      </rPr>
      <t xml:space="preserve">の上乗せ案件は</t>
    </r>
    <r>
      <rPr>
        <sz val="11"/>
        <rFont val="メイリオ"/>
        <family val="0"/>
        <charset val="1"/>
      </rPr>
      <t xml:space="preserve">132.5</t>
    </r>
    <r>
      <rPr>
        <sz val="11"/>
        <rFont val="WenQuanYi Zen Hei"/>
        <family val="2"/>
      </rPr>
      <t xml:space="preserve">百万円→</t>
    </r>
    <r>
      <rPr>
        <sz val="11"/>
        <rFont val="メイリオ"/>
        <family val="0"/>
        <charset val="1"/>
      </rPr>
      <t xml:space="preserve">102.5</t>
    </r>
    <r>
      <rPr>
        <sz val="11"/>
        <rFont val="WenQuanYi Zen Hei"/>
        <family val="2"/>
      </rPr>
      <t xml:space="preserve">百万円に減少します。</t>
    </r>
  </si>
  <si>
    <t xml:space="preserve">売上の一過性</t>
  </si>
  <si>
    <r>
      <rPr>
        <sz val="11"/>
        <rFont val="メイリオ"/>
        <family val="0"/>
        <charset val="1"/>
      </rPr>
      <t xml:space="preserve">FY2026</t>
    </r>
    <r>
      <rPr>
        <sz val="11"/>
        <rFont val="WenQuanYi Zen Hei"/>
        <family val="2"/>
      </rPr>
      <t xml:space="preserve">の売上</t>
    </r>
    <r>
      <rPr>
        <sz val="11"/>
        <rFont val="メイリオ"/>
        <family val="0"/>
        <charset val="1"/>
      </rPr>
      <t xml:space="preserve">1,338.2</t>
    </r>
    <r>
      <rPr>
        <sz val="11"/>
        <rFont val="WenQuanYi Zen Hei"/>
        <family val="2"/>
      </rPr>
      <t xml:space="preserve">百万円のうち、私募ファンド</t>
    </r>
    <r>
      <rPr>
        <sz val="11"/>
        <rFont val="メイリオ"/>
        <family val="0"/>
        <charset val="1"/>
      </rPr>
      <t xml:space="preserve">600.0</t>
    </r>
    <r>
      <rPr>
        <sz val="11"/>
        <rFont val="WenQuanYi Zen Hei"/>
        <family val="2"/>
      </rPr>
      <t xml:space="preserve">百万円と前倒し</t>
    </r>
    <r>
      <rPr>
        <sz val="11"/>
        <rFont val="メイリオ"/>
        <family val="0"/>
        <charset val="1"/>
      </rPr>
      <t xml:space="preserve">30.0</t>
    </r>
    <r>
      <rPr>
        <sz val="11"/>
        <rFont val="WenQuanYi Zen Hei"/>
        <family val="2"/>
      </rPr>
      <t xml:space="preserve">百万円は一過性です。</t>
    </r>
    <r>
      <rPr>
        <sz val="11"/>
        <rFont val="メイリオ"/>
        <family val="0"/>
        <charset val="1"/>
      </rPr>
      <t xml:space="preserve">FY2027</t>
    </r>
    <r>
      <rPr>
        <sz val="11"/>
        <rFont val="WenQuanYi Zen Hei"/>
        <family val="2"/>
      </rPr>
      <t xml:space="preserve">の基準となる</t>
    </r>
    <r>
      <rPr>
        <sz val="11"/>
        <rFont val="メイリオ"/>
        <family val="0"/>
        <charset val="1"/>
      </rPr>
      <t xml:space="preserve">2</t>
    </r>
    <r>
      <rPr>
        <sz val="11"/>
        <rFont val="WenQuanYi Zen Hei"/>
        <family val="2"/>
      </rPr>
      <t xml:space="preserve">期平均は、これらを除いた実力値</t>
    </r>
    <r>
      <rPr>
        <sz val="11"/>
        <rFont val="メイリオ"/>
        <family val="0"/>
        <charset val="1"/>
      </rPr>
      <t xml:space="preserve">708.2</t>
    </r>
    <r>
      <rPr>
        <sz val="11"/>
        <rFont val="WenQuanYi Zen Hei"/>
        <family val="2"/>
      </rPr>
      <t xml:space="preserve">百万円で算定しています。</t>
    </r>
  </si>
  <si>
    <r>
      <rPr>
        <b val="true"/>
        <sz val="11"/>
        <rFont val="メイリオ"/>
        <family val="0"/>
        <charset val="1"/>
      </rPr>
      <t xml:space="preserve">2</t>
    </r>
    <r>
      <rPr>
        <b val="true"/>
        <sz val="11"/>
        <rFont val="WenQuanYi Zen Hei"/>
        <family val="2"/>
      </rPr>
      <t xml:space="preserve">期平均は変更なし</t>
    </r>
  </si>
  <si>
    <r>
      <rPr>
        <sz val="11"/>
        <rFont val="WenQuanYi Zen Hei"/>
        <family val="2"/>
      </rPr>
      <t xml:space="preserve">（</t>
    </r>
    <r>
      <rPr>
        <sz val="11"/>
        <rFont val="メイリオ"/>
        <family val="0"/>
        <charset val="1"/>
      </rPr>
      <t xml:space="preserve">FY2025 752.9</t>
    </r>
    <r>
      <rPr>
        <sz val="11"/>
        <rFont val="WenQuanYi Zen Hei"/>
        <family val="2"/>
      </rPr>
      <t xml:space="preserve">＋</t>
    </r>
    <r>
      <rPr>
        <sz val="11"/>
        <rFont val="メイリオ"/>
        <family val="0"/>
        <charset val="1"/>
      </rPr>
      <t xml:space="preserve">FY2026</t>
    </r>
    <r>
      <rPr>
        <sz val="11"/>
        <rFont val="WenQuanYi Zen Hei"/>
        <family val="2"/>
      </rPr>
      <t xml:space="preserve">実力値 </t>
    </r>
    <r>
      <rPr>
        <sz val="11"/>
        <rFont val="メイリオ"/>
        <family val="0"/>
        <charset val="1"/>
      </rPr>
      <t xml:space="preserve">708.2</t>
    </r>
    <r>
      <rPr>
        <sz val="11"/>
        <rFont val="WenQuanYi Zen Hei"/>
        <family val="2"/>
      </rPr>
      <t xml:space="preserve">）</t>
    </r>
    <r>
      <rPr>
        <sz val="11"/>
        <rFont val="メイリオ"/>
        <family val="0"/>
        <charset val="1"/>
      </rPr>
      <t xml:space="preserve">÷2</t>
    </r>
    <r>
      <rPr>
        <sz val="11"/>
        <rFont val="WenQuanYi Zen Hei"/>
        <family val="2"/>
      </rPr>
      <t xml:space="preserve">＝</t>
    </r>
    <r>
      <rPr>
        <sz val="11"/>
        <rFont val="メイリオ"/>
        <family val="0"/>
        <charset val="1"/>
      </rPr>
      <t xml:space="preserve">730.5</t>
    </r>
    <r>
      <rPr>
        <sz val="11"/>
        <rFont val="WenQuanYi Zen Hei"/>
        <family val="2"/>
      </rPr>
      <t xml:space="preserve">百万円。プラン</t>
    </r>
    <r>
      <rPr>
        <sz val="11"/>
        <rFont val="メイリオ"/>
        <family val="0"/>
        <charset val="1"/>
      </rPr>
      <t xml:space="preserve">D</t>
    </r>
    <r>
      <rPr>
        <sz val="11"/>
        <rFont val="WenQuanYi Zen Hei"/>
        <family val="2"/>
      </rPr>
      <t xml:space="preserve">・</t>
    </r>
    <r>
      <rPr>
        <sz val="11"/>
        <rFont val="メイリオ"/>
        <family val="0"/>
        <charset val="1"/>
      </rPr>
      <t xml:space="preserve">E</t>
    </r>
    <r>
      <rPr>
        <sz val="11"/>
        <rFont val="WenQuanYi Zen Hei"/>
        <family val="2"/>
      </rPr>
      <t xml:space="preserve">の既存事業売上のベースは変わりません。</t>
    </r>
  </si>
  <si>
    <t xml:space="preserve">消費税の増加</t>
  </si>
  <si>
    <r>
      <rPr>
        <sz val="11"/>
        <rFont val="WenQuanYi Zen Hei"/>
        <family val="2"/>
      </rPr>
      <t xml:space="preserve">課税売上高が</t>
    </r>
    <r>
      <rPr>
        <sz val="11"/>
        <rFont val="メイリオ"/>
        <family val="0"/>
        <charset val="1"/>
      </rPr>
      <t xml:space="preserve">1,338.2</t>
    </r>
    <r>
      <rPr>
        <sz val="11"/>
        <rFont val="WenQuanYi Zen Hei"/>
        <family val="2"/>
      </rPr>
      <t xml:space="preserve">百万円に増えるため、</t>
    </r>
    <r>
      <rPr>
        <sz val="11"/>
        <rFont val="メイリオ"/>
        <family val="0"/>
        <charset val="1"/>
      </rPr>
      <t xml:space="preserve">FY2026</t>
    </r>
    <r>
      <rPr>
        <sz val="11"/>
        <rFont val="WenQuanYi Zen Hei"/>
        <family val="2"/>
      </rPr>
      <t xml:space="preserve">分の確定納付額が増加します。</t>
    </r>
    <r>
      <rPr>
        <sz val="11"/>
        <rFont val="メイリオ"/>
        <family val="0"/>
        <charset val="1"/>
      </rPr>
      <t xml:space="preserve">FY2027</t>
    </r>
    <r>
      <rPr>
        <sz val="11"/>
        <rFont val="WenQuanYi Zen Hei"/>
        <family val="2"/>
      </rPr>
      <t xml:space="preserve">の資金繰りに影響するため、②前提【</t>
    </r>
    <r>
      <rPr>
        <sz val="11"/>
        <rFont val="メイリオ"/>
        <family val="0"/>
        <charset val="1"/>
      </rPr>
      <t xml:space="preserve">6</t>
    </r>
    <r>
      <rPr>
        <sz val="11"/>
        <rFont val="WenQuanYi Zen Hei"/>
        <family val="2"/>
      </rPr>
      <t xml:space="preserve">】で私募向け仕入の扱いを入力してください。</t>
    </r>
  </si>
  <si>
    <r>
      <rPr>
        <b val="true"/>
        <sz val="15"/>
        <rFont val="メイリオ"/>
        <family val="0"/>
        <charset val="1"/>
      </rPr>
      <t xml:space="preserve">FY2027</t>
    </r>
    <r>
      <rPr>
        <b val="true"/>
        <sz val="15"/>
        <rFont val="WenQuanYi Zen Hei"/>
        <family val="2"/>
      </rPr>
      <t xml:space="preserve">（</t>
    </r>
    <r>
      <rPr>
        <b val="true"/>
        <sz val="15"/>
        <rFont val="メイリオ"/>
        <family val="0"/>
        <charset val="1"/>
      </rPr>
      <t xml:space="preserve">2027</t>
    </r>
    <r>
      <rPr>
        <b val="true"/>
        <sz val="15"/>
        <rFont val="WenQuanYi Zen Hei"/>
        <family val="2"/>
      </rPr>
      <t xml:space="preserve">年</t>
    </r>
    <r>
      <rPr>
        <b val="true"/>
        <sz val="15"/>
        <rFont val="メイリオ"/>
        <family val="0"/>
        <charset val="1"/>
      </rPr>
      <t xml:space="preserve">9</t>
    </r>
    <r>
      <rPr>
        <b val="true"/>
        <sz val="15"/>
        <rFont val="WenQuanYi Zen Hei"/>
        <family val="2"/>
      </rPr>
      <t xml:space="preserve">月期）利益予測　プラン</t>
    </r>
    <r>
      <rPr>
        <b val="true"/>
        <sz val="15"/>
        <rFont val="メイリオ"/>
        <family val="0"/>
        <charset val="1"/>
      </rPr>
      <t xml:space="preserve">D</t>
    </r>
    <r>
      <rPr>
        <b val="true"/>
        <sz val="15"/>
        <rFont val="WenQuanYi Zen Hei"/>
        <family val="2"/>
      </rPr>
      <t xml:space="preserve">（メイン）／プラン</t>
    </r>
    <r>
      <rPr>
        <b val="true"/>
        <sz val="15"/>
        <rFont val="メイリオ"/>
        <family val="0"/>
        <charset val="1"/>
      </rPr>
      <t xml:space="preserve">E</t>
    </r>
    <r>
      <rPr>
        <b val="true"/>
        <sz val="15"/>
        <rFont val="WenQuanYi Zen Hei"/>
        <family val="2"/>
      </rPr>
      <t xml:space="preserve">（上振れ）</t>
    </r>
  </si>
  <si>
    <r>
      <rPr>
        <sz val="10"/>
        <color rgb="FF8C8C8C"/>
        <rFont val="メイリオ"/>
        <family val="0"/>
        <charset val="1"/>
      </rPr>
      <t xml:space="preserve">FY2026</t>
    </r>
    <r>
      <rPr>
        <sz val="10"/>
        <color rgb="FF8C8C8C"/>
        <rFont val="WenQuanYi Zen Hei"/>
        <family val="2"/>
      </rPr>
      <t xml:space="preserve">は</t>
    </r>
    <r>
      <rPr>
        <sz val="10"/>
        <color rgb="FF8C8C8C"/>
        <rFont val="メイリオ"/>
        <family val="0"/>
        <charset val="1"/>
      </rPr>
      <t xml:space="preserve">2026</t>
    </r>
    <r>
      <rPr>
        <sz val="10"/>
        <color rgb="FF8C8C8C"/>
        <rFont val="WenQuanYi Zen Hei"/>
        <family val="2"/>
      </rPr>
      <t xml:space="preserve">年</t>
    </r>
    <r>
      <rPr>
        <sz val="10"/>
        <color rgb="FF8C8C8C"/>
        <rFont val="メイリオ"/>
        <family val="0"/>
        <charset val="1"/>
      </rPr>
      <t xml:space="preserve">9</t>
    </r>
    <r>
      <rPr>
        <sz val="10"/>
        <color rgb="FF8C8C8C"/>
        <rFont val="WenQuanYi Zen Hei"/>
        <family val="2"/>
      </rPr>
      <t xml:space="preserve">月末の私募ファンド組成を反映した修正後の着地見込み。</t>
    </r>
    <r>
      <rPr>
        <sz val="10"/>
        <color rgb="FF8C8C8C"/>
        <rFont val="メイリオ"/>
        <family val="0"/>
        <charset val="1"/>
      </rPr>
      <t xml:space="preserve">FY2027</t>
    </r>
    <r>
      <rPr>
        <sz val="10"/>
        <color rgb="FF8C8C8C"/>
        <rFont val="WenQuanYi Zen Hei"/>
        <family val="2"/>
      </rPr>
      <t xml:space="preserve">は再編後の実力値（</t>
    </r>
    <r>
      <rPr>
        <sz val="10"/>
        <color rgb="FF8C8C8C"/>
        <rFont val="メイリオ"/>
        <family val="0"/>
        <charset val="1"/>
      </rPr>
      <t xml:space="preserve">2026/04-06</t>
    </r>
    <r>
      <rPr>
        <sz val="10"/>
        <color rgb="FF8C8C8C"/>
        <rFont val="WenQuanYi Zen Hei"/>
        <family val="2"/>
      </rPr>
      <t xml:space="preserve">実績）からの積み上げ</t>
    </r>
  </si>
  <si>
    <r>
      <rPr>
        <sz val="9"/>
        <color rgb="FF8C8C8C"/>
        <rFont val="WenQuanYi Zen Hei"/>
        <family val="2"/>
      </rPr>
      <t xml:space="preserve">単位：円（税別）　出典：事業計画</t>
    </r>
    <r>
      <rPr>
        <sz val="9"/>
        <color rgb="FF8C8C8C"/>
        <rFont val="メイリオ"/>
        <family val="0"/>
        <charset val="1"/>
      </rPr>
      <t xml:space="preserve">202608</t>
    </r>
    <r>
      <rPr>
        <sz val="9"/>
        <color rgb="FF8C8C8C"/>
        <rFont val="WenQuanYi Zen Hei"/>
        <family val="2"/>
      </rPr>
      <t xml:space="preserve">（銀行様）月次／決算報告書 第</t>
    </r>
    <r>
      <rPr>
        <sz val="9"/>
        <color rgb="FF8C8C8C"/>
        <rFont val="メイリオ"/>
        <family val="0"/>
        <charset val="1"/>
      </rPr>
      <t xml:space="preserve">54</t>
    </r>
    <r>
      <rPr>
        <sz val="9"/>
        <color rgb="FF8C8C8C"/>
        <rFont val="WenQuanYi Zen Hei"/>
        <family val="2"/>
      </rPr>
      <t xml:space="preserve">期</t>
    </r>
  </si>
  <si>
    <r>
      <rPr>
        <b val="true"/>
        <sz val="11"/>
        <color rgb="FFFFFFFF"/>
        <rFont val="メイリオ"/>
        <family val="0"/>
        <charset val="1"/>
      </rPr>
      <t xml:space="preserve">FY2026 </t>
    </r>
    <r>
      <rPr>
        <b val="true"/>
        <sz val="11"/>
        <color rgb="FFFFFFFF"/>
        <rFont val="WenQuanYi Zen Hei"/>
        <family val="2"/>
      </rPr>
      <t xml:space="preserve">見込</t>
    </r>
  </si>
  <si>
    <t xml:space="preserve">横ばい実力値
（参考）</t>
  </si>
  <si>
    <r>
      <rPr>
        <b val="true"/>
        <sz val="11"/>
        <color rgb="FFFFFFFF"/>
        <rFont val="WenQuanYi Zen Hei"/>
        <family val="2"/>
      </rPr>
      <t xml:space="preserve">プラン</t>
    </r>
    <r>
      <rPr>
        <b val="true"/>
        <sz val="11"/>
        <color rgb="FFFFFFFF"/>
        <rFont val="メイリオ"/>
        <family val="0"/>
        <charset val="1"/>
      </rPr>
      <t xml:space="preserve">D
</t>
    </r>
    <r>
      <rPr>
        <b val="true"/>
        <sz val="11"/>
        <color rgb="FFFFFFFF"/>
        <rFont val="WenQuanYi Zen Hei"/>
        <family val="2"/>
      </rPr>
      <t xml:space="preserve">メインシナリオ</t>
    </r>
  </si>
  <si>
    <r>
      <rPr>
        <b val="true"/>
        <sz val="11"/>
        <color rgb="FFFFFFFF"/>
        <rFont val="WenQuanYi Zen Hei"/>
        <family val="2"/>
      </rPr>
      <t xml:space="preserve">プラン</t>
    </r>
    <r>
      <rPr>
        <b val="true"/>
        <sz val="11"/>
        <color rgb="FFFFFFFF"/>
        <rFont val="メイリオ"/>
        <family val="0"/>
        <charset val="1"/>
      </rPr>
      <t xml:space="preserve">E
</t>
    </r>
    <r>
      <rPr>
        <b val="true"/>
        <sz val="11"/>
        <color rgb="FFFFFFFF"/>
        <rFont val="WenQuanYi Zen Hei"/>
        <family val="2"/>
      </rPr>
      <t xml:space="preserve">上振れシナリオ</t>
    </r>
  </si>
  <si>
    <t xml:space="preserve">コメント</t>
  </si>
  <si>
    <t xml:space="preserve">既存事業 売上</t>
  </si>
  <si>
    <r>
      <rPr>
        <sz val="9"/>
        <color rgb="FF8C8C8C"/>
        <rFont val="メイリオ"/>
        <family val="0"/>
        <charset val="1"/>
      </rPr>
      <t xml:space="preserve">FY2026</t>
    </r>
    <r>
      <rPr>
        <sz val="9"/>
        <color rgb="FF8C8C8C"/>
        <rFont val="WenQuanYi Zen Hei"/>
        <family val="2"/>
      </rPr>
      <t xml:space="preserve">は私募</t>
    </r>
    <r>
      <rPr>
        <sz val="9"/>
        <color rgb="FF8C8C8C"/>
        <rFont val="メイリオ"/>
        <family val="0"/>
        <charset val="1"/>
      </rPr>
      <t xml:space="preserve">600</t>
    </r>
    <r>
      <rPr>
        <sz val="9"/>
        <color rgb="FF8C8C8C"/>
        <rFont val="WenQuanYi Zen Hei"/>
        <family val="2"/>
      </rPr>
      <t xml:space="preserve">百万円を含む。</t>
    </r>
    <r>
      <rPr>
        <sz val="9"/>
        <color rgb="FF8C8C8C"/>
        <rFont val="メイリオ"/>
        <family val="0"/>
        <charset val="1"/>
      </rPr>
      <t xml:space="preserve">D</t>
    </r>
    <r>
      <rPr>
        <sz val="9"/>
        <color rgb="FF8C8C8C"/>
        <rFont val="WenQuanYi Zen Hei"/>
        <family val="2"/>
      </rPr>
      <t xml:space="preserve">は前期・今期の売上平均（私募除外の実力値ベース）</t>
    </r>
  </si>
  <si>
    <t xml:space="preserve">売上総利益（既存事業）</t>
  </si>
  <si>
    <r>
      <rPr>
        <sz val="9"/>
        <color rgb="FF8C8C8C"/>
        <rFont val="WenQuanYi Zen Hei"/>
        <family val="2"/>
      </rPr>
      <t xml:space="preserve">横ばいからの差額売上の粗利率は保守的に</t>
    </r>
    <r>
      <rPr>
        <sz val="9"/>
        <color rgb="FF8C8C8C"/>
        <rFont val="メイリオ"/>
        <family val="0"/>
        <charset val="1"/>
      </rPr>
      <t xml:space="preserve">30%</t>
    </r>
  </si>
  <si>
    <t xml:space="preserve">＋上乗せ案件（営業収益）</t>
  </si>
  <si>
    <r>
      <rPr>
        <sz val="9"/>
        <color rgb="FF8C8C8C"/>
        <rFont val="メイリオ"/>
        <family val="0"/>
        <charset val="1"/>
      </rPr>
      <t xml:space="preserve">FY2026</t>
    </r>
    <r>
      <rPr>
        <sz val="9"/>
        <color rgb="FF8C8C8C"/>
        <rFont val="WenQuanYi Zen Hei"/>
        <family val="2"/>
      </rPr>
      <t xml:space="preserve">は前倒しの</t>
    </r>
    <r>
      <rPr>
        <sz val="9"/>
        <color rgb="FF8C8C8C"/>
        <rFont val="メイリオ"/>
        <family val="0"/>
        <charset val="1"/>
      </rPr>
      <t xml:space="preserve">M&amp;A</t>
    </r>
    <r>
      <rPr>
        <sz val="9"/>
        <color rgb="FF8C8C8C"/>
        <rFont val="WenQuanYi Zen Hei"/>
        <family val="2"/>
      </rPr>
      <t xml:space="preserve">仲介</t>
    </r>
    <r>
      <rPr>
        <sz val="9"/>
        <color rgb="FF8C8C8C"/>
        <rFont val="メイリオ"/>
        <family val="0"/>
        <charset val="1"/>
      </rPr>
      <t xml:space="preserve">20</t>
    </r>
    <r>
      <rPr>
        <sz val="9"/>
        <color rgb="FF8C8C8C"/>
        <rFont val="WenQuanYi Zen Hei"/>
        <family val="2"/>
      </rPr>
      <t xml:space="preserve">＋コンサル料</t>
    </r>
    <r>
      <rPr>
        <sz val="9"/>
        <color rgb="FF8C8C8C"/>
        <rFont val="メイリオ"/>
        <family val="0"/>
        <charset val="1"/>
      </rPr>
      <t xml:space="preserve">10</t>
    </r>
    <r>
      <rPr>
        <sz val="9"/>
        <color rgb="FF8C8C8C"/>
        <rFont val="WenQuanYi Zen Hei"/>
        <family val="2"/>
      </rPr>
      <t xml:space="preserve">。</t>
    </r>
    <r>
      <rPr>
        <sz val="9"/>
        <color rgb="FF8C8C8C"/>
        <rFont val="メイリオ"/>
        <family val="0"/>
        <charset val="1"/>
      </rPr>
      <t xml:space="preserve">FY2027</t>
    </r>
    <r>
      <rPr>
        <sz val="9"/>
        <color rgb="FF8C8C8C"/>
        <rFont val="WenQuanYi Zen Hei"/>
        <family val="2"/>
      </rPr>
      <t xml:space="preserve">は</t>
    </r>
    <r>
      <rPr>
        <sz val="9"/>
        <color rgb="FF8C8C8C"/>
        <rFont val="メイリオ"/>
        <family val="0"/>
        <charset val="1"/>
      </rPr>
      <t xml:space="preserve">102.5</t>
    </r>
  </si>
  <si>
    <t xml:space="preserve">売上高（上乗せ含む）</t>
  </si>
  <si>
    <r>
      <rPr>
        <sz val="9"/>
        <color rgb="FF8C8C8C"/>
        <rFont val="メイリオ"/>
        <family val="0"/>
        <charset val="1"/>
      </rPr>
      <t xml:space="preserve">D</t>
    </r>
    <r>
      <rPr>
        <sz val="9"/>
        <color rgb="FF8C8C8C"/>
        <rFont val="WenQuanYi Zen Hei"/>
        <family val="2"/>
      </rPr>
      <t xml:space="preserve">＝</t>
    </r>
    <r>
      <rPr>
        <sz val="9"/>
        <color rgb="FF8C8C8C"/>
        <rFont val="メイリオ"/>
        <family val="0"/>
        <charset val="1"/>
      </rPr>
      <t xml:space="preserve">833.0</t>
    </r>
    <r>
      <rPr>
        <sz val="9"/>
        <color rgb="FF8C8C8C"/>
        <rFont val="WenQuanYi Zen Hei"/>
        <family val="2"/>
      </rPr>
      <t xml:space="preserve">百万円、</t>
    </r>
    <r>
      <rPr>
        <sz val="9"/>
        <color rgb="FF8C8C8C"/>
        <rFont val="メイリオ"/>
        <family val="0"/>
        <charset val="1"/>
      </rPr>
      <t xml:space="preserve">E</t>
    </r>
    <r>
      <rPr>
        <sz val="9"/>
        <color rgb="FF8C8C8C"/>
        <rFont val="WenQuanYi Zen Hei"/>
        <family val="2"/>
      </rPr>
      <t xml:space="preserve">＝</t>
    </r>
    <r>
      <rPr>
        <sz val="9"/>
        <color rgb="FF8C8C8C"/>
        <rFont val="メイリオ"/>
        <family val="0"/>
        <charset val="1"/>
      </rPr>
      <t xml:space="preserve">1,133.0</t>
    </r>
    <r>
      <rPr>
        <sz val="9"/>
        <color rgb="FF8C8C8C"/>
        <rFont val="WenQuanYi Zen Hei"/>
        <family val="2"/>
      </rPr>
      <t xml:space="preserve">百万円</t>
    </r>
  </si>
  <si>
    <t xml:space="preserve">売上総利益 合計</t>
  </si>
  <si>
    <r>
      <rPr>
        <sz val="9"/>
        <color rgb="FF8C8C8C"/>
        <rFont val="メイリオ"/>
        <family val="0"/>
        <charset val="1"/>
      </rPr>
      <t xml:space="preserve">2026/04-06</t>
    </r>
    <r>
      <rPr>
        <sz val="9"/>
        <color rgb="FF8C8C8C"/>
        <rFont val="WenQuanYi Zen Hei"/>
        <family val="2"/>
      </rPr>
      <t xml:space="preserve">実績の月平均</t>
    </r>
    <r>
      <rPr>
        <sz val="9"/>
        <color rgb="FF8C8C8C"/>
        <rFont val="メイリオ"/>
        <family val="0"/>
        <charset val="1"/>
      </rPr>
      <t xml:space="preserve">×12</t>
    </r>
    <r>
      <rPr>
        <sz val="9"/>
        <color rgb="FF8C8C8C"/>
        <rFont val="WenQuanYi Zen Hei"/>
        <family val="2"/>
      </rPr>
      <t xml:space="preserve">。</t>
    </r>
    <r>
      <rPr>
        <sz val="9"/>
        <color rgb="FF8C8C8C"/>
        <rFont val="メイリオ"/>
        <family val="0"/>
        <charset val="1"/>
      </rPr>
      <t xml:space="preserve">E</t>
    </r>
    <r>
      <rPr>
        <sz val="9"/>
        <color rgb="FF8C8C8C"/>
        <rFont val="WenQuanYi Zen Hei"/>
        <family val="2"/>
      </rPr>
      <t xml:space="preserve">も</t>
    </r>
    <r>
      <rPr>
        <sz val="9"/>
        <color rgb="FF8C8C8C"/>
        <rFont val="メイリオ"/>
        <family val="0"/>
        <charset val="1"/>
      </rPr>
      <t xml:space="preserve">D</t>
    </r>
    <r>
      <rPr>
        <sz val="9"/>
        <color rgb="FF8C8C8C"/>
        <rFont val="WenQuanYi Zen Hei"/>
        <family val="2"/>
      </rPr>
      <t xml:space="preserve">と同額で据置き</t>
    </r>
  </si>
  <si>
    <t xml:space="preserve">営業外収益</t>
  </si>
  <si>
    <r>
      <rPr>
        <sz val="9"/>
        <color rgb="FF8C8C8C"/>
        <rFont val="WenQuanYi Zen Hei"/>
        <family val="2"/>
      </rPr>
      <t xml:space="preserve">クルーザー</t>
    </r>
    <r>
      <rPr>
        <sz val="9"/>
        <color rgb="FF8C8C8C"/>
        <rFont val="メイリオ"/>
        <family val="0"/>
        <charset val="1"/>
      </rPr>
      <t xml:space="preserve">×</t>
    </r>
    <r>
      <rPr>
        <sz val="9"/>
        <color rgb="FF8C8C8C"/>
        <rFont val="WenQuanYi Zen Hei"/>
        <family val="2"/>
      </rPr>
      <t xml:space="preserve">ワイン事業は営業収益に計上</t>
    </r>
  </si>
  <si>
    <t xml:space="preserve">法人税等</t>
  </si>
  <si>
    <r>
      <rPr>
        <sz val="9"/>
        <color rgb="FF8C8C8C"/>
        <rFont val="WenQuanYi Zen Hei"/>
        <family val="2"/>
      </rPr>
      <t xml:space="preserve">繰越欠損金（</t>
    </r>
    <r>
      <rPr>
        <sz val="9"/>
        <color rgb="FF8C8C8C"/>
        <rFont val="メイリオ"/>
        <family val="0"/>
        <charset val="1"/>
      </rPr>
      <t xml:space="preserve">FY2026</t>
    </r>
    <r>
      <rPr>
        <sz val="9"/>
        <color rgb="FF8C8C8C"/>
        <rFont val="WenQuanYi Zen Hei"/>
        <family val="2"/>
      </rPr>
      <t xml:space="preserve">末残高）を超える所得に課税</t>
    </r>
  </si>
  <si>
    <t xml:space="preserve">当期純利益</t>
  </si>
  <si>
    <t xml:space="preserve">【横ばい実力値からの差額売上】</t>
  </si>
  <si>
    <t xml:space="preserve">差額売上</t>
  </si>
  <si>
    <r>
      <rPr>
        <b val="true"/>
        <sz val="11"/>
        <rFont val="WenQuanYi Zen Hei"/>
        <family val="2"/>
      </rPr>
      <t xml:space="preserve">新規顧客売上計画
</t>
    </r>
    <r>
      <rPr>
        <b val="true"/>
        <sz val="11"/>
        <rFont val="メイリオ"/>
        <family val="0"/>
        <charset val="1"/>
      </rPr>
      <t xml:space="preserve">1,066</t>
    </r>
    <r>
      <rPr>
        <b val="true"/>
        <sz val="11"/>
        <rFont val="WenQuanYi Zen Hei"/>
        <family val="2"/>
      </rPr>
      <t xml:space="preserve">百万円に対する比率</t>
    </r>
  </si>
  <si>
    <r>
      <rPr>
        <sz val="11"/>
        <rFont val="WenQuanYi Zen Hei"/>
        <family val="2"/>
      </rPr>
      <t xml:space="preserve">プラン</t>
    </r>
    <r>
      <rPr>
        <sz val="11"/>
        <rFont val="メイリオ"/>
        <family val="0"/>
        <charset val="1"/>
      </rPr>
      <t xml:space="preserve">D</t>
    </r>
    <r>
      <rPr>
        <sz val="11"/>
        <rFont val="WenQuanYi Zen Hei"/>
        <family val="2"/>
      </rPr>
      <t xml:space="preserve">：前期・今期の売上平均まで戻す</t>
    </r>
  </si>
  <si>
    <r>
      <rPr>
        <sz val="11"/>
        <rFont val="WenQuanYi Zen Hei"/>
        <family val="2"/>
      </rPr>
      <t xml:space="preserve">プラン</t>
    </r>
    <r>
      <rPr>
        <sz val="11"/>
        <rFont val="メイリオ"/>
        <family val="0"/>
        <charset val="1"/>
      </rPr>
      <t xml:space="preserve">E</t>
    </r>
    <r>
      <rPr>
        <sz val="11"/>
        <rFont val="WenQuanYi Zen Hei"/>
        <family val="2"/>
      </rPr>
      <t xml:space="preserve">：</t>
    </r>
    <r>
      <rPr>
        <sz val="11"/>
        <rFont val="メイリオ"/>
        <family val="0"/>
        <charset val="1"/>
      </rPr>
      <t xml:space="preserve">D</t>
    </r>
    <r>
      <rPr>
        <sz val="11"/>
        <rFont val="WenQuanYi Zen Hei"/>
        <family val="2"/>
      </rPr>
      <t xml:space="preserve">に私募＋オークション</t>
    </r>
    <r>
      <rPr>
        <sz val="11"/>
        <rFont val="メイリオ"/>
        <family val="0"/>
        <charset val="1"/>
      </rPr>
      <t xml:space="preserve">300</t>
    </r>
    <r>
      <rPr>
        <sz val="11"/>
        <rFont val="WenQuanYi Zen Hei"/>
        <family val="2"/>
      </rPr>
      <t xml:space="preserve">百万円を上積み</t>
    </r>
  </si>
  <si>
    <t xml:space="preserve">【判定】</t>
  </si>
  <si>
    <r>
      <rPr>
        <sz val="10"/>
        <rFont val="メイリオ"/>
        <family val="0"/>
        <charset val="1"/>
      </rPr>
      <t xml:space="preserve">FY2026</t>
    </r>
    <r>
      <rPr>
        <sz val="10"/>
        <rFont val="WenQuanYi Zen Hei"/>
        <family val="2"/>
      </rPr>
      <t xml:space="preserve">：</t>
    </r>
    <r>
      <rPr>
        <sz val="10"/>
        <rFont val="メイリオ"/>
        <family val="0"/>
        <charset val="1"/>
      </rPr>
      <t xml:space="preserve">2026</t>
    </r>
    <r>
      <rPr>
        <sz val="10"/>
        <rFont val="WenQuanYi Zen Hei"/>
        <family val="2"/>
      </rPr>
      <t xml:space="preserve">年</t>
    </r>
    <r>
      <rPr>
        <sz val="10"/>
        <rFont val="メイリオ"/>
        <family val="0"/>
        <charset val="1"/>
      </rPr>
      <t xml:space="preserve">9</t>
    </r>
    <r>
      <rPr>
        <sz val="10"/>
        <rFont val="WenQuanYi Zen Hei"/>
        <family val="2"/>
      </rPr>
      <t xml:space="preserve">月末の私募ファンド</t>
    </r>
    <r>
      <rPr>
        <sz val="10"/>
        <rFont val="メイリオ"/>
        <family val="0"/>
        <charset val="1"/>
      </rPr>
      <t xml:space="preserve">3</t>
    </r>
    <r>
      <rPr>
        <sz val="10"/>
        <rFont val="WenQuanYi Zen Hei"/>
        <family val="2"/>
      </rPr>
      <t xml:space="preserve">号・</t>
    </r>
    <r>
      <rPr>
        <sz val="10"/>
        <rFont val="メイリオ"/>
        <family val="0"/>
        <charset val="1"/>
      </rPr>
      <t xml:space="preserve">4</t>
    </r>
    <r>
      <rPr>
        <sz val="10"/>
        <rFont val="WenQuanYi Zen Hei"/>
        <family val="2"/>
      </rPr>
      <t xml:space="preserve">号の組成により、営業損益はほぼ均衡まで回復します。</t>
    </r>
  </si>
  <si>
    <r>
      <rPr>
        <sz val="10"/>
        <rFont val="WenQuanYi Zen Hei"/>
        <family val="2"/>
      </rPr>
      <t xml:space="preserve">横ばい実力値（参考）：再編後の</t>
    </r>
    <r>
      <rPr>
        <sz val="10"/>
        <rFont val="メイリオ"/>
        <family val="0"/>
        <charset val="1"/>
      </rPr>
      <t xml:space="preserve">4-6</t>
    </r>
    <r>
      <rPr>
        <sz val="10"/>
        <rFont val="WenQuanYi Zen Hei"/>
        <family val="2"/>
      </rPr>
      <t xml:space="preserve">月実績をそのまま延ばすだけでは営業利益▲</t>
    </r>
    <r>
      <rPr>
        <sz val="10"/>
        <rFont val="メイリオ"/>
        <family val="0"/>
        <charset val="1"/>
      </rPr>
      <t xml:space="preserve">99.6</t>
    </r>
    <r>
      <rPr>
        <sz val="10"/>
        <rFont val="WenQuanYi Zen Hei"/>
        <family val="2"/>
      </rPr>
      <t xml:space="preserve">百万円・経常利益▲</t>
    </r>
    <r>
      <rPr>
        <sz val="10"/>
        <rFont val="メイリオ"/>
        <family val="0"/>
        <charset val="1"/>
      </rPr>
      <t xml:space="preserve">114.6</t>
    </r>
    <r>
      <rPr>
        <sz val="10"/>
        <rFont val="WenQuanYi Zen Hei"/>
        <family val="2"/>
      </rPr>
      <t xml:space="preserve">百万円。</t>
    </r>
  </si>
  <si>
    <r>
      <rPr>
        <sz val="10"/>
        <rFont val="WenQuanYi Zen Hei"/>
        <family val="2"/>
      </rPr>
      <t xml:space="preserve">プラン</t>
    </r>
    <r>
      <rPr>
        <sz val="10"/>
        <rFont val="メイリオ"/>
        <family val="0"/>
        <charset val="1"/>
      </rPr>
      <t xml:space="preserve">D</t>
    </r>
    <r>
      <rPr>
        <sz val="10"/>
        <rFont val="WenQuanYi Zen Hei"/>
        <family val="2"/>
      </rPr>
      <t xml:space="preserve">（メインシナリオ）：既存事業を前期・今期の売上平均</t>
    </r>
    <r>
      <rPr>
        <sz val="10"/>
        <rFont val="メイリオ"/>
        <family val="0"/>
        <charset val="1"/>
      </rPr>
      <t xml:space="preserve">730.5</t>
    </r>
    <r>
      <rPr>
        <sz val="10"/>
        <rFont val="WenQuanYi Zen Hei"/>
        <family val="2"/>
      </rPr>
      <t xml:space="preserve">百万円に戻し、上乗せ案件</t>
    </r>
    <r>
      <rPr>
        <sz val="10"/>
        <rFont val="メイリオ"/>
        <family val="0"/>
        <charset val="1"/>
      </rPr>
      <t xml:space="preserve">102.5</t>
    </r>
    <r>
      <rPr>
        <sz val="10"/>
        <rFont val="WenQuanYi Zen Hei"/>
        <family val="2"/>
      </rPr>
      <t xml:space="preserve">百万円を外数で加算。</t>
    </r>
  </si>
  <si>
    <r>
      <rPr>
        <sz val="10"/>
        <rFont val="WenQuanYi Zen Hei"/>
        <family val="2"/>
      </rPr>
      <t xml:space="preserve">プラン</t>
    </r>
    <r>
      <rPr>
        <sz val="10"/>
        <rFont val="メイリオ"/>
        <family val="0"/>
        <charset val="1"/>
      </rPr>
      <t xml:space="preserve">E</t>
    </r>
    <r>
      <rPr>
        <sz val="10"/>
        <rFont val="WenQuanYi Zen Hei"/>
        <family val="2"/>
      </rPr>
      <t xml:space="preserve">（上振れシナリオ）：</t>
    </r>
    <r>
      <rPr>
        <sz val="10"/>
        <rFont val="メイリオ"/>
        <family val="0"/>
        <charset val="1"/>
      </rPr>
      <t xml:space="preserve">D</t>
    </r>
    <r>
      <rPr>
        <sz val="10"/>
        <rFont val="WenQuanYi Zen Hei"/>
        <family val="2"/>
      </rPr>
      <t xml:space="preserve">に私募ファンド＋オークションで</t>
    </r>
    <r>
      <rPr>
        <sz val="10"/>
        <rFont val="メイリオ"/>
        <family val="0"/>
        <charset val="1"/>
      </rPr>
      <t xml:space="preserve">300</t>
    </r>
    <r>
      <rPr>
        <sz val="10"/>
        <rFont val="WenQuanYi Zen Hei"/>
        <family val="2"/>
      </rPr>
      <t xml:space="preserve">百万円（粗利率</t>
    </r>
    <r>
      <rPr>
        <sz val="10"/>
        <rFont val="メイリオ"/>
        <family val="0"/>
        <charset val="1"/>
      </rPr>
      <t xml:space="preserve">30%</t>
    </r>
    <r>
      <rPr>
        <sz val="10"/>
        <rFont val="WenQuanYi Zen Hei"/>
        <family val="2"/>
      </rPr>
      <t xml:space="preserve">）を上積み。</t>
    </r>
  </si>
  <si>
    <r>
      <rPr>
        <sz val="10"/>
        <rFont val="メイリオ"/>
        <family val="0"/>
        <charset val="1"/>
      </rPr>
      <t xml:space="preserve">※FY2026</t>
    </r>
    <r>
      <rPr>
        <sz val="10"/>
        <rFont val="WenQuanYi Zen Hei"/>
        <family val="2"/>
      </rPr>
      <t xml:space="preserve">の売上には私募ファンド</t>
    </r>
    <r>
      <rPr>
        <sz val="10"/>
        <rFont val="メイリオ"/>
        <family val="0"/>
        <charset val="1"/>
      </rPr>
      <t xml:space="preserve">600</t>
    </r>
    <r>
      <rPr>
        <sz val="10"/>
        <rFont val="WenQuanYi Zen Hei"/>
        <family val="2"/>
      </rPr>
      <t xml:space="preserve">百万円と前倒し計上</t>
    </r>
    <r>
      <rPr>
        <sz val="10"/>
        <rFont val="メイリオ"/>
        <family val="0"/>
        <charset val="1"/>
      </rPr>
      <t xml:space="preserve">30</t>
    </r>
    <r>
      <rPr>
        <sz val="10"/>
        <rFont val="WenQuanYi Zen Hei"/>
        <family val="2"/>
      </rPr>
      <t xml:space="preserve">百万円が含まれますが、いずれも一過性です。</t>
    </r>
  </si>
  <si>
    <r>
      <rPr>
        <sz val="10"/>
        <rFont val="WenQuanYi Zen Hei"/>
        <family val="2"/>
      </rPr>
      <t xml:space="preserve">　　プラン</t>
    </r>
    <r>
      <rPr>
        <sz val="10"/>
        <rFont val="メイリオ"/>
        <family val="0"/>
        <charset val="1"/>
      </rPr>
      <t xml:space="preserve">D</t>
    </r>
    <r>
      <rPr>
        <sz val="10"/>
        <rFont val="WenQuanYi Zen Hei"/>
        <family val="2"/>
      </rPr>
      <t xml:space="preserve">・</t>
    </r>
    <r>
      <rPr>
        <sz val="10"/>
        <rFont val="メイリオ"/>
        <family val="0"/>
        <charset val="1"/>
      </rPr>
      <t xml:space="preserve">E</t>
    </r>
    <r>
      <rPr>
        <sz val="10"/>
        <rFont val="WenQuanYi Zen Hei"/>
        <family val="2"/>
      </rPr>
      <t xml:space="preserve">の基準となる</t>
    </r>
    <r>
      <rPr>
        <sz val="10"/>
        <rFont val="メイリオ"/>
        <family val="0"/>
        <charset val="1"/>
      </rPr>
      <t xml:space="preserve">2</t>
    </r>
    <r>
      <rPr>
        <sz val="10"/>
        <rFont val="WenQuanYi Zen Hei"/>
        <family val="2"/>
      </rPr>
      <t xml:space="preserve">期平均</t>
    </r>
    <r>
      <rPr>
        <sz val="10"/>
        <rFont val="メイリオ"/>
        <family val="0"/>
        <charset val="1"/>
      </rPr>
      <t xml:space="preserve">730.5</t>
    </r>
    <r>
      <rPr>
        <sz val="10"/>
        <rFont val="WenQuanYi Zen Hei"/>
        <family val="2"/>
      </rPr>
      <t xml:space="preserve">百万円は、これらを除いた実力値</t>
    </r>
    <r>
      <rPr>
        <sz val="10"/>
        <rFont val="メイリオ"/>
        <family val="0"/>
        <charset val="1"/>
      </rPr>
      <t xml:space="preserve">708.2</t>
    </r>
    <r>
      <rPr>
        <sz val="10"/>
        <rFont val="WenQuanYi Zen Hei"/>
        <family val="2"/>
      </rPr>
      <t xml:space="preserve">百万円で算定しています。</t>
    </r>
  </si>
  <si>
    <r>
      <rPr>
        <sz val="10"/>
        <rFont val="WenQuanYi Zen Hei"/>
        <family val="2"/>
      </rPr>
      <t xml:space="preserve">※アピシウス</t>
    </r>
    <r>
      <rPr>
        <sz val="10"/>
        <rFont val="メイリオ"/>
        <family val="0"/>
        <charset val="1"/>
      </rPr>
      <t xml:space="preserve">M&amp;A</t>
    </r>
    <r>
      <rPr>
        <sz val="10"/>
        <rFont val="WenQuanYi Zen Hei"/>
        <family val="2"/>
      </rPr>
      <t xml:space="preserve">仲介</t>
    </r>
    <r>
      <rPr>
        <sz val="10"/>
        <rFont val="メイリオ"/>
        <family val="0"/>
        <charset val="1"/>
      </rPr>
      <t xml:space="preserve">20.0</t>
    </r>
    <r>
      <rPr>
        <sz val="10"/>
        <rFont val="WenQuanYi Zen Hei"/>
        <family val="2"/>
      </rPr>
      <t xml:space="preserve">とコンサルティング料</t>
    </r>
    <r>
      <rPr>
        <sz val="10"/>
        <rFont val="メイリオ"/>
        <family val="0"/>
        <charset val="1"/>
      </rPr>
      <t xml:space="preserve">10.0</t>
    </r>
    <r>
      <rPr>
        <sz val="10"/>
        <rFont val="WenQuanYi Zen Hei"/>
        <family val="2"/>
      </rPr>
      <t xml:space="preserve">は</t>
    </r>
    <r>
      <rPr>
        <sz val="10"/>
        <rFont val="メイリオ"/>
        <family val="0"/>
        <charset val="1"/>
      </rPr>
      <t xml:space="preserve">FY2026</t>
    </r>
    <r>
      <rPr>
        <sz val="10"/>
        <rFont val="WenQuanYi Zen Hei"/>
        <family val="2"/>
      </rPr>
      <t xml:space="preserve">に前倒し計上となるため、</t>
    </r>
    <r>
      <rPr>
        <sz val="10"/>
        <rFont val="メイリオ"/>
        <family val="0"/>
        <charset val="1"/>
      </rPr>
      <t xml:space="preserve">FY2027</t>
    </r>
    <r>
      <rPr>
        <sz val="10"/>
        <rFont val="WenQuanYi Zen Hei"/>
        <family val="2"/>
      </rPr>
      <t xml:space="preserve">の上乗せ案件は</t>
    </r>
    <r>
      <rPr>
        <sz val="10"/>
        <rFont val="メイリオ"/>
        <family val="0"/>
        <charset val="1"/>
      </rPr>
      <t xml:space="preserve">102.5</t>
    </r>
    <r>
      <rPr>
        <sz val="10"/>
        <rFont val="WenQuanYi Zen Hei"/>
        <family val="2"/>
      </rPr>
      <t xml:space="preserve">百万円。</t>
    </r>
  </si>
  <si>
    <r>
      <rPr>
        <sz val="10"/>
        <rFont val="WenQuanYi Zen Hei"/>
        <family val="2"/>
      </rPr>
      <t xml:space="preserve">※差額売上の粗利率</t>
    </r>
    <r>
      <rPr>
        <sz val="10"/>
        <rFont val="メイリオ"/>
        <family val="0"/>
        <charset val="1"/>
      </rPr>
      <t xml:space="preserve">30%</t>
    </r>
    <r>
      <rPr>
        <sz val="10"/>
        <rFont val="WenQuanYi Zen Hei"/>
        <family val="2"/>
      </rPr>
      <t xml:space="preserve">は</t>
    </r>
    <r>
      <rPr>
        <sz val="10"/>
        <rFont val="メイリオ"/>
        <family val="0"/>
        <charset val="1"/>
      </rPr>
      <t xml:space="preserve">FY2025 26.8%</t>
    </r>
    <r>
      <rPr>
        <sz val="10"/>
        <rFont val="WenQuanYi Zen Hei"/>
        <family val="2"/>
      </rPr>
      <t xml:space="preserve">・</t>
    </r>
    <r>
      <rPr>
        <sz val="10"/>
        <rFont val="メイリオ"/>
        <family val="0"/>
        <charset val="1"/>
      </rPr>
      <t xml:space="preserve">FY2026 32.4%</t>
    </r>
    <r>
      <rPr>
        <sz val="10"/>
        <rFont val="WenQuanYi Zen Hei"/>
        <family val="2"/>
      </rPr>
      <t xml:space="preserve">の実績水準。</t>
    </r>
    <r>
      <rPr>
        <sz val="10"/>
        <rFont val="メイリオ"/>
        <family val="0"/>
        <charset val="1"/>
      </rPr>
      <t xml:space="preserve">4-6</t>
    </r>
    <r>
      <rPr>
        <sz val="10"/>
        <rFont val="WenQuanYi Zen Hei"/>
        <family val="2"/>
      </rPr>
      <t xml:space="preserve">月実績の</t>
    </r>
    <r>
      <rPr>
        <sz val="10"/>
        <rFont val="メイリオ"/>
        <family val="0"/>
        <charset val="1"/>
      </rPr>
      <t xml:space="preserve">51.5%</t>
    </r>
    <r>
      <rPr>
        <sz val="10"/>
        <rFont val="WenQuanYi Zen Hei"/>
        <family val="2"/>
      </rPr>
      <t xml:space="preserve">は用いない。</t>
    </r>
  </si>
  <si>
    <r>
      <rPr>
        <sz val="10"/>
        <rFont val="WenQuanYi Zen Hei"/>
        <family val="2"/>
      </rPr>
      <t xml:space="preserve">※プラン</t>
    </r>
    <r>
      <rPr>
        <sz val="10"/>
        <rFont val="メイリオ"/>
        <family val="0"/>
        <charset val="1"/>
      </rPr>
      <t xml:space="preserve">E</t>
    </r>
    <r>
      <rPr>
        <sz val="10"/>
        <rFont val="WenQuanYi Zen Hei"/>
        <family val="2"/>
      </rPr>
      <t xml:space="preserve">は繰越欠損金（</t>
    </r>
    <r>
      <rPr>
        <sz val="10"/>
        <rFont val="メイリオ"/>
        <family val="0"/>
        <charset val="1"/>
      </rPr>
      <t xml:space="preserve">FY2026</t>
    </r>
    <r>
      <rPr>
        <sz val="10"/>
        <rFont val="WenQuanYi Zen Hei"/>
        <family val="2"/>
      </rPr>
      <t xml:space="preserve">末残高）を超える所得に法人税が生じます。</t>
    </r>
  </si>
  <si>
    <r>
      <rPr>
        <b val="true"/>
        <sz val="13"/>
        <rFont val="メイリオ"/>
        <family val="0"/>
        <charset val="1"/>
      </rPr>
      <t xml:space="preserve">FY2026</t>
    </r>
    <r>
      <rPr>
        <b val="true"/>
        <sz val="13"/>
        <rFont val="WenQuanYi Zen Hei"/>
        <family val="2"/>
      </rPr>
      <t xml:space="preserve">（</t>
    </r>
    <r>
      <rPr>
        <b val="true"/>
        <sz val="13"/>
        <rFont val="メイリオ"/>
        <family val="0"/>
        <charset val="1"/>
      </rPr>
      <t xml:space="preserve">2025</t>
    </r>
    <r>
      <rPr>
        <b val="true"/>
        <sz val="13"/>
        <rFont val="WenQuanYi Zen Hei"/>
        <family val="2"/>
      </rPr>
      <t xml:space="preserve">年</t>
    </r>
    <r>
      <rPr>
        <b val="true"/>
        <sz val="13"/>
        <rFont val="メイリオ"/>
        <family val="0"/>
        <charset val="1"/>
      </rPr>
      <t xml:space="preserve">10</t>
    </r>
    <r>
      <rPr>
        <b val="true"/>
        <sz val="13"/>
        <rFont val="WenQuanYi Zen Hei"/>
        <family val="2"/>
      </rPr>
      <t xml:space="preserve">月</t>
    </r>
    <r>
      <rPr>
        <b val="true"/>
        <sz val="13"/>
        <rFont val="メイリオ"/>
        <family val="0"/>
        <charset val="1"/>
      </rPr>
      <t xml:space="preserve">-2026</t>
    </r>
    <r>
      <rPr>
        <b val="true"/>
        <sz val="13"/>
        <rFont val="WenQuanYi Zen Hei"/>
        <family val="2"/>
      </rPr>
      <t xml:space="preserve">年</t>
    </r>
    <r>
      <rPr>
        <b val="true"/>
        <sz val="13"/>
        <rFont val="メイリオ"/>
        <family val="0"/>
        <charset val="1"/>
      </rPr>
      <t xml:space="preserve">9</t>
    </r>
    <r>
      <rPr>
        <b val="true"/>
        <sz val="13"/>
        <rFont val="WenQuanYi Zen Hei"/>
        <family val="2"/>
      </rPr>
      <t xml:space="preserve">月）月次　実績／見込</t>
    </r>
  </si>
  <si>
    <r>
      <rPr>
        <sz val="9"/>
        <color rgb="FF8C8C8C"/>
        <rFont val="WenQuanYi Zen Hei"/>
        <family val="2"/>
      </rPr>
      <t xml:space="preserve">青字＝実績（</t>
    </r>
    <r>
      <rPr>
        <sz val="9"/>
        <color rgb="FF8C8C8C"/>
        <rFont val="メイリオ"/>
        <family val="0"/>
        <charset val="1"/>
      </rPr>
      <t xml:space="preserve">2026/06</t>
    </r>
    <r>
      <rPr>
        <sz val="9"/>
        <color rgb="FF8C8C8C"/>
        <rFont val="WenQuanYi Zen Hei"/>
        <family val="2"/>
      </rPr>
      <t xml:space="preserve">まで）　灰字斜体＝見込（</t>
    </r>
    <r>
      <rPr>
        <sz val="9"/>
        <color rgb="FF8C8C8C"/>
        <rFont val="メイリオ"/>
        <family val="0"/>
        <charset val="1"/>
      </rPr>
      <t xml:space="preserve">2026/07</t>
    </r>
    <r>
      <rPr>
        <sz val="9"/>
        <color rgb="FF8C8C8C"/>
        <rFont val="WenQuanYi Zen Hei"/>
        <family val="2"/>
      </rPr>
      <t xml:space="preserve">以降・同一値が並ぶプラグ）　出典：事業計画</t>
    </r>
    <r>
      <rPr>
        <sz val="9"/>
        <color rgb="FF8C8C8C"/>
        <rFont val="メイリオ"/>
        <family val="0"/>
        <charset val="1"/>
      </rPr>
      <t xml:space="preserve">202608</t>
    </r>
    <r>
      <rPr>
        <sz val="9"/>
        <color rgb="FF8C8C8C"/>
        <rFont val="WenQuanYi Zen Hei"/>
        <family val="2"/>
      </rPr>
      <t xml:space="preserve">（銀行様）全社シート</t>
    </r>
  </si>
  <si>
    <r>
      <rPr>
        <sz val="9"/>
        <color rgb="FF333333"/>
        <rFont val="WenQuanYi Zen Hei"/>
        <family val="2"/>
      </rPr>
      <t xml:space="preserve">不採算</t>
    </r>
    <r>
      <rPr>
        <sz val="9"/>
        <color rgb="FF333333"/>
        <rFont val="メイリオ"/>
        <family val="0"/>
        <charset val="1"/>
      </rPr>
      <t xml:space="preserve">3</t>
    </r>
    <r>
      <rPr>
        <sz val="9"/>
        <color rgb="FF333333"/>
        <rFont val="WenQuanYi Zen Hei"/>
        <family val="2"/>
      </rPr>
      <t xml:space="preserve">店舗の撤退により、</t>
    </r>
    <r>
      <rPr>
        <sz val="9"/>
        <color rgb="FF333333"/>
        <rFont val="メイリオ"/>
        <family val="0"/>
        <charset val="1"/>
      </rPr>
      <t xml:space="preserve">2026/04</t>
    </r>
    <r>
      <rPr>
        <sz val="9"/>
        <color rgb="FF333333"/>
        <rFont val="WenQuanYi Zen Hei"/>
        <family val="2"/>
      </rPr>
      <t xml:space="preserve">以降が再編後の実力値。</t>
    </r>
    <r>
      <rPr>
        <sz val="9"/>
        <color rgb="FF333333"/>
        <rFont val="メイリオ"/>
        <family val="0"/>
        <charset val="1"/>
      </rPr>
      <t xml:space="preserve">WineBank</t>
    </r>
    <r>
      <rPr>
        <sz val="9"/>
        <color rgb="FF333333"/>
        <rFont val="WenQuanYi Zen Hei"/>
        <family val="2"/>
      </rPr>
      <t xml:space="preserve">テラスは</t>
    </r>
    <r>
      <rPr>
        <sz val="9"/>
        <color rgb="FF333333"/>
        <rFont val="メイリオ"/>
        <family val="0"/>
        <charset val="1"/>
      </rPr>
      <t xml:space="preserve">WineBank CLUB</t>
    </r>
    <r>
      <rPr>
        <sz val="9"/>
        <color rgb="FF333333"/>
        <rFont val="WenQuanYi Zen Hei"/>
        <family val="2"/>
      </rPr>
      <t xml:space="preserve">のフラッグシップ店として改善のうえ継続。</t>
    </r>
  </si>
  <si>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</si>
  <si>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</si>
  <si>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</si>
  <si>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</si>
  <si>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</si>
  <si>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</si>
  <si>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</si>
  <si>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</si>
  <si>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</si>
  <si>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</si>
  <si>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</si>
  <si>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</si>
  <si>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通期</t>
  </si>
  <si>
    <r>
      <rPr>
        <b val="true"/>
        <sz val="11"/>
        <rFont val="メイリオ"/>
        <family val="0"/>
        <charset val="1"/>
      </rPr>
      <t xml:space="preserve">①10-3</t>
    </r>
    <r>
      <rPr>
        <b val="true"/>
        <sz val="11"/>
        <rFont val="WenQuanYi Zen Hei"/>
        <family val="2"/>
      </rPr>
      <t xml:space="preserve">月
平均</t>
    </r>
  </si>
  <si>
    <r>
      <rPr>
        <b val="true"/>
        <sz val="11"/>
        <rFont val="メイリオ"/>
        <family val="0"/>
        <charset val="1"/>
      </rPr>
      <t xml:space="preserve">②4-6</t>
    </r>
    <r>
      <rPr>
        <b val="true"/>
        <sz val="11"/>
        <rFont val="WenQuanYi Zen Hei"/>
        <family val="2"/>
      </rPr>
      <t xml:space="preserve">月
平均</t>
    </r>
  </si>
  <si>
    <r>
      <rPr>
        <b val="true"/>
        <sz val="11"/>
        <rFont val="WenQuanYi Zen Hei"/>
        <family val="2"/>
      </rPr>
      <t xml:space="preserve">差 ②</t>
    </r>
    <r>
      <rPr>
        <b val="true"/>
        <sz val="11"/>
        <rFont val="メイリオ"/>
        <family val="0"/>
        <charset val="1"/>
      </rPr>
      <t xml:space="preserve">-①</t>
    </r>
  </si>
  <si>
    <t xml:space="preserve">【販売費及び一般管理費 内訳】</t>
  </si>
  <si>
    <t xml:space="preserve">役員報酬</t>
  </si>
  <si>
    <t xml:space="preserve">従業員給与</t>
  </si>
  <si>
    <t xml:space="preserve">雑給</t>
  </si>
  <si>
    <t xml:space="preserve">法定福利費</t>
  </si>
  <si>
    <t xml:space="preserve">広告宣伝費・販売促進費</t>
  </si>
  <si>
    <t xml:space="preserve">発送配達費</t>
  </si>
  <si>
    <t xml:space="preserve">支払手数料</t>
  </si>
  <si>
    <t xml:space="preserve">地代家賃</t>
  </si>
  <si>
    <t xml:space="preserve">通信交通費</t>
  </si>
  <si>
    <t xml:space="preserve">水道光熱費</t>
  </si>
  <si>
    <t xml:space="preserve">接待交際費</t>
  </si>
  <si>
    <t xml:space="preserve">保険料</t>
  </si>
  <si>
    <t xml:space="preserve">研修採用費</t>
  </si>
  <si>
    <t xml:space="preserve">備品消耗品費</t>
  </si>
  <si>
    <t xml:space="preserve">管理諸費</t>
  </si>
  <si>
    <t xml:space="preserve">清掃費</t>
  </si>
  <si>
    <t xml:space="preserve">業務委託費</t>
  </si>
  <si>
    <t xml:space="preserve">会議費</t>
  </si>
  <si>
    <t xml:space="preserve">雑費</t>
  </si>
  <si>
    <t xml:space="preserve">租税公課</t>
  </si>
  <si>
    <t xml:space="preserve">諸会費</t>
  </si>
  <si>
    <t xml:space="preserve">減価償却費</t>
  </si>
  <si>
    <t xml:space="preserve">倉庫＆保管・移設代</t>
  </si>
  <si>
    <t xml:space="preserve">販管費 合計</t>
  </si>
  <si>
    <r>
      <rPr>
        <sz val="9"/>
        <color rgb="FF333333"/>
        <rFont val="WenQuanYi Zen Hei"/>
        <family val="2"/>
      </rPr>
      <t xml:space="preserve">※「差 ②</t>
    </r>
    <r>
      <rPr>
        <sz val="9"/>
        <color rgb="FF333333"/>
        <rFont val="メイリオ"/>
        <family val="0"/>
        <charset val="1"/>
      </rPr>
      <t xml:space="preserve">-①</t>
    </r>
    <r>
      <rPr>
        <sz val="9"/>
        <color rgb="FF333333"/>
        <rFont val="WenQuanYi Zen Hei"/>
        <family val="2"/>
      </rPr>
      <t xml:space="preserve">」がマイナスの科目＝不採算</t>
    </r>
    <r>
      <rPr>
        <sz val="9"/>
        <color rgb="FF333333"/>
        <rFont val="メイリオ"/>
        <family val="0"/>
        <charset val="1"/>
      </rPr>
      <t xml:space="preserve">3</t>
    </r>
    <r>
      <rPr>
        <sz val="9"/>
        <color rgb="FF333333"/>
        <rFont val="WenQuanYi Zen Hei"/>
        <family val="2"/>
      </rPr>
      <t xml:space="preserve">店舗の撤退および固定費削減により減少した費用。合計で月▲</t>
    </r>
    <r>
      <rPr>
        <sz val="9"/>
        <color rgb="FF333333"/>
        <rFont val="メイリオ"/>
        <family val="0"/>
        <charset val="1"/>
      </rPr>
      <t xml:space="preserve">8.58</t>
    </r>
    <r>
      <rPr>
        <sz val="9"/>
        <color rgb="FF333333"/>
        <rFont val="WenQuanYi Zen Hei"/>
        <family val="2"/>
      </rPr>
      <t xml:space="preserve">百万円（年▲</t>
    </r>
    <r>
      <rPr>
        <sz val="9"/>
        <color rgb="FF333333"/>
        <rFont val="メイリオ"/>
        <family val="0"/>
        <charset val="1"/>
      </rPr>
      <t xml:space="preserve">103</t>
    </r>
    <r>
      <rPr>
        <sz val="9"/>
        <color rgb="FF333333"/>
        <rFont val="WenQuanYi Zen Hei"/>
        <family val="2"/>
      </rPr>
      <t xml:space="preserve">百万円）。</t>
    </r>
  </si>
  <si>
    <r>
      <rPr>
        <b val="true"/>
        <sz val="14"/>
        <rFont val="メイリオ"/>
        <family val="0"/>
        <charset val="1"/>
      </rPr>
      <t xml:space="preserve">FY2027</t>
    </r>
    <r>
      <rPr>
        <b val="true"/>
        <sz val="14"/>
        <rFont val="WenQuanYi Zen Hei"/>
        <family val="2"/>
      </rPr>
      <t xml:space="preserve">（</t>
    </r>
    <r>
      <rPr>
        <b val="true"/>
        <sz val="14"/>
        <rFont val="メイリオ"/>
        <family val="0"/>
        <charset val="1"/>
      </rPr>
      <t xml:space="preserve">2027</t>
    </r>
    <r>
      <rPr>
        <b val="true"/>
        <sz val="14"/>
        <rFont val="WenQuanYi Zen Hei"/>
        <family val="2"/>
      </rPr>
      <t xml:space="preserve">年</t>
    </r>
    <r>
      <rPr>
        <b val="true"/>
        <sz val="14"/>
        <rFont val="メイリオ"/>
        <family val="0"/>
        <charset val="1"/>
      </rPr>
      <t xml:space="preserve">9</t>
    </r>
    <r>
      <rPr>
        <b val="true"/>
        <sz val="14"/>
        <rFont val="WenQuanYi Zen Hei"/>
        <family val="2"/>
      </rPr>
      <t xml:space="preserve">月期）利益予測モデル　－　前提条件</t>
    </r>
  </si>
  <si>
    <r>
      <rPr>
        <sz val="9"/>
        <color rgb="FF8C8C8C"/>
        <rFont val="WenQuanYi Zen Hei"/>
        <family val="2"/>
      </rPr>
      <t xml:space="preserve">青字＝入力セル／黄色＝主要前提／黒字＝計算式　単位：円（税別）　作成日 </t>
    </r>
    <r>
      <rPr>
        <sz val="9"/>
        <color rgb="FF8C8C8C"/>
        <rFont val="メイリオ"/>
        <family val="0"/>
        <charset val="1"/>
      </rPr>
      <t xml:space="preserve">2026/08/21</t>
    </r>
  </si>
  <si>
    <r>
      <rPr>
        <b val="true"/>
        <sz val="11"/>
        <color rgb="FFFFFFFF"/>
        <rFont val="WenQuanYi Zen Hei"/>
        <family val="2"/>
      </rPr>
      <t xml:space="preserve">【</t>
    </r>
    <r>
      <rPr>
        <b val="true"/>
        <sz val="11"/>
        <color rgb="FFFFFFFF"/>
        <rFont val="メイリオ"/>
        <family val="0"/>
        <charset val="1"/>
      </rPr>
      <t xml:space="preserve">1</t>
    </r>
    <r>
      <rPr>
        <b val="true"/>
        <sz val="11"/>
        <color rgb="FFFFFFFF"/>
        <rFont val="WenQuanYi Zen Hei"/>
        <family val="2"/>
      </rPr>
      <t xml:space="preserve">】ベース：再編後の実力値（</t>
    </r>
    <r>
      <rPr>
        <b val="true"/>
        <sz val="11"/>
        <color rgb="FFFFFFFF"/>
        <rFont val="メイリオ"/>
        <family val="0"/>
        <charset val="1"/>
      </rPr>
      <t xml:space="preserve">2026/04-06 </t>
    </r>
    <r>
      <rPr>
        <b val="true"/>
        <sz val="11"/>
        <color rgb="FFFFFFFF"/>
        <rFont val="WenQuanYi Zen Hei"/>
        <family val="2"/>
      </rPr>
      <t xml:space="preserve">実績</t>
    </r>
    <r>
      <rPr>
        <b val="true"/>
        <sz val="11"/>
        <color rgb="FFFFFFFF"/>
        <rFont val="メイリオ"/>
        <family val="0"/>
        <charset val="1"/>
      </rPr>
      <t xml:space="preserve">3</t>
    </r>
    <r>
      <rPr>
        <b val="true"/>
        <sz val="11"/>
        <color rgb="FFFFFFFF"/>
        <rFont val="WenQuanYi Zen Hei"/>
        <family val="2"/>
      </rPr>
      <t xml:space="preserve">か月平均）</t>
    </r>
  </si>
  <si>
    <t xml:space="preserve">月次平均</t>
  </si>
  <si>
    <r>
      <rPr>
        <sz val="9"/>
        <color rgb="FF333333"/>
        <rFont val="メイリオ"/>
        <family val="0"/>
        <charset val="1"/>
      </rPr>
      <t xml:space="preserve">2026/03</t>
    </r>
    <r>
      <rPr>
        <sz val="9"/>
        <color rgb="FF333333"/>
        <rFont val="WenQuanYi Zen Hei"/>
        <family val="2"/>
      </rPr>
      <t xml:space="preserve">以前は撤退した不採算</t>
    </r>
    <r>
      <rPr>
        <sz val="9"/>
        <color rgb="FF333333"/>
        <rFont val="メイリオ"/>
        <family val="0"/>
        <charset val="1"/>
      </rPr>
      <t xml:space="preserve">3</t>
    </r>
    <r>
      <rPr>
        <sz val="9"/>
        <color rgb="FF333333"/>
        <rFont val="WenQuanYi Zen Hei"/>
        <family val="2"/>
      </rPr>
      <t xml:space="preserve">店舗の売上・費用を含むため基準から除外（貴社ご指摘）。</t>
    </r>
  </si>
  <si>
    <t xml:space="preserve">売上総利益率</t>
  </si>
  <si>
    <r>
      <rPr>
        <b val="true"/>
        <sz val="11"/>
        <color rgb="FFFFFFFF"/>
        <rFont val="WenQuanYi Zen Hei"/>
        <family val="2"/>
      </rPr>
      <t xml:space="preserve">【</t>
    </r>
    <r>
      <rPr>
        <b val="true"/>
        <sz val="11"/>
        <color rgb="FFFFFFFF"/>
        <rFont val="メイリオ"/>
        <family val="0"/>
        <charset val="1"/>
      </rPr>
      <t xml:space="preserve">2</t>
    </r>
    <r>
      <rPr>
        <b val="true"/>
        <sz val="11"/>
        <color rgb="FFFFFFFF"/>
        <rFont val="WenQuanYi Zen Hei"/>
        <family val="2"/>
      </rPr>
      <t xml:space="preserve">】上乗せ案件（</t>
    </r>
    <r>
      <rPr>
        <b val="true"/>
        <sz val="11"/>
        <color rgb="FFFFFFFF"/>
        <rFont val="メイリオ"/>
        <family val="0"/>
        <charset val="1"/>
      </rPr>
      <t xml:space="preserve">2026/09-2027/08</t>
    </r>
    <r>
      <rPr>
        <b val="true"/>
        <sz val="11"/>
        <color rgb="FFFFFFFF"/>
        <rFont val="WenQuanYi Zen Hei"/>
        <family val="2"/>
      </rPr>
      <t xml:space="preserve">）</t>
    </r>
  </si>
  <si>
    <t xml:space="preserve">区分・案件</t>
  </si>
  <si>
    <t xml:space="preserve">金額</t>
  </si>
  <si>
    <t xml:space="preserve">取引先</t>
  </si>
  <si>
    <t xml:space="preserve">損益計上区分</t>
  </si>
  <si>
    <r>
      <rPr>
        <sz val="11"/>
        <rFont val="WenQuanYi Zen Hei"/>
        <family val="2"/>
      </rPr>
      <t xml:space="preserve">コンサルティング料　間接グループ</t>
    </r>
    <r>
      <rPr>
        <sz val="11"/>
        <rFont val="メイリオ"/>
        <family val="0"/>
        <charset val="1"/>
      </rPr>
      <t xml:space="preserve">5</t>
    </r>
    <r>
      <rPr>
        <sz val="11"/>
        <rFont val="WenQuanYi Zen Hei"/>
        <family val="2"/>
      </rPr>
      <t xml:space="preserve">社</t>
    </r>
  </si>
  <si>
    <t xml:space="preserve">中野出資</t>
  </si>
  <si>
    <r>
      <rPr>
        <sz val="11"/>
        <rFont val="WenQuanYi Zen Hei"/>
        <family val="2"/>
      </rPr>
      <t xml:space="preserve">営業収益（</t>
    </r>
    <r>
      <rPr>
        <sz val="11"/>
        <rFont val="メイリオ"/>
        <family val="0"/>
        <charset val="1"/>
      </rPr>
      <t xml:space="preserve">12</t>
    </r>
    <r>
      <rPr>
        <sz val="11"/>
        <rFont val="WenQuanYi Zen Hei"/>
        <family val="2"/>
      </rPr>
      <t xml:space="preserve">か月按分）</t>
    </r>
  </si>
  <si>
    <r>
      <rPr>
        <sz val="11"/>
        <rFont val="WenQuanYi Zen Hei"/>
        <family val="2"/>
      </rPr>
      <t xml:space="preserve">コンサルティング料　</t>
    </r>
    <r>
      <rPr>
        <sz val="11"/>
        <rFont val="メイリオ"/>
        <family val="0"/>
        <charset val="1"/>
      </rPr>
      <t xml:space="preserve">Thierry Marx</t>
    </r>
    <r>
      <rPr>
        <sz val="11"/>
        <rFont val="WenQuanYi Zen Hei"/>
        <family val="2"/>
      </rPr>
      <t xml:space="preserve">（</t>
    </r>
    <r>
      <rPr>
        <sz val="11"/>
        <rFont val="メイリオ"/>
        <family val="0"/>
        <charset val="1"/>
      </rPr>
      <t xml:space="preserve">2026</t>
    </r>
    <r>
      <rPr>
        <sz val="11"/>
        <rFont val="WenQuanYi Zen Hei"/>
        <family val="2"/>
      </rPr>
      <t xml:space="preserve">年</t>
    </r>
    <r>
      <rPr>
        <sz val="11"/>
        <rFont val="メイリオ"/>
        <family val="0"/>
        <charset val="1"/>
      </rPr>
      <t xml:space="preserve">4</t>
    </r>
    <r>
      <rPr>
        <sz val="11"/>
        <rFont val="WenQuanYi Zen Hei"/>
        <family val="2"/>
      </rPr>
      <t xml:space="preserve">月開業）</t>
    </r>
  </si>
  <si>
    <r>
      <rPr>
        <sz val="11"/>
        <rFont val="メイリオ"/>
        <family val="0"/>
        <charset val="1"/>
      </rPr>
      <t xml:space="preserve">Apicius</t>
    </r>
    <r>
      <rPr>
        <sz val="11"/>
        <rFont val="WenQuanYi Zen Hei"/>
        <family val="2"/>
      </rPr>
      <t xml:space="preserve">グループ</t>
    </r>
  </si>
  <si>
    <r>
      <rPr>
        <sz val="11"/>
        <rFont val="WenQuanYi Zen Hei"/>
        <family val="2"/>
      </rPr>
      <t xml:space="preserve">コンサルティング料　</t>
    </r>
    <r>
      <rPr>
        <sz val="11"/>
        <rFont val="メイリオ"/>
        <family val="0"/>
        <charset val="1"/>
      </rPr>
      <t xml:space="preserve">Apicius</t>
    </r>
  </si>
  <si>
    <r>
      <rPr>
        <sz val="11"/>
        <rFont val="メイリオ"/>
        <family val="0"/>
        <charset val="1"/>
      </rPr>
      <t xml:space="preserve">FY2026</t>
    </r>
    <r>
      <rPr>
        <sz val="11"/>
        <rFont val="WenQuanYi Zen Hei"/>
        <family val="2"/>
      </rPr>
      <t xml:space="preserve">に前倒し計上のため</t>
    </r>
    <r>
      <rPr>
        <sz val="11"/>
        <rFont val="メイリオ"/>
        <family val="0"/>
        <charset val="1"/>
      </rPr>
      <t xml:space="preserve">0</t>
    </r>
  </si>
  <si>
    <r>
      <rPr>
        <sz val="11"/>
        <rFont val="メイリオ"/>
        <family val="0"/>
        <charset val="1"/>
      </rPr>
      <t xml:space="preserve">M&amp;A</t>
    </r>
    <r>
      <rPr>
        <sz val="11"/>
        <rFont val="WenQuanYi Zen Hei"/>
        <family val="2"/>
      </rPr>
      <t xml:space="preserve">仲介</t>
    </r>
  </si>
  <si>
    <t xml:space="preserve">外部</t>
  </si>
  <si>
    <r>
      <rPr>
        <sz val="11"/>
        <rFont val="WenQuanYi Zen Hei"/>
        <family val="2"/>
      </rPr>
      <t xml:space="preserve">クルーザー</t>
    </r>
    <r>
      <rPr>
        <sz val="11"/>
        <rFont val="メイリオ"/>
        <family val="0"/>
        <charset val="1"/>
      </rPr>
      <t xml:space="preserve">×</t>
    </r>
    <r>
      <rPr>
        <sz val="11"/>
        <rFont val="WenQuanYi Zen Hei"/>
        <family val="2"/>
      </rPr>
      <t xml:space="preserve">ワイン事業 </t>
    </r>
    <r>
      <rPr>
        <sz val="11"/>
        <rFont val="メイリオ"/>
        <family val="0"/>
        <charset val="1"/>
      </rPr>
      <t xml:space="preserve">1</t>
    </r>
    <r>
      <rPr>
        <sz val="11"/>
        <rFont val="WenQuanYi Zen Hei"/>
        <family val="2"/>
      </rPr>
      <t xml:space="preserve">回目</t>
    </r>
  </si>
  <si>
    <t xml:space="preserve">営業収益（一時）</t>
  </si>
  <si>
    <r>
      <rPr>
        <sz val="11"/>
        <rFont val="WenQuanYi Zen Hei"/>
        <family val="2"/>
      </rPr>
      <t xml:space="preserve">クルーザー</t>
    </r>
    <r>
      <rPr>
        <sz val="11"/>
        <rFont val="メイリオ"/>
        <family val="0"/>
        <charset val="1"/>
      </rPr>
      <t xml:space="preserve">×</t>
    </r>
    <r>
      <rPr>
        <sz val="11"/>
        <rFont val="WenQuanYi Zen Hei"/>
        <family val="2"/>
      </rPr>
      <t xml:space="preserve">ワイン事業 </t>
    </r>
    <r>
      <rPr>
        <sz val="11"/>
        <rFont val="メイリオ"/>
        <family val="0"/>
        <charset val="1"/>
      </rPr>
      <t xml:space="preserve">2</t>
    </r>
    <r>
      <rPr>
        <sz val="11"/>
        <rFont val="WenQuanYi Zen Hei"/>
        <family val="2"/>
      </rPr>
      <t xml:space="preserve">回目</t>
    </r>
  </si>
  <si>
    <t xml:space="preserve">合計</t>
  </si>
  <si>
    <r>
      <rPr>
        <sz val="9"/>
        <color rgb="FF333333"/>
        <rFont val="WenQuanYi Zen Hei"/>
        <family val="2"/>
      </rPr>
      <t xml:space="preserve">※期間表記は</t>
    </r>
    <r>
      <rPr>
        <sz val="9"/>
        <color rgb="FF333333"/>
        <rFont val="メイリオ"/>
        <family val="0"/>
        <charset val="1"/>
      </rPr>
      <t xml:space="preserve">2026/09-2027/08</t>
    </r>
    <r>
      <rPr>
        <sz val="9"/>
        <color rgb="FF333333"/>
        <rFont val="WenQuanYi Zen Hei"/>
        <family val="2"/>
      </rPr>
      <t xml:space="preserve">。決算期</t>
    </r>
    <r>
      <rPr>
        <sz val="9"/>
        <color rgb="FF333333"/>
        <rFont val="メイリオ"/>
        <family val="0"/>
        <charset val="1"/>
      </rPr>
      <t xml:space="preserve">(2026/10-2027/09)</t>
    </r>
    <r>
      <rPr>
        <sz val="9"/>
        <color rgb="FF333333"/>
        <rFont val="WenQuanYi Zen Hei"/>
        <family val="2"/>
      </rPr>
      <t xml:space="preserve">と</t>
    </r>
    <r>
      <rPr>
        <sz val="9"/>
        <color rgb="FF333333"/>
        <rFont val="メイリオ"/>
        <family val="0"/>
        <charset val="1"/>
      </rPr>
      <t xml:space="preserve">1</t>
    </r>
    <r>
      <rPr>
        <sz val="9"/>
        <color rgb="FF333333"/>
        <rFont val="WenQuanYi Zen Hei"/>
        <family val="2"/>
      </rPr>
      <t xml:space="preserve">か月ズレるため全額</t>
    </r>
    <r>
      <rPr>
        <sz val="9"/>
        <color rgb="FF333333"/>
        <rFont val="メイリオ"/>
        <family val="0"/>
        <charset val="1"/>
      </rPr>
      <t xml:space="preserve">FY2027</t>
    </r>
    <r>
      <rPr>
        <sz val="9"/>
        <color rgb="FF333333"/>
        <rFont val="WenQuanYi Zen Hei"/>
        <family val="2"/>
      </rPr>
      <t xml:space="preserve">帰属で試算。</t>
    </r>
  </si>
  <si>
    <t xml:space="preserve">　うち 営業収益</t>
  </si>
  <si>
    <r>
      <rPr>
        <sz val="9"/>
        <color rgb="FF333333"/>
        <rFont val="WenQuanYi Zen Hei"/>
        <family val="2"/>
      </rPr>
      <t xml:space="preserve">※アピシウス</t>
    </r>
    <r>
      <rPr>
        <sz val="9"/>
        <color rgb="FF333333"/>
        <rFont val="メイリオ"/>
        <family val="0"/>
        <charset val="1"/>
      </rPr>
      <t xml:space="preserve">M&amp;A</t>
    </r>
    <r>
      <rPr>
        <sz val="9"/>
        <color rgb="FF333333"/>
        <rFont val="WenQuanYi Zen Hei"/>
        <family val="2"/>
      </rPr>
      <t xml:space="preserve">仲介</t>
    </r>
    <r>
      <rPr>
        <sz val="9"/>
        <color rgb="FF333333"/>
        <rFont val="メイリオ"/>
        <family val="0"/>
        <charset val="1"/>
      </rPr>
      <t xml:space="preserve">20.0</t>
    </r>
    <r>
      <rPr>
        <sz val="9"/>
        <color rgb="FF333333"/>
        <rFont val="WenQuanYi Zen Hei"/>
        <family val="2"/>
      </rPr>
      <t xml:space="preserve">とコンサルティング料</t>
    </r>
    <r>
      <rPr>
        <sz val="9"/>
        <color rgb="FF333333"/>
        <rFont val="メイリオ"/>
        <family val="0"/>
        <charset val="1"/>
      </rPr>
      <t xml:space="preserve">10.0</t>
    </r>
    <r>
      <rPr>
        <sz val="9"/>
        <color rgb="FF333333"/>
        <rFont val="WenQuanYi Zen Hei"/>
        <family val="2"/>
      </rPr>
      <t xml:space="preserve">は</t>
    </r>
    <r>
      <rPr>
        <sz val="9"/>
        <color rgb="FF333333"/>
        <rFont val="メイリオ"/>
        <family val="0"/>
        <charset val="1"/>
      </rPr>
      <t xml:space="preserve">FY2026</t>
    </r>
    <r>
      <rPr>
        <sz val="9"/>
        <color rgb="FF333333"/>
        <rFont val="WenQuanYi Zen Hei"/>
        <family val="2"/>
      </rPr>
      <t xml:space="preserve">に前倒し計上となったため</t>
    </r>
    <r>
      <rPr>
        <sz val="9"/>
        <color rgb="FF333333"/>
        <rFont val="メイリオ"/>
        <family val="0"/>
        <charset val="1"/>
      </rPr>
      <t xml:space="preserve">0</t>
    </r>
    <r>
      <rPr>
        <sz val="9"/>
        <color rgb="FF333333"/>
        <rFont val="WenQuanYi Zen Hei"/>
        <family val="2"/>
      </rPr>
      <t xml:space="preserve">。合計は</t>
    </r>
    <r>
      <rPr>
        <sz val="9"/>
        <color rgb="FF333333"/>
        <rFont val="メイリオ"/>
        <family val="0"/>
        <charset val="1"/>
      </rPr>
      <t xml:space="preserve">132.5→102.5</t>
    </r>
    <r>
      <rPr>
        <sz val="9"/>
        <color rgb="FF333333"/>
        <rFont val="WenQuanYi Zen Hei"/>
        <family val="2"/>
      </rPr>
      <t xml:space="preserve">百万円。</t>
    </r>
  </si>
  <si>
    <t xml:space="preserve">　うち 営業外収益</t>
  </si>
  <si>
    <r>
      <rPr>
        <sz val="9"/>
        <color rgb="FF333333"/>
        <rFont val="WenQuanYi Zen Hei"/>
        <family val="2"/>
      </rPr>
      <t xml:space="preserve">※クルーザー</t>
    </r>
    <r>
      <rPr>
        <sz val="9"/>
        <color rgb="FF333333"/>
        <rFont val="メイリオ"/>
        <family val="0"/>
        <charset val="1"/>
      </rPr>
      <t xml:space="preserve">×</t>
    </r>
    <r>
      <rPr>
        <sz val="9"/>
        <color rgb="FF333333"/>
        <rFont val="WenQuanYi Zen Hei"/>
        <family val="2"/>
      </rPr>
      <t xml:space="preserve">ワイン事業は投資業ではなく事業収益のため、全額を営業収益に計上。営業外収益は</t>
    </r>
    <r>
      <rPr>
        <sz val="9"/>
        <color rgb="FF333333"/>
        <rFont val="メイリオ"/>
        <family val="0"/>
        <charset val="1"/>
      </rPr>
      <t xml:space="preserve">0</t>
    </r>
    <r>
      <rPr>
        <sz val="9"/>
        <color rgb="FF333333"/>
        <rFont val="WenQuanYi Zen Hei"/>
        <family val="2"/>
      </rPr>
      <t xml:space="preserve">。</t>
    </r>
  </si>
  <si>
    <r>
      <rPr>
        <b val="true"/>
        <sz val="11"/>
        <color rgb="FFFFFFFF"/>
        <rFont val="WenQuanYi Zen Hei"/>
        <family val="2"/>
      </rPr>
      <t xml:space="preserve">【</t>
    </r>
    <r>
      <rPr>
        <b val="true"/>
        <sz val="11"/>
        <color rgb="FFFFFFFF"/>
        <rFont val="メイリオ"/>
        <family val="0"/>
        <charset val="1"/>
      </rPr>
      <t xml:space="preserve">3</t>
    </r>
    <r>
      <rPr>
        <b val="true"/>
        <sz val="11"/>
        <color rgb="FFFFFFFF"/>
        <rFont val="WenQuanYi Zen Hei"/>
        <family val="2"/>
      </rPr>
      <t xml:space="preserve">】その他前提</t>
    </r>
  </si>
  <si>
    <t xml:space="preserve">営業外費用（支払利息等・年額）</t>
  </si>
  <si>
    <r>
      <rPr>
        <sz val="9"/>
        <color rgb="FF8C8C8C"/>
        <rFont val="WenQuanYi Zen Hei"/>
        <family val="2"/>
      </rPr>
      <t xml:space="preserve">事業計画</t>
    </r>
    <r>
      <rPr>
        <sz val="9"/>
        <color rgb="FF8C8C8C"/>
        <rFont val="メイリオ"/>
        <family val="0"/>
        <charset val="1"/>
      </rPr>
      <t xml:space="preserve">FY2027</t>
    </r>
    <r>
      <rPr>
        <sz val="9"/>
        <color rgb="FF8C8C8C"/>
        <rFont val="WenQuanYi Zen Hei"/>
        <family val="2"/>
      </rPr>
      <t xml:space="preserve">計画値</t>
    </r>
  </si>
  <si>
    <r>
      <rPr>
        <sz val="11"/>
        <rFont val="メイリオ"/>
        <family val="0"/>
        <charset val="1"/>
      </rPr>
      <t xml:space="preserve">M&amp;A</t>
    </r>
    <r>
      <rPr>
        <sz val="11"/>
        <rFont val="WenQuanYi Zen Hei"/>
        <family val="2"/>
      </rPr>
      <t xml:space="preserve">仲介 計上月（</t>
    </r>
    <r>
      <rPr>
        <sz val="11"/>
        <rFont val="メイリオ"/>
        <family val="0"/>
        <charset val="1"/>
      </rPr>
      <t xml:space="preserve">1</t>
    </r>
    <r>
      <rPr>
        <sz val="11"/>
        <rFont val="WenQuanYi Zen Hei"/>
        <family val="2"/>
      </rPr>
      <t xml:space="preserve">〜</t>
    </r>
    <r>
      <rPr>
        <sz val="11"/>
        <rFont val="メイリオ"/>
        <family val="0"/>
        <charset val="1"/>
      </rPr>
      <t xml:space="preserve">12</t>
    </r>
    <r>
      <rPr>
        <sz val="11"/>
        <rFont val="WenQuanYi Zen Hei"/>
        <family val="2"/>
      </rPr>
      <t xml:space="preserve">）</t>
    </r>
  </si>
  <si>
    <r>
      <rPr>
        <sz val="9"/>
        <color rgb="FF8C8C8C"/>
        <rFont val="メイリオ"/>
        <family val="0"/>
        <charset val="1"/>
      </rPr>
      <t xml:space="preserve">6</t>
    </r>
    <r>
      <rPr>
        <sz val="9"/>
        <color rgb="FF8C8C8C"/>
        <rFont val="WenQuanYi Zen Hei"/>
        <family val="2"/>
      </rPr>
      <t xml:space="preserve">＝</t>
    </r>
    <r>
      <rPr>
        <sz val="9"/>
        <color rgb="FF8C8C8C"/>
        <rFont val="メイリオ"/>
        <family val="0"/>
        <charset val="1"/>
      </rPr>
      <t xml:space="preserve">2027</t>
    </r>
    <r>
      <rPr>
        <sz val="9"/>
        <color rgb="FF8C8C8C"/>
        <rFont val="WenQuanYi Zen Hei"/>
        <family val="2"/>
      </rPr>
      <t xml:space="preserve">年</t>
    </r>
    <r>
      <rPr>
        <sz val="9"/>
        <color rgb="FF8C8C8C"/>
        <rFont val="メイリオ"/>
        <family val="0"/>
        <charset val="1"/>
      </rPr>
      <t xml:space="preserve">3</t>
    </r>
    <r>
      <rPr>
        <sz val="9"/>
        <color rgb="FF8C8C8C"/>
        <rFont val="WenQuanYi Zen Hei"/>
        <family val="2"/>
      </rPr>
      <t xml:space="preserve">月</t>
    </r>
  </si>
  <si>
    <r>
      <rPr>
        <sz val="11"/>
        <rFont val="WenQuanYi Zen Hei"/>
        <family val="2"/>
      </rPr>
      <t xml:space="preserve">クルーザー</t>
    </r>
    <r>
      <rPr>
        <sz val="11"/>
        <rFont val="メイリオ"/>
        <family val="0"/>
        <charset val="1"/>
      </rPr>
      <t xml:space="preserve">×</t>
    </r>
    <r>
      <rPr>
        <sz val="11"/>
        <rFont val="WenQuanYi Zen Hei"/>
        <family val="2"/>
      </rPr>
      <t xml:space="preserve">ワイン事業 </t>
    </r>
    <r>
      <rPr>
        <sz val="11"/>
        <rFont val="メイリオ"/>
        <family val="0"/>
        <charset val="1"/>
      </rPr>
      <t xml:space="preserve">1</t>
    </r>
    <r>
      <rPr>
        <sz val="11"/>
        <rFont val="WenQuanYi Zen Hei"/>
        <family val="2"/>
      </rPr>
      <t xml:space="preserve">回目 計上月</t>
    </r>
  </si>
  <si>
    <r>
      <rPr>
        <sz val="11"/>
        <rFont val="WenQuanYi Zen Hei"/>
        <family val="2"/>
      </rPr>
      <t xml:space="preserve">クルーザー</t>
    </r>
    <r>
      <rPr>
        <sz val="11"/>
        <rFont val="メイリオ"/>
        <family val="0"/>
        <charset val="1"/>
      </rPr>
      <t xml:space="preserve">×</t>
    </r>
    <r>
      <rPr>
        <sz val="11"/>
        <rFont val="WenQuanYi Zen Hei"/>
        <family val="2"/>
      </rPr>
      <t xml:space="preserve">ワイン事業 </t>
    </r>
    <r>
      <rPr>
        <sz val="11"/>
        <rFont val="メイリオ"/>
        <family val="0"/>
        <charset val="1"/>
      </rPr>
      <t xml:space="preserve">2</t>
    </r>
    <r>
      <rPr>
        <sz val="11"/>
        <rFont val="WenQuanYi Zen Hei"/>
        <family val="2"/>
      </rPr>
      <t xml:space="preserve">回目 計上月</t>
    </r>
  </si>
  <si>
    <r>
      <rPr>
        <sz val="9"/>
        <color rgb="FF8C8C8C"/>
        <rFont val="メイリオ"/>
        <family val="0"/>
        <charset val="1"/>
      </rPr>
      <t xml:space="preserve">12</t>
    </r>
    <r>
      <rPr>
        <sz val="9"/>
        <color rgb="FF8C8C8C"/>
        <rFont val="WenQuanYi Zen Hei"/>
        <family val="2"/>
      </rPr>
      <t xml:space="preserve">＝</t>
    </r>
    <r>
      <rPr>
        <sz val="9"/>
        <color rgb="FF8C8C8C"/>
        <rFont val="メイリオ"/>
        <family val="0"/>
        <charset val="1"/>
      </rPr>
      <t xml:space="preserve">2027</t>
    </r>
    <r>
      <rPr>
        <sz val="9"/>
        <color rgb="FF8C8C8C"/>
        <rFont val="WenQuanYi Zen Hei"/>
        <family val="2"/>
      </rPr>
      <t xml:space="preserve">年</t>
    </r>
    <r>
      <rPr>
        <sz val="9"/>
        <color rgb="FF8C8C8C"/>
        <rFont val="メイリオ"/>
        <family val="0"/>
        <charset val="1"/>
      </rPr>
      <t xml:space="preserve">9</t>
    </r>
    <r>
      <rPr>
        <sz val="9"/>
        <color rgb="FF8C8C8C"/>
        <rFont val="WenQuanYi Zen Hei"/>
        <family val="2"/>
      </rPr>
      <t xml:space="preserve">月（期末までに計上）</t>
    </r>
  </si>
  <si>
    <t xml:space="preserve">（未使用）</t>
  </si>
  <si>
    <t xml:space="preserve">—</t>
  </si>
  <si>
    <r>
      <rPr>
        <sz val="11"/>
        <rFont val="WenQuanYi Zen Hei"/>
        <family val="2"/>
      </rPr>
      <t xml:space="preserve">新規顧客売上 計画額（</t>
    </r>
    <r>
      <rPr>
        <sz val="11"/>
        <rFont val="メイリオ"/>
        <family val="0"/>
        <charset val="1"/>
      </rPr>
      <t xml:space="preserve">FY2027</t>
    </r>
    <r>
      <rPr>
        <sz val="11"/>
        <rFont val="WenQuanYi Zen Hei"/>
        <family val="2"/>
      </rPr>
      <t xml:space="preserve">）</t>
    </r>
  </si>
  <si>
    <t xml:space="preserve">事業計画のワイン投資 新規顧客計画 合計</t>
  </si>
  <si>
    <r>
      <rPr>
        <sz val="11"/>
        <rFont val="WenQuanYi Zen Hei"/>
        <family val="2"/>
      </rPr>
      <t xml:space="preserve">シナリオ選択（</t>
    </r>
    <r>
      <rPr>
        <sz val="11"/>
        <rFont val="メイリオ"/>
        <family val="0"/>
        <charset val="1"/>
      </rPr>
      <t xml:space="preserve">1</t>
    </r>
    <r>
      <rPr>
        <sz val="11"/>
        <rFont val="WenQuanYi Zen Hei"/>
        <family val="2"/>
      </rPr>
      <t xml:space="preserve">＝横ばい／</t>
    </r>
    <r>
      <rPr>
        <sz val="11"/>
        <rFont val="メイリオ"/>
        <family val="0"/>
        <charset val="1"/>
      </rPr>
      <t xml:space="preserve">2</t>
    </r>
    <r>
      <rPr>
        <sz val="11"/>
        <rFont val="WenQuanYi Zen Hei"/>
        <family val="2"/>
      </rPr>
      <t xml:space="preserve">＝プラン</t>
    </r>
    <r>
      <rPr>
        <sz val="11"/>
        <rFont val="メイリオ"/>
        <family val="0"/>
        <charset val="1"/>
      </rPr>
      <t xml:space="preserve">D</t>
    </r>
    <r>
      <rPr>
        <sz val="11"/>
        <rFont val="WenQuanYi Zen Hei"/>
        <family val="2"/>
      </rPr>
      <t xml:space="preserve">／</t>
    </r>
    <r>
      <rPr>
        <sz val="11"/>
        <rFont val="メイリオ"/>
        <family val="0"/>
        <charset val="1"/>
      </rPr>
      <t xml:space="preserve">3</t>
    </r>
    <r>
      <rPr>
        <sz val="11"/>
        <rFont val="WenQuanYi Zen Hei"/>
        <family val="2"/>
      </rPr>
      <t xml:space="preserve">＝プラン</t>
    </r>
    <r>
      <rPr>
        <sz val="11"/>
        <rFont val="メイリオ"/>
        <family val="0"/>
        <charset val="1"/>
      </rPr>
      <t xml:space="preserve">E</t>
    </r>
    <r>
      <rPr>
        <sz val="11"/>
        <rFont val="WenQuanYi Zen Hei"/>
        <family val="2"/>
      </rPr>
      <t xml:space="preserve">）</t>
    </r>
  </si>
  <si>
    <t xml:space="preserve">③月次推移・⑦資金繰り表に反映</t>
  </si>
  <si>
    <r>
      <rPr>
        <sz val="11"/>
        <rFont val="WenQuanYi Zen Hei"/>
        <family val="2"/>
      </rPr>
      <t xml:space="preserve">ワイン仕入 方針（</t>
    </r>
    <r>
      <rPr>
        <sz val="11"/>
        <rFont val="メイリオ"/>
        <family val="0"/>
        <charset val="1"/>
      </rPr>
      <t xml:space="preserve">1</t>
    </r>
    <r>
      <rPr>
        <sz val="11"/>
        <rFont val="WenQuanYi Zen Hei"/>
        <family val="2"/>
      </rPr>
      <t xml:space="preserve">＝在庫横ばい／</t>
    </r>
    <r>
      <rPr>
        <sz val="11"/>
        <rFont val="メイリオ"/>
        <family val="0"/>
        <charset val="1"/>
      </rPr>
      <t xml:space="preserve">2</t>
    </r>
    <r>
      <rPr>
        <sz val="11"/>
        <rFont val="WenQuanYi Zen Hei"/>
        <family val="2"/>
      </rPr>
      <t xml:space="preserve">＝</t>
    </r>
    <r>
      <rPr>
        <sz val="11"/>
        <rFont val="メイリオ"/>
        <family val="0"/>
        <charset val="1"/>
      </rPr>
      <t xml:space="preserve">FY2026</t>
    </r>
    <r>
      <rPr>
        <sz val="11"/>
        <rFont val="WenQuanYi Zen Hei"/>
        <family val="2"/>
      </rPr>
      <t xml:space="preserve">と同額）</t>
    </r>
  </si>
  <si>
    <t xml:space="preserve">⑥仕入・在庫計画に反映</t>
  </si>
  <si>
    <r>
      <rPr>
        <sz val="11"/>
        <rFont val="メイリオ"/>
        <family val="0"/>
        <charset val="1"/>
      </rPr>
      <t xml:space="preserve">FY2026 </t>
    </r>
    <r>
      <rPr>
        <sz val="11"/>
        <rFont val="WenQuanYi Zen Hei"/>
        <family val="2"/>
      </rPr>
      <t xml:space="preserve">年間仕入額</t>
    </r>
  </si>
  <si>
    <r>
      <rPr>
        <sz val="9"/>
        <color rgb="FF8C8C8C"/>
        <rFont val="WenQuanYi Zen Hei"/>
        <family val="2"/>
      </rPr>
      <t xml:space="preserve">売上原価</t>
    </r>
    <r>
      <rPr>
        <sz val="9"/>
        <color rgb="FF8C8C8C"/>
        <rFont val="メイリオ"/>
        <family val="0"/>
        <charset val="1"/>
      </rPr>
      <t xml:space="preserve">479,066,414</t>
    </r>
    <r>
      <rPr>
        <sz val="9"/>
        <color rgb="FF8C8C8C"/>
        <rFont val="WenQuanYi Zen Hei"/>
        <family val="2"/>
      </rPr>
      <t xml:space="preserve">＋在庫増減▲</t>
    </r>
    <r>
      <rPr>
        <sz val="9"/>
        <color rgb="FF8C8C8C"/>
        <rFont val="メイリオ"/>
        <family val="0"/>
        <charset val="1"/>
      </rPr>
      <t xml:space="preserve">60,000,000</t>
    </r>
    <r>
      <rPr>
        <sz val="9"/>
        <color rgb="FF8C8C8C"/>
        <rFont val="WenQuanYi Zen Hei"/>
        <family val="2"/>
      </rPr>
      <t xml:space="preserve">（</t>
    </r>
    <r>
      <rPr>
        <sz val="9"/>
        <color rgb="FF8C8C8C"/>
        <rFont val="メイリオ"/>
        <family val="0"/>
        <charset val="1"/>
      </rPr>
      <t xml:space="preserve">480→420</t>
    </r>
    <r>
      <rPr>
        <sz val="9"/>
        <color rgb="FF8C8C8C"/>
        <rFont val="WenQuanYi Zen Hei"/>
        <family val="2"/>
      </rPr>
      <t xml:space="preserve">百万円）</t>
    </r>
  </si>
  <si>
    <r>
      <rPr>
        <sz val="11"/>
        <rFont val="WenQuanYi Zen Hei"/>
        <family val="2"/>
      </rPr>
      <t xml:space="preserve">繰越欠損金 残高（</t>
    </r>
    <r>
      <rPr>
        <sz val="11"/>
        <rFont val="メイリオ"/>
        <family val="0"/>
        <charset val="1"/>
      </rPr>
      <t xml:space="preserve">FY2026</t>
    </r>
    <r>
      <rPr>
        <sz val="11"/>
        <rFont val="WenQuanYi Zen Hei"/>
        <family val="2"/>
      </rPr>
      <t xml:space="preserve">末）</t>
    </r>
  </si>
  <si>
    <r>
      <rPr>
        <sz val="9"/>
        <color rgb="FF8C8C8C"/>
        <rFont val="メイリオ"/>
        <family val="0"/>
        <charset val="1"/>
      </rPr>
      <t xml:space="preserve">FY2026</t>
    </r>
    <r>
      <rPr>
        <sz val="9"/>
        <color rgb="FF8C8C8C"/>
        <rFont val="WenQuanYi Zen Hei"/>
        <family val="2"/>
      </rPr>
      <t xml:space="preserve">着地見込みシートから自動参照。資本金</t>
    </r>
    <r>
      <rPr>
        <sz val="9"/>
        <color rgb="FF8C8C8C"/>
        <rFont val="メイリオ"/>
        <family val="0"/>
        <charset val="1"/>
      </rPr>
      <t xml:space="preserve">1,000</t>
    </r>
    <r>
      <rPr>
        <sz val="9"/>
        <color rgb="FF8C8C8C"/>
        <rFont val="WenQuanYi Zen Hei"/>
        <family val="2"/>
      </rPr>
      <t xml:space="preserve">万円の中小法人は所得の</t>
    </r>
    <r>
      <rPr>
        <sz val="9"/>
        <color rgb="FF8C8C8C"/>
        <rFont val="メイリオ"/>
        <family val="0"/>
        <charset val="1"/>
      </rPr>
      <t xml:space="preserve">100%</t>
    </r>
    <r>
      <rPr>
        <sz val="9"/>
        <color rgb="FF8C8C8C"/>
        <rFont val="WenQuanYi Zen Hei"/>
        <family val="2"/>
      </rPr>
      <t xml:space="preserve">控除可。</t>
    </r>
  </si>
  <si>
    <t xml:space="preserve">法人実効税率</t>
  </si>
  <si>
    <r>
      <rPr>
        <sz val="9"/>
        <color rgb="FF8C8C8C"/>
        <rFont val="WenQuanYi Zen Hei"/>
        <family val="2"/>
      </rPr>
      <t xml:space="preserve">繰越欠損金を使い切った後の課税所得に適用。プラン</t>
    </r>
    <r>
      <rPr>
        <sz val="9"/>
        <color rgb="FF8C8C8C"/>
        <rFont val="メイリオ"/>
        <family val="0"/>
        <charset val="1"/>
      </rPr>
      <t xml:space="preserve">E</t>
    </r>
    <r>
      <rPr>
        <sz val="9"/>
        <color rgb="FF8C8C8C"/>
        <rFont val="WenQuanYi Zen Hei"/>
        <family val="2"/>
      </rPr>
      <t xml:space="preserve">では一部に課税が生じます。</t>
    </r>
  </si>
  <si>
    <r>
      <rPr>
        <b val="true"/>
        <sz val="11"/>
        <color rgb="FFFFFFFF"/>
        <rFont val="WenQuanYi Zen Hei"/>
        <family val="2"/>
      </rPr>
      <t xml:space="preserve">【</t>
    </r>
    <r>
      <rPr>
        <b val="true"/>
        <sz val="11"/>
        <color rgb="FFFFFFFF"/>
        <rFont val="メイリオ"/>
        <family val="0"/>
        <charset val="1"/>
      </rPr>
      <t xml:space="preserve">6</t>
    </r>
    <r>
      <rPr>
        <b val="true"/>
        <sz val="11"/>
        <color rgb="FFFFFFFF"/>
        <rFont val="WenQuanYi Zen Hei"/>
        <family val="2"/>
      </rPr>
      <t xml:space="preserve">】消費税の算定　※</t>
    </r>
    <r>
      <rPr>
        <b val="true"/>
        <sz val="11"/>
        <color rgb="FFFFFFFF"/>
        <rFont val="メイリオ"/>
        <family val="0"/>
        <charset val="1"/>
      </rPr>
      <t xml:space="preserve">FY2027</t>
    </r>
    <r>
      <rPr>
        <b val="true"/>
        <sz val="11"/>
        <color rgb="FFFFFFFF"/>
        <rFont val="WenQuanYi Zen Hei"/>
        <family val="2"/>
      </rPr>
      <t xml:space="preserve">の資金繰りに乗るのは</t>
    </r>
    <r>
      <rPr>
        <b val="true"/>
        <sz val="11"/>
        <color rgb="FFFFFFFF"/>
        <rFont val="メイリオ"/>
        <family val="0"/>
        <charset val="1"/>
      </rPr>
      <t xml:space="preserve">FY2026</t>
    </r>
    <r>
      <rPr>
        <b val="true"/>
        <sz val="11"/>
        <color rgb="FFFFFFFF"/>
        <rFont val="WenQuanYi Zen Hei"/>
        <family val="2"/>
      </rPr>
      <t xml:space="preserve">分の確定納付と当期の中間納付</t>
    </r>
  </si>
  <si>
    <t xml:space="preserve">消費税率</t>
  </si>
  <si>
    <r>
      <rPr>
        <sz val="11"/>
        <rFont val="メイリオ"/>
        <family val="0"/>
        <charset val="1"/>
      </rPr>
      <t xml:space="preserve">FY2026 </t>
    </r>
    <r>
      <rPr>
        <sz val="11"/>
        <rFont val="WenQuanYi Zen Hei"/>
        <family val="2"/>
      </rPr>
      <t xml:space="preserve">課税売上高</t>
    </r>
  </si>
  <si>
    <r>
      <rPr>
        <sz val="9"/>
        <color rgb="FF8C8C8C"/>
        <rFont val="メイリオ"/>
        <family val="0"/>
        <charset val="1"/>
      </rPr>
      <t xml:space="preserve">FY2026</t>
    </r>
    <r>
      <rPr>
        <sz val="9"/>
        <color rgb="FF8C8C8C"/>
        <rFont val="WenQuanYi Zen Hei"/>
        <family val="2"/>
      </rPr>
      <t xml:space="preserve">着地見込みシートの修正後 売上高（私募</t>
    </r>
    <r>
      <rPr>
        <sz val="9"/>
        <color rgb="FF8C8C8C"/>
        <rFont val="メイリオ"/>
        <family val="0"/>
        <charset val="1"/>
      </rPr>
      <t xml:space="preserve">600</t>
    </r>
    <r>
      <rPr>
        <sz val="9"/>
        <color rgb="FF8C8C8C"/>
        <rFont val="WenQuanYi Zen Hei"/>
        <family val="2"/>
      </rPr>
      <t xml:space="preserve">＋前倒し</t>
    </r>
    <r>
      <rPr>
        <sz val="9"/>
        <color rgb="FF8C8C8C"/>
        <rFont val="メイリオ"/>
        <family val="0"/>
        <charset val="1"/>
      </rPr>
      <t xml:space="preserve">30</t>
    </r>
    <r>
      <rPr>
        <sz val="9"/>
        <color rgb="FF8C8C8C"/>
        <rFont val="WenQuanYi Zen Hei"/>
        <family val="2"/>
      </rPr>
      <t xml:space="preserve">を含む）</t>
    </r>
  </si>
  <si>
    <t xml:space="preserve">　うち 私募ファンド向けワイン仕入</t>
  </si>
  <si>
    <r>
      <rPr>
        <sz val="9"/>
        <color rgb="FF8C8C8C"/>
        <rFont val="WenQuanYi Zen Hei"/>
        <family val="2"/>
      </rPr>
      <t xml:space="preserve">★私募</t>
    </r>
    <r>
      <rPr>
        <sz val="9"/>
        <color rgb="FF8C8C8C"/>
        <rFont val="メイリオ"/>
        <family val="0"/>
        <charset val="1"/>
      </rPr>
      <t xml:space="preserve">3</t>
    </r>
    <r>
      <rPr>
        <sz val="9"/>
        <color rgb="FF8C8C8C"/>
        <rFont val="WenQuanYi Zen Hei"/>
        <family val="2"/>
      </rPr>
      <t xml:space="preserve">号・</t>
    </r>
    <r>
      <rPr>
        <sz val="9"/>
        <color rgb="FF8C8C8C"/>
        <rFont val="メイリオ"/>
        <family val="0"/>
        <charset val="1"/>
      </rPr>
      <t xml:space="preserve">4</t>
    </r>
    <r>
      <rPr>
        <sz val="9"/>
        <color rgb="FF8C8C8C"/>
        <rFont val="WenQuanYi Zen Hei"/>
        <family val="2"/>
      </rPr>
      <t xml:space="preserve">号の原価相当。当期に仕入れた場合は課税仕入に算入。在庫からの出庫であれば</t>
    </r>
    <r>
      <rPr>
        <sz val="9"/>
        <color rgb="FF8C8C8C"/>
        <rFont val="メイリオ"/>
        <family val="0"/>
        <charset val="1"/>
      </rPr>
      <t xml:space="preserve">0</t>
    </r>
    <r>
      <rPr>
        <sz val="9"/>
        <color rgb="FF8C8C8C"/>
        <rFont val="WenQuanYi Zen Hei"/>
        <family val="2"/>
      </rPr>
      <t xml:space="preserve">にしてください。</t>
    </r>
  </si>
  <si>
    <r>
      <rPr>
        <sz val="11"/>
        <rFont val="メイリオ"/>
        <family val="0"/>
        <charset val="1"/>
      </rPr>
      <t xml:space="preserve">FY2026 </t>
    </r>
    <r>
      <rPr>
        <sz val="11"/>
        <rFont val="WenQuanYi Zen Hei"/>
        <family val="2"/>
      </rPr>
      <t xml:space="preserve">ワイン仕入（課税仕入）</t>
    </r>
  </si>
  <si>
    <r>
      <rPr>
        <sz val="9"/>
        <color rgb="FF8C8C8C"/>
        <rFont val="WenQuanYi Zen Hei"/>
        <family val="2"/>
      </rPr>
      <t xml:space="preserve">通常仕入</t>
    </r>
    <r>
      <rPr>
        <sz val="9"/>
        <color rgb="FF8C8C8C"/>
        <rFont val="メイリオ"/>
        <family val="0"/>
        <charset val="1"/>
      </rPr>
      <t xml:space="preserve">419,066,414</t>
    </r>
    <r>
      <rPr>
        <sz val="9"/>
        <color rgb="FF8C8C8C"/>
        <rFont val="WenQuanYi Zen Hei"/>
        <family val="2"/>
      </rPr>
      <t xml:space="preserve">＋上記の私募向け仕入</t>
    </r>
  </si>
  <si>
    <r>
      <rPr>
        <sz val="11"/>
        <rFont val="メイリオ"/>
        <family val="0"/>
        <charset val="1"/>
      </rPr>
      <t xml:space="preserve">FY2026 </t>
    </r>
    <r>
      <rPr>
        <sz val="11"/>
        <rFont val="WenQuanYi Zen Hei"/>
        <family val="2"/>
      </rPr>
      <t xml:space="preserve">販管費のうち課税仕入</t>
    </r>
  </si>
  <si>
    <r>
      <rPr>
        <sz val="9"/>
        <color rgb="FF8C8C8C"/>
        <rFont val="WenQuanYi Zen Hei"/>
        <family val="2"/>
      </rPr>
      <t xml:space="preserve">販管費</t>
    </r>
    <r>
      <rPr>
        <sz val="9"/>
        <color rgb="FF8C8C8C"/>
        <rFont val="メイリオ"/>
        <family val="0"/>
        <charset val="1"/>
      </rPr>
      <t xml:space="preserve">343,932,836−</t>
    </r>
    <r>
      <rPr>
        <sz val="9"/>
        <color rgb="FF8C8C8C"/>
        <rFont val="WenQuanYi Zen Hei"/>
        <family val="2"/>
      </rPr>
      <t xml:space="preserve">人件費・減価償却・租税公課等</t>
    </r>
    <r>
      <rPr>
        <sz val="9"/>
        <color rgb="FF8C8C8C"/>
        <rFont val="メイリオ"/>
        <family val="0"/>
        <charset val="1"/>
      </rPr>
      <t xml:space="preserve">135,338,521</t>
    </r>
  </si>
  <si>
    <t xml:space="preserve">　仮受消費税</t>
  </si>
  <si>
    <t xml:space="preserve">　仮払消費税</t>
  </si>
  <si>
    <r>
      <rPr>
        <sz val="11"/>
        <rFont val="メイリオ"/>
        <family val="0"/>
        <charset val="1"/>
      </rPr>
      <t xml:space="preserve">FY2026 </t>
    </r>
    <r>
      <rPr>
        <sz val="11"/>
        <rFont val="WenQuanYi Zen Hei"/>
        <family val="2"/>
      </rPr>
      <t xml:space="preserve">確定消費税額</t>
    </r>
  </si>
  <si>
    <t xml:space="preserve">仮受−仮払。赤字でも人件費・減価償却は仕入税額控除できないため納付が生じる</t>
  </si>
  <si>
    <r>
      <rPr>
        <sz val="11"/>
        <rFont val="WenQuanYi Zen Hei"/>
        <family val="2"/>
      </rPr>
      <t xml:space="preserve">　うち</t>
    </r>
    <r>
      <rPr>
        <sz val="11"/>
        <rFont val="メイリオ"/>
        <family val="0"/>
        <charset val="1"/>
      </rPr>
      <t xml:space="preserve">FY2026</t>
    </r>
    <r>
      <rPr>
        <sz val="11"/>
        <rFont val="WenQuanYi Zen Hei"/>
        <family val="2"/>
      </rPr>
      <t xml:space="preserve">中に中間納付済</t>
    </r>
  </si>
  <si>
    <r>
      <rPr>
        <sz val="9"/>
        <color rgb="FF8C8C8C"/>
        <rFont val="メイリオ"/>
        <family val="0"/>
        <charset val="1"/>
      </rPr>
      <t xml:space="preserve">FY2025</t>
    </r>
    <r>
      <rPr>
        <sz val="9"/>
        <color rgb="FF8C8C8C"/>
        <rFont val="WenQuanYi Zen Hei"/>
        <family val="2"/>
      </rPr>
      <t xml:space="preserve">確定額ベースの中間納付（年</t>
    </r>
    <r>
      <rPr>
        <sz val="9"/>
        <color rgb="FF8C8C8C"/>
        <rFont val="メイリオ"/>
        <family val="0"/>
        <charset val="1"/>
      </rPr>
      <t xml:space="preserve">3</t>
    </r>
    <r>
      <rPr>
        <sz val="9"/>
        <color rgb="FF8C8C8C"/>
        <rFont val="WenQuanYi Zen Hei"/>
        <family val="2"/>
      </rPr>
      <t xml:space="preserve">回）の概算。実績値に差し替えてください</t>
    </r>
  </si>
  <si>
    <r>
      <rPr>
        <sz val="11"/>
        <rFont val="メイリオ"/>
        <family val="0"/>
        <charset val="1"/>
      </rPr>
      <t xml:space="preserve">2026/11 </t>
    </r>
    <r>
      <rPr>
        <sz val="11"/>
        <rFont val="WenQuanYi Zen Hei"/>
        <family val="2"/>
      </rPr>
      <t xml:space="preserve">確定納付額</t>
    </r>
  </si>
  <si>
    <r>
      <rPr>
        <sz val="9"/>
        <color rgb="FF8C8C8C"/>
        <rFont val="メイリオ"/>
        <family val="0"/>
        <charset val="1"/>
      </rPr>
      <t xml:space="preserve">FY2027</t>
    </r>
    <r>
      <rPr>
        <sz val="9"/>
        <color rgb="FF8C8C8C"/>
        <rFont val="WenQuanYi Zen Hei"/>
        <family val="2"/>
      </rPr>
      <t xml:space="preserve">の資金繰りに計上</t>
    </r>
  </si>
  <si>
    <r>
      <rPr>
        <sz val="11"/>
        <rFont val="メイリオ"/>
        <family val="0"/>
        <charset val="1"/>
      </rPr>
      <t xml:space="preserve">FY2027 </t>
    </r>
    <r>
      <rPr>
        <sz val="11"/>
        <rFont val="WenQuanYi Zen Hei"/>
        <family val="2"/>
      </rPr>
      <t xml:space="preserve">中間納付（</t>
    </r>
    <r>
      <rPr>
        <sz val="11"/>
        <rFont val="メイリオ"/>
        <family val="0"/>
        <charset val="1"/>
      </rPr>
      <t xml:space="preserve">1</t>
    </r>
    <r>
      <rPr>
        <sz val="11"/>
        <rFont val="WenQuanYi Zen Hei"/>
        <family val="2"/>
      </rPr>
      <t xml:space="preserve">回あたり）</t>
    </r>
  </si>
  <si>
    <r>
      <rPr>
        <sz val="9"/>
        <color rgb="FF8C8C8C"/>
        <rFont val="WenQuanYi Zen Hei"/>
        <family val="2"/>
      </rPr>
      <t xml:space="preserve">確定額</t>
    </r>
    <r>
      <rPr>
        <sz val="9"/>
        <color rgb="FF8C8C8C"/>
        <rFont val="メイリオ"/>
        <family val="0"/>
        <charset val="1"/>
      </rPr>
      <t xml:space="preserve">÷4</t>
    </r>
    <r>
      <rPr>
        <sz val="9"/>
        <color rgb="FF8C8C8C"/>
        <rFont val="WenQuanYi Zen Hei"/>
        <family val="2"/>
      </rPr>
      <t xml:space="preserve">。</t>
    </r>
    <r>
      <rPr>
        <sz val="9"/>
        <color rgb="FF8C8C8C"/>
        <rFont val="メイリオ"/>
        <family val="0"/>
        <charset val="1"/>
      </rPr>
      <t xml:space="preserve">2027/02</t>
    </r>
    <r>
      <rPr>
        <sz val="9"/>
        <color rgb="FF8C8C8C"/>
        <rFont val="WenQuanYi Zen Hei"/>
        <family val="2"/>
      </rPr>
      <t xml:space="preserve">・</t>
    </r>
    <r>
      <rPr>
        <sz val="9"/>
        <color rgb="FF8C8C8C"/>
        <rFont val="メイリオ"/>
        <family val="0"/>
        <charset val="1"/>
      </rPr>
      <t xml:space="preserve">05</t>
    </r>
    <r>
      <rPr>
        <sz val="9"/>
        <color rgb="FF8C8C8C"/>
        <rFont val="WenQuanYi Zen Hei"/>
        <family val="2"/>
      </rPr>
      <t xml:space="preserve">・</t>
    </r>
    <r>
      <rPr>
        <sz val="9"/>
        <color rgb="FF8C8C8C"/>
        <rFont val="メイリオ"/>
        <family val="0"/>
        <charset val="1"/>
      </rPr>
      <t xml:space="preserve">08</t>
    </r>
    <r>
      <rPr>
        <sz val="9"/>
        <color rgb="FF8C8C8C"/>
        <rFont val="WenQuanYi Zen Hei"/>
        <family val="2"/>
      </rPr>
      <t xml:space="preserve">の年</t>
    </r>
    <r>
      <rPr>
        <sz val="9"/>
        <color rgb="FF8C8C8C"/>
        <rFont val="メイリオ"/>
        <family val="0"/>
        <charset val="1"/>
      </rPr>
      <t xml:space="preserve">3</t>
    </r>
    <r>
      <rPr>
        <sz val="9"/>
        <color rgb="FF8C8C8C"/>
        <rFont val="WenQuanYi Zen Hei"/>
        <family val="2"/>
      </rPr>
      <t xml:space="preserve">回</t>
    </r>
  </si>
  <si>
    <r>
      <rPr>
        <sz val="9"/>
        <color rgb="FF333333"/>
        <rFont val="WenQuanYi Zen Hei"/>
        <family val="2"/>
      </rPr>
      <t xml:space="preserve">※私募向け仕入を課税仕入に算入するかで納付額が大きく変わります。算入しない場合は納付額が約</t>
    </r>
    <r>
      <rPr>
        <sz val="9"/>
        <color rgb="FF333333"/>
        <rFont val="メイリオ"/>
        <family val="0"/>
        <charset val="1"/>
      </rPr>
      <t xml:space="preserve">52</t>
    </r>
    <r>
      <rPr>
        <sz val="9"/>
        <color rgb="FF333333"/>
        <rFont val="WenQuanYi Zen Hei"/>
        <family val="2"/>
      </rPr>
      <t xml:space="preserve">百万円増えるため、実際の仕入時期のご確認をお願いします。</t>
    </r>
  </si>
  <si>
    <r>
      <rPr>
        <b val="true"/>
        <sz val="11"/>
        <color rgb="FFFFFFFF"/>
        <rFont val="WenQuanYi Zen Hei"/>
        <family val="2"/>
      </rPr>
      <t xml:space="preserve">【</t>
    </r>
    <r>
      <rPr>
        <b val="true"/>
        <sz val="11"/>
        <color rgb="FFFFFFFF"/>
        <rFont val="メイリオ"/>
        <family val="0"/>
        <charset val="1"/>
      </rPr>
      <t xml:space="preserve">7</t>
    </r>
    <r>
      <rPr>
        <b val="true"/>
        <sz val="11"/>
        <color rgb="FFFFFFFF"/>
        <rFont val="WenQuanYi Zen Hei"/>
        <family val="2"/>
      </rPr>
      <t xml:space="preserve">】プラン</t>
    </r>
    <r>
      <rPr>
        <b val="true"/>
        <sz val="11"/>
        <color rgb="FFFFFFFF"/>
        <rFont val="メイリオ"/>
        <family val="0"/>
        <charset val="1"/>
      </rPr>
      <t xml:space="preserve">D</t>
    </r>
    <r>
      <rPr>
        <b val="true"/>
        <sz val="11"/>
        <color rgb="FFFFFFFF"/>
        <rFont val="WenQuanYi Zen Hei"/>
        <family val="2"/>
      </rPr>
      <t xml:space="preserve">・</t>
    </r>
    <r>
      <rPr>
        <b val="true"/>
        <sz val="11"/>
        <color rgb="FFFFFFFF"/>
        <rFont val="メイリオ"/>
        <family val="0"/>
        <charset val="1"/>
      </rPr>
      <t xml:space="preserve">E</t>
    </r>
    <r>
      <rPr>
        <b val="true"/>
        <sz val="11"/>
        <color rgb="FFFFFFFF"/>
        <rFont val="WenQuanYi Zen Hei"/>
        <family val="2"/>
      </rPr>
      <t xml:space="preserve">の前提　</t>
    </r>
    <r>
      <rPr>
        <b val="true"/>
        <sz val="11"/>
        <color rgb="FFFFFFFF"/>
        <rFont val="メイリオ"/>
        <family val="0"/>
        <charset val="1"/>
      </rPr>
      <t xml:space="preserve">D</t>
    </r>
    <r>
      <rPr>
        <b val="true"/>
        <sz val="11"/>
        <color rgb="FFFFFFFF"/>
        <rFont val="WenQuanYi Zen Hei"/>
        <family val="2"/>
      </rPr>
      <t xml:space="preserve">は前期・今期の売上平均に上乗せ案件を外数で加算、</t>
    </r>
    <r>
      <rPr>
        <b val="true"/>
        <sz val="11"/>
        <color rgb="FFFFFFFF"/>
        <rFont val="メイリオ"/>
        <family val="0"/>
        <charset val="1"/>
      </rPr>
      <t xml:space="preserve">E</t>
    </r>
    <r>
      <rPr>
        <b val="true"/>
        <sz val="11"/>
        <color rgb="FFFFFFFF"/>
        <rFont val="WenQuanYi Zen Hei"/>
        <family val="2"/>
      </rPr>
      <t xml:space="preserve">はさらに私募＋オークションを上積み</t>
    </r>
  </si>
  <si>
    <t xml:space="preserve">前期・今期の売上平均</t>
  </si>
  <si>
    <r>
      <rPr>
        <sz val="9"/>
        <color rgb="FF8C8C8C"/>
        <rFont val="メイリオ"/>
        <family val="0"/>
        <charset val="1"/>
      </rPr>
      <t xml:space="preserve">FY2025</t>
    </r>
    <r>
      <rPr>
        <sz val="9"/>
        <color rgb="FF8C8C8C"/>
        <rFont val="WenQuanYi Zen Hei"/>
        <family val="2"/>
      </rPr>
      <t xml:space="preserve">実績</t>
    </r>
    <r>
      <rPr>
        <sz val="9"/>
        <color rgb="FF8C8C8C"/>
        <rFont val="メイリオ"/>
        <family val="0"/>
        <charset val="1"/>
      </rPr>
      <t xml:space="preserve">752,864,901</t>
    </r>
    <r>
      <rPr>
        <sz val="9"/>
        <color rgb="FF8C8C8C"/>
        <rFont val="WenQuanYi Zen Hei"/>
        <family val="2"/>
      </rPr>
      <t xml:space="preserve">と</t>
    </r>
    <r>
      <rPr>
        <sz val="9"/>
        <color rgb="FF8C8C8C"/>
        <rFont val="メイリオ"/>
        <family val="0"/>
        <charset val="1"/>
      </rPr>
      <t xml:space="preserve">FY2026</t>
    </r>
    <r>
      <rPr>
        <sz val="9"/>
        <color rgb="FF8C8C8C"/>
        <rFont val="WenQuanYi Zen Hei"/>
        <family val="2"/>
      </rPr>
      <t xml:space="preserve">見込</t>
    </r>
    <r>
      <rPr>
        <sz val="9"/>
        <color rgb="FF8C8C8C"/>
        <rFont val="メイリオ"/>
        <family val="0"/>
        <charset val="1"/>
      </rPr>
      <t xml:space="preserve">708,205,820</t>
    </r>
    <r>
      <rPr>
        <sz val="9"/>
        <color rgb="FF8C8C8C"/>
        <rFont val="WenQuanYi Zen Hei"/>
        <family val="2"/>
      </rPr>
      <t xml:space="preserve">の平均</t>
    </r>
  </si>
  <si>
    <t xml:space="preserve">上乗せ案件（コンサルティング料等）</t>
  </si>
  <si>
    <t xml:space="preserve">追加売上の粗利率</t>
  </si>
  <si>
    <r>
      <rPr>
        <sz val="9"/>
        <color rgb="FF8C8C8C"/>
        <rFont val="WenQuanYi Zen Hei"/>
        <family val="2"/>
      </rPr>
      <t xml:space="preserve">既存事業の実績（</t>
    </r>
    <r>
      <rPr>
        <sz val="9"/>
        <color rgb="FF8C8C8C"/>
        <rFont val="メイリオ"/>
        <family val="0"/>
        <charset val="1"/>
      </rPr>
      <t xml:space="preserve">FY2025 26.8%</t>
    </r>
    <r>
      <rPr>
        <sz val="9"/>
        <color rgb="FF8C8C8C"/>
        <rFont val="WenQuanYi Zen Hei"/>
        <family val="2"/>
      </rPr>
      <t xml:space="preserve">・</t>
    </r>
    <r>
      <rPr>
        <sz val="9"/>
        <color rgb="FF8C8C8C"/>
        <rFont val="メイリオ"/>
        <family val="0"/>
        <charset val="1"/>
      </rPr>
      <t xml:space="preserve">FY2026 32.4%</t>
    </r>
    <r>
      <rPr>
        <sz val="9"/>
        <color rgb="FF8C8C8C"/>
        <rFont val="WenQuanYi Zen Hei"/>
        <family val="2"/>
      </rPr>
      <t xml:space="preserve">）を踏まえ保守的に</t>
    </r>
    <r>
      <rPr>
        <sz val="9"/>
        <color rgb="FF8C8C8C"/>
        <rFont val="メイリオ"/>
        <family val="0"/>
        <charset val="1"/>
      </rPr>
      <t xml:space="preserve">30%</t>
    </r>
  </si>
  <si>
    <r>
      <rPr>
        <sz val="11"/>
        <rFont val="WenQuanYi Zen Hei"/>
        <family val="2"/>
      </rPr>
      <t xml:space="preserve">私募ファンド＋オークション 追加売上（プラン</t>
    </r>
    <r>
      <rPr>
        <sz val="11"/>
        <rFont val="メイリオ"/>
        <family val="0"/>
        <charset val="1"/>
      </rPr>
      <t xml:space="preserve">E</t>
    </r>
    <r>
      <rPr>
        <sz val="11"/>
        <rFont val="WenQuanYi Zen Hei"/>
        <family val="2"/>
      </rPr>
      <t xml:space="preserve">）</t>
    </r>
  </si>
  <si>
    <r>
      <rPr>
        <sz val="9"/>
        <color rgb="FF8C8C8C"/>
        <rFont val="メイリオ"/>
        <family val="0"/>
        <charset val="1"/>
      </rPr>
      <t xml:space="preserve">FY2026</t>
    </r>
    <r>
      <rPr>
        <sz val="9"/>
        <color rgb="FF8C8C8C"/>
        <rFont val="WenQuanYi Zen Hei"/>
        <family val="2"/>
      </rPr>
      <t xml:space="preserve">に私募で約</t>
    </r>
    <r>
      <rPr>
        <sz val="9"/>
        <color rgb="FF8C8C8C"/>
        <rFont val="メイリオ"/>
        <family val="0"/>
        <charset val="1"/>
      </rPr>
      <t xml:space="preserve">300</t>
    </r>
    <r>
      <rPr>
        <sz val="9"/>
        <color rgb="FF8C8C8C"/>
        <rFont val="WenQuanYi Zen Hei"/>
        <family val="2"/>
      </rPr>
      <t xml:space="preserve">百万円を巻き返した実績を踏まえ、来期も同水準を私募＋オークションで積む</t>
    </r>
  </si>
  <si>
    <r>
      <rPr>
        <b val="true"/>
        <sz val="11"/>
        <rFont val="WenQuanYi Zen Hei"/>
        <family val="2"/>
      </rPr>
      <t xml:space="preserve">【プラン</t>
    </r>
    <r>
      <rPr>
        <b val="true"/>
        <sz val="11"/>
        <rFont val="メイリオ"/>
        <family val="0"/>
        <charset val="1"/>
      </rPr>
      <t xml:space="preserve">D</t>
    </r>
    <r>
      <rPr>
        <b val="true"/>
        <sz val="11"/>
        <rFont val="WenQuanYi Zen Hei"/>
        <family val="2"/>
      </rPr>
      <t xml:space="preserve">】メインシナリオ：売上平均に上乗せ案件を外数で加算</t>
    </r>
  </si>
  <si>
    <t xml:space="preserve">　既存事業 売上</t>
  </si>
  <si>
    <t xml:space="preserve">　差額売上（横ばい実力値からの上積み）</t>
  </si>
  <si>
    <t xml:space="preserve">　差額売上の粗利</t>
  </si>
  <si>
    <t xml:space="preserve">　売上総利益 合計</t>
  </si>
  <si>
    <t xml:space="preserve">　売上高（上乗せ含む）</t>
  </si>
  <si>
    <t xml:space="preserve">　総合粗利率</t>
  </si>
  <si>
    <r>
      <rPr>
        <b val="true"/>
        <sz val="11"/>
        <rFont val="WenQuanYi Zen Hei"/>
        <family val="2"/>
      </rPr>
      <t xml:space="preserve">【プラン</t>
    </r>
    <r>
      <rPr>
        <b val="true"/>
        <sz val="11"/>
        <rFont val="メイリオ"/>
        <family val="0"/>
        <charset val="1"/>
      </rPr>
      <t xml:space="preserve">E</t>
    </r>
    <r>
      <rPr>
        <b val="true"/>
        <sz val="11"/>
        <rFont val="WenQuanYi Zen Hei"/>
        <family val="2"/>
      </rPr>
      <t xml:space="preserve">】上振れシナリオ：</t>
    </r>
    <r>
      <rPr>
        <b val="true"/>
        <sz val="11"/>
        <rFont val="メイリオ"/>
        <family val="0"/>
        <charset val="1"/>
      </rPr>
      <t xml:space="preserve">D</t>
    </r>
    <r>
      <rPr>
        <b val="true"/>
        <sz val="11"/>
        <rFont val="WenQuanYi Zen Hei"/>
        <family val="2"/>
      </rPr>
      <t xml:space="preserve">に私募＋オークション</t>
    </r>
    <r>
      <rPr>
        <b val="true"/>
        <sz val="11"/>
        <rFont val="メイリオ"/>
        <family val="0"/>
        <charset val="1"/>
      </rPr>
      <t xml:space="preserve">300</t>
    </r>
    <r>
      <rPr>
        <b val="true"/>
        <sz val="11"/>
        <rFont val="WenQuanYi Zen Hei"/>
        <family val="2"/>
      </rPr>
      <t xml:space="preserve">百万円を上積み</t>
    </r>
  </si>
  <si>
    <r>
      <rPr>
        <sz val="9"/>
        <color rgb="FF333333"/>
        <rFont val="メイリオ"/>
        <family val="0"/>
        <charset val="1"/>
      </rPr>
      <t xml:space="preserve">※D</t>
    </r>
    <r>
      <rPr>
        <sz val="9"/>
        <color rgb="FF333333"/>
        <rFont val="WenQuanYi Zen Hei"/>
        <family val="2"/>
      </rPr>
      <t xml:space="preserve">の既存事業売上</t>
    </r>
    <r>
      <rPr>
        <sz val="9"/>
        <color rgb="FF333333"/>
        <rFont val="メイリオ"/>
        <family val="0"/>
        <charset val="1"/>
      </rPr>
      <t xml:space="preserve">730.5</t>
    </r>
    <r>
      <rPr>
        <sz val="9"/>
        <color rgb="FF333333"/>
        <rFont val="WenQuanYi Zen Hei"/>
        <family val="2"/>
      </rPr>
      <t xml:space="preserve">百万円は前期・今期の平均そのもの。上乗せ案件</t>
    </r>
    <r>
      <rPr>
        <sz val="9"/>
        <color rgb="FF333333"/>
        <rFont val="メイリオ"/>
        <family val="0"/>
        <charset val="1"/>
      </rPr>
      <t xml:space="preserve">132.5</t>
    </r>
    <r>
      <rPr>
        <sz val="9"/>
        <color rgb="FF333333"/>
        <rFont val="WenQuanYi Zen Hei"/>
        <family val="2"/>
      </rPr>
      <t xml:space="preserve">百万円は外数で加算し売上</t>
    </r>
    <r>
      <rPr>
        <sz val="9"/>
        <color rgb="FF333333"/>
        <rFont val="メイリオ"/>
        <family val="0"/>
        <charset val="1"/>
      </rPr>
      <t xml:space="preserve">863.0</t>
    </r>
    <r>
      <rPr>
        <sz val="9"/>
        <color rgb="FF333333"/>
        <rFont val="WenQuanYi Zen Hei"/>
        <family val="2"/>
      </rPr>
      <t xml:space="preserve">百万円。</t>
    </r>
  </si>
  <si>
    <r>
      <rPr>
        <sz val="9"/>
        <color rgb="FF333333"/>
        <rFont val="メイリオ"/>
        <family val="0"/>
        <charset val="1"/>
      </rPr>
      <t xml:space="preserve">※E</t>
    </r>
    <r>
      <rPr>
        <sz val="9"/>
        <color rgb="FF333333"/>
        <rFont val="WenQuanYi Zen Hei"/>
        <family val="2"/>
      </rPr>
      <t xml:space="preserve">は私募ファンド＋オークションで</t>
    </r>
    <r>
      <rPr>
        <sz val="9"/>
        <color rgb="FF333333"/>
        <rFont val="メイリオ"/>
        <family val="0"/>
        <charset val="1"/>
      </rPr>
      <t xml:space="preserve">300</t>
    </r>
    <r>
      <rPr>
        <sz val="9"/>
        <color rgb="FF333333"/>
        <rFont val="WenQuanYi Zen Hei"/>
        <family val="2"/>
      </rPr>
      <t xml:space="preserve">百万円（粗利率</t>
    </r>
    <r>
      <rPr>
        <sz val="9"/>
        <color rgb="FF333333"/>
        <rFont val="メイリオ"/>
        <family val="0"/>
        <charset val="1"/>
      </rPr>
      <t xml:space="preserve">30%</t>
    </r>
    <r>
      <rPr>
        <sz val="9"/>
        <color rgb="FF333333"/>
        <rFont val="WenQuanYi Zen Hei"/>
        <family val="2"/>
      </rPr>
      <t xml:space="preserve">）を上積みし売上</t>
    </r>
    <r>
      <rPr>
        <sz val="9"/>
        <color rgb="FF333333"/>
        <rFont val="メイリオ"/>
        <family val="0"/>
        <charset val="1"/>
      </rPr>
      <t xml:space="preserve">1,163.0</t>
    </r>
    <r>
      <rPr>
        <sz val="9"/>
        <color rgb="FF333333"/>
        <rFont val="WenQuanYi Zen Hei"/>
        <family val="2"/>
      </rPr>
      <t xml:space="preserve">百万円。販管費は既存人員で対応可能とみて据置き。</t>
    </r>
  </si>
  <si>
    <r>
      <rPr>
        <b val="true"/>
        <sz val="13"/>
        <rFont val="メイリオ"/>
        <family val="0"/>
        <charset val="1"/>
      </rPr>
      <t xml:space="preserve">FY2027</t>
    </r>
    <r>
      <rPr>
        <b val="true"/>
        <sz val="13"/>
        <rFont val="WenQuanYi Zen Hei"/>
        <family val="2"/>
      </rPr>
      <t xml:space="preserve">（</t>
    </r>
    <r>
      <rPr>
        <b val="true"/>
        <sz val="13"/>
        <rFont val="メイリオ"/>
        <family val="0"/>
        <charset val="1"/>
      </rPr>
      <t xml:space="preserve">2026</t>
    </r>
    <r>
      <rPr>
        <b val="true"/>
        <sz val="13"/>
        <rFont val="WenQuanYi Zen Hei"/>
        <family val="2"/>
      </rPr>
      <t xml:space="preserve">年</t>
    </r>
    <r>
      <rPr>
        <b val="true"/>
        <sz val="13"/>
        <rFont val="メイリオ"/>
        <family val="0"/>
        <charset val="1"/>
      </rPr>
      <t xml:space="preserve">10</t>
    </r>
    <r>
      <rPr>
        <b val="true"/>
        <sz val="13"/>
        <rFont val="WenQuanYi Zen Hei"/>
        <family val="2"/>
      </rPr>
      <t xml:space="preserve">月</t>
    </r>
    <r>
      <rPr>
        <b val="true"/>
        <sz val="13"/>
        <rFont val="メイリオ"/>
        <family val="0"/>
        <charset val="1"/>
      </rPr>
      <t xml:space="preserve">-2027</t>
    </r>
    <r>
      <rPr>
        <b val="true"/>
        <sz val="13"/>
        <rFont val="WenQuanYi Zen Hei"/>
        <family val="2"/>
      </rPr>
      <t xml:space="preserve">年</t>
    </r>
    <r>
      <rPr>
        <b val="true"/>
        <sz val="13"/>
        <rFont val="メイリオ"/>
        <family val="0"/>
        <charset val="1"/>
      </rPr>
      <t xml:space="preserve">9</t>
    </r>
    <r>
      <rPr>
        <b val="true"/>
        <sz val="13"/>
        <rFont val="WenQuanYi Zen Hei"/>
        <family val="2"/>
      </rPr>
      <t xml:space="preserve">月）月次推移表　②前提の「シナリオ選択」で 横ばい／プラン</t>
    </r>
    <r>
      <rPr>
        <b val="true"/>
        <sz val="13"/>
        <rFont val="メイリオ"/>
        <family val="0"/>
        <charset val="1"/>
      </rPr>
      <t xml:space="preserve">D</t>
    </r>
    <r>
      <rPr>
        <b val="true"/>
        <sz val="13"/>
        <rFont val="WenQuanYi Zen Hei"/>
        <family val="2"/>
      </rPr>
      <t xml:space="preserve">／プラン</t>
    </r>
    <r>
      <rPr>
        <b val="true"/>
        <sz val="13"/>
        <rFont val="メイリオ"/>
        <family val="0"/>
        <charset val="1"/>
      </rPr>
      <t xml:space="preserve">E </t>
    </r>
    <r>
      <rPr>
        <b val="true"/>
        <sz val="13"/>
        <rFont val="WenQuanYi Zen Hei"/>
        <family val="2"/>
      </rPr>
      <t xml:space="preserve">を切替</t>
    </r>
  </si>
  <si>
    <r>
      <rPr>
        <sz val="9"/>
        <color rgb="FF8C8C8C"/>
        <rFont val="メイリオ"/>
        <family val="0"/>
        <charset val="1"/>
      </rPr>
      <t xml:space="preserve">C</t>
    </r>
    <r>
      <rPr>
        <sz val="9"/>
        <color rgb="FF8C8C8C"/>
        <rFont val="WenQuanYi Zen Hei"/>
        <family val="2"/>
      </rPr>
      <t xml:space="preserve">列＝月次ベース（</t>
    </r>
    <r>
      <rPr>
        <sz val="9"/>
        <color rgb="FF8C8C8C"/>
        <rFont val="メイリオ"/>
        <family val="0"/>
        <charset val="1"/>
      </rPr>
      <t xml:space="preserve">2026/04-06</t>
    </r>
    <r>
      <rPr>
        <sz val="9"/>
        <color rgb="FF8C8C8C"/>
        <rFont val="WenQuanYi Zen Hei"/>
        <family val="2"/>
      </rPr>
      <t xml:space="preserve">実績平均、④シートから自動リンク）。</t>
    </r>
    <r>
      <rPr>
        <sz val="9"/>
        <color rgb="FF8C8C8C"/>
        <rFont val="メイリオ"/>
        <family val="0"/>
        <charset val="1"/>
      </rPr>
      <t xml:space="preserve">D</t>
    </r>
    <r>
      <rPr>
        <sz val="9"/>
        <color rgb="FF8C8C8C"/>
        <rFont val="WenQuanYi Zen Hei"/>
        <family val="2"/>
      </rPr>
      <t xml:space="preserve">列以降は同額で横ばい。緑字＝他シートからのリンク</t>
    </r>
  </si>
  <si>
    <r>
      <rPr>
        <b val="true"/>
        <sz val="11"/>
        <rFont val="WenQuanYi Zen Hei"/>
        <family val="2"/>
      </rPr>
      <t xml:space="preserve">月次ベース
</t>
    </r>
    <r>
      <rPr>
        <b val="true"/>
        <sz val="11"/>
        <rFont val="メイリオ"/>
        <family val="0"/>
        <charset val="1"/>
      </rPr>
      <t xml:space="preserve">(26/4-6</t>
    </r>
    <r>
      <rPr>
        <b val="true"/>
        <sz val="11"/>
        <rFont val="WenQuanYi Zen Hei"/>
        <family val="2"/>
      </rPr>
      <t xml:space="preserve">平均</t>
    </r>
    <r>
      <rPr>
        <b val="true"/>
        <sz val="11"/>
        <rFont val="メイリオ"/>
        <family val="0"/>
        <charset val="1"/>
      </rPr>
      <t xml:space="preserve">)</t>
    </r>
  </si>
  <si>
    <t xml:space="preserve">2026/10</t>
  </si>
  <si>
    <t xml:space="preserve">2026/11</t>
  </si>
  <si>
    <t xml:space="preserve">2026/12</t>
  </si>
  <si>
    <t xml:space="preserve">2027/01</t>
  </si>
  <si>
    <t xml:space="preserve">2027/02</t>
  </si>
  <si>
    <t xml:space="preserve">2027/03</t>
  </si>
  <si>
    <t xml:space="preserve">2027/04</t>
  </si>
  <si>
    <t xml:space="preserve">2027/05</t>
  </si>
  <si>
    <t xml:space="preserve">2027/06</t>
  </si>
  <si>
    <t xml:space="preserve">2027/07</t>
  </si>
  <si>
    <t xml:space="preserve">2027/08</t>
  </si>
  <si>
    <t xml:space="preserve">2027/09</t>
  </si>
  <si>
    <t xml:space="preserve">通期合計</t>
  </si>
  <si>
    <t xml:space="preserve">【収益】</t>
  </si>
  <si>
    <r>
      <rPr>
        <sz val="11"/>
        <rFont val="WenQuanYi Zen Hei"/>
        <family val="2"/>
      </rPr>
      <t xml:space="preserve">差額売上（プラン</t>
    </r>
    <r>
      <rPr>
        <sz val="11"/>
        <rFont val="メイリオ"/>
        <family val="0"/>
        <charset val="1"/>
      </rPr>
      <t xml:space="preserve">D</t>
    </r>
    <r>
      <rPr>
        <sz val="11"/>
        <rFont val="WenQuanYi Zen Hei"/>
        <family val="2"/>
      </rPr>
      <t xml:space="preserve">／</t>
    </r>
    <r>
      <rPr>
        <sz val="11"/>
        <rFont val="メイリオ"/>
        <family val="0"/>
        <charset val="1"/>
      </rPr>
      <t xml:space="preserve">E</t>
    </r>
    <r>
      <rPr>
        <sz val="11"/>
        <rFont val="WenQuanYi Zen Hei"/>
        <family val="2"/>
      </rPr>
      <t xml:space="preserve">）</t>
    </r>
  </si>
  <si>
    <t xml:space="preserve">売上 合計</t>
  </si>
  <si>
    <t xml:space="preserve">　売上原価</t>
  </si>
  <si>
    <t xml:space="preserve">既存事業 売上総利益</t>
  </si>
  <si>
    <t xml:space="preserve">追加売上 総利益</t>
  </si>
  <si>
    <r>
      <rPr>
        <sz val="11"/>
        <rFont val="WenQuanYi Zen Hei"/>
        <family val="2"/>
      </rPr>
      <t xml:space="preserve">＋コンサルティング料 間接グループ</t>
    </r>
    <r>
      <rPr>
        <sz val="11"/>
        <rFont val="メイリオ"/>
        <family val="0"/>
        <charset val="1"/>
      </rPr>
      <t xml:space="preserve">5</t>
    </r>
    <r>
      <rPr>
        <sz val="11"/>
        <rFont val="WenQuanYi Zen Hei"/>
        <family val="2"/>
      </rPr>
      <t xml:space="preserve">社</t>
    </r>
  </si>
  <si>
    <r>
      <rPr>
        <sz val="11"/>
        <rFont val="WenQuanYi Zen Hei"/>
        <family val="2"/>
      </rPr>
      <t xml:space="preserve">＋コンサルティング料 </t>
    </r>
    <r>
      <rPr>
        <sz val="11"/>
        <rFont val="メイリオ"/>
        <family val="0"/>
        <charset val="1"/>
      </rPr>
      <t xml:space="preserve">Thierry Marx</t>
    </r>
  </si>
  <si>
    <r>
      <rPr>
        <sz val="11"/>
        <rFont val="WenQuanYi Zen Hei"/>
        <family val="2"/>
      </rPr>
      <t xml:space="preserve">＋コンサルティング料 </t>
    </r>
    <r>
      <rPr>
        <sz val="11"/>
        <rFont val="メイリオ"/>
        <family val="0"/>
        <charset val="1"/>
      </rPr>
      <t xml:space="preserve">Apicius</t>
    </r>
  </si>
  <si>
    <r>
      <rPr>
        <sz val="11"/>
        <rFont val="WenQuanYi Zen Hei"/>
        <family val="2"/>
      </rPr>
      <t xml:space="preserve">＋</t>
    </r>
    <r>
      <rPr>
        <sz val="11"/>
        <rFont val="メイリオ"/>
        <family val="0"/>
        <charset val="1"/>
      </rPr>
      <t xml:space="preserve">M&amp;A</t>
    </r>
    <r>
      <rPr>
        <sz val="11"/>
        <rFont val="WenQuanYi Zen Hei"/>
        <family val="2"/>
      </rPr>
      <t xml:space="preserve">仲介</t>
    </r>
  </si>
  <si>
    <r>
      <rPr>
        <sz val="11"/>
        <rFont val="WenQuanYi Zen Hei"/>
        <family val="2"/>
      </rPr>
      <t xml:space="preserve">＋クルーザー</t>
    </r>
    <r>
      <rPr>
        <sz val="11"/>
        <rFont val="メイリオ"/>
        <family val="0"/>
        <charset val="1"/>
      </rPr>
      <t xml:space="preserve">×</t>
    </r>
    <r>
      <rPr>
        <sz val="11"/>
        <rFont val="WenQuanYi Zen Hei"/>
        <family val="2"/>
      </rPr>
      <t xml:space="preserve">ワイン事業</t>
    </r>
  </si>
  <si>
    <t xml:space="preserve">【販売費及び一般管理費】</t>
  </si>
  <si>
    <t xml:space="preserve">【損益】</t>
  </si>
  <si>
    <t xml:space="preserve">営業外費用（支払利息等）</t>
  </si>
  <si>
    <t xml:space="preserve">経常利益 累計</t>
  </si>
  <si>
    <r>
      <rPr>
        <sz val="9"/>
        <color rgb="FF8C8C8C"/>
        <rFont val="WenQuanYi Zen Hei"/>
        <family val="2"/>
      </rPr>
      <t xml:space="preserve">※既存事業の売上・粗利・販管費は</t>
    </r>
    <r>
      <rPr>
        <sz val="9"/>
        <color rgb="FF8C8C8C"/>
        <rFont val="メイリオ"/>
        <family val="0"/>
        <charset val="1"/>
      </rPr>
      <t xml:space="preserve">2026/04-06</t>
    </r>
    <r>
      <rPr>
        <sz val="9"/>
        <color rgb="FF8C8C8C"/>
        <rFont val="WenQuanYi Zen Hei"/>
        <family val="2"/>
      </rPr>
      <t xml:space="preserve">実績の月平均を横ばい。成長・季節変動は織り込んでいない保守前提。</t>
    </r>
  </si>
  <si>
    <r>
      <rPr>
        <sz val="9"/>
        <color rgb="FF8C8C8C"/>
        <rFont val="WenQuanYi Zen Hei"/>
        <family val="2"/>
      </rPr>
      <t xml:space="preserve">※コンサルティング料は</t>
    </r>
    <r>
      <rPr>
        <sz val="9"/>
        <color rgb="FF8C8C8C"/>
        <rFont val="メイリオ"/>
        <family val="0"/>
        <charset val="1"/>
      </rPr>
      <t xml:space="preserve">12</t>
    </r>
    <r>
      <rPr>
        <sz val="9"/>
        <color rgb="FF8C8C8C"/>
        <rFont val="WenQuanYi Zen Hei"/>
        <family val="2"/>
      </rPr>
      <t xml:space="preserve">か月按分。</t>
    </r>
    <r>
      <rPr>
        <sz val="9"/>
        <color rgb="FF8C8C8C"/>
        <rFont val="メイリオ"/>
        <family val="0"/>
        <charset val="1"/>
      </rPr>
      <t xml:space="preserve">M&amp;A</t>
    </r>
    <r>
      <rPr>
        <sz val="9"/>
        <color rgb="FF8C8C8C"/>
        <rFont val="WenQuanYi Zen Hei"/>
        <family val="2"/>
      </rPr>
      <t xml:space="preserve">仲介とクルーザー</t>
    </r>
    <r>
      <rPr>
        <sz val="9"/>
        <color rgb="FF8C8C8C"/>
        <rFont val="メイリオ"/>
        <family val="0"/>
        <charset val="1"/>
      </rPr>
      <t xml:space="preserve">×</t>
    </r>
    <r>
      <rPr>
        <sz val="9"/>
        <color rgb="FF8C8C8C"/>
        <rFont val="WenQuanYi Zen Hei"/>
        <family val="2"/>
      </rPr>
      <t xml:space="preserve">ワイン事業は②前提で指定した月に計上（クルーザーは</t>
    </r>
    <r>
      <rPr>
        <sz val="9"/>
        <color rgb="FF8C8C8C"/>
        <rFont val="メイリオ"/>
        <family val="0"/>
        <charset val="1"/>
      </rPr>
      <t xml:space="preserve">2027/03</t>
    </r>
    <r>
      <rPr>
        <sz val="9"/>
        <color rgb="FF8C8C8C"/>
        <rFont val="WenQuanYi Zen Hei"/>
        <family val="2"/>
      </rPr>
      <t xml:space="preserve">と</t>
    </r>
    <r>
      <rPr>
        <sz val="9"/>
        <color rgb="FF8C8C8C"/>
        <rFont val="メイリオ"/>
        <family val="0"/>
        <charset val="1"/>
      </rPr>
      <t xml:space="preserve">2027/09</t>
    </r>
    <r>
      <rPr>
        <sz val="9"/>
        <color rgb="FF8C8C8C"/>
        <rFont val="WenQuanYi Zen Hei"/>
        <family val="2"/>
      </rPr>
      <t xml:space="preserve">に各</t>
    </r>
    <r>
      <rPr>
        <sz val="9"/>
        <color rgb="FF8C8C8C"/>
        <rFont val="メイリオ"/>
        <family val="0"/>
        <charset val="1"/>
      </rPr>
      <t xml:space="preserve">10</t>
    </r>
    <r>
      <rPr>
        <sz val="9"/>
        <color rgb="FF8C8C8C"/>
        <rFont val="WenQuanYi Zen Hei"/>
        <family val="2"/>
      </rPr>
      <t xml:space="preserve">百万円）。</t>
    </r>
  </si>
  <si>
    <r>
      <rPr>
        <b val="true"/>
        <sz val="14"/>
        <rFont val="メイリオ"/>
        <family val="0"/>
        <charset val="1"/>
      </rPr>
      <t xml:space="preserve">FY2026</t>
    </r>
    <r>
      <rPr>
        <b val="true"/>
        <sz val="14"/>
        <rFont val="WenQuanYi Zen Hei"/>
        <family val="2"/>
      </rPr>
      <t xml:space="preserve">（修正後）→ </t>
    </r>
    <r>
      <rPr>
        <b val="true"/>
        <sz val="14"/>
        <rFont val="メイリオ"/>
        <family val="0"/>
        <charset val="1"/>
      </rPr>
      <t xml:space="preserve">FY2027 </t>
    </r>
    <r>
      <rPr>
        <b val="true"/>
        <sz val="14"/>
        <rFont val="WenQuanYi Zen Hei"/>
        <family val="2"/>
      </rPr>
      <t xml:space="preserve">営業利益ブリッジ（プラン</t>
    </r>
    <r>
      <rPr>
        <b val="true"/>
        <sz val="14"/>
        <rFont val="メイリオ"/>
        <family val="0"/>
        <charset val="1"/>
      </rPr>
      <t xml:space="preserve">D</t>
    </r>
    <r>
      <rPr>
        <b val="true"/>
        <sz val="14"/>
        <rFont val="WenQuanYi Zen Hei"/>
        <family val="2"/>
      </rPr>
      <t xml:space="preserve">）</t>
    </r>
  </si>
  <si>
    <t xml:space="preserve">単位：円（税別）</t>
  </si>
  <si>
    <t xml:space="preserve">増減</t>
  </si>
  <si>
    <t xml:space="preserve">累計</t>
  </si>
  <si>
    <r>
      <rPr>
        <b val="true"/>
        <sz val="11"/>
        <rFont val="メイリオ"/>
        <family val="0"/>
        <charset val="1"/>
      </rPr>
      <t xml:space="preserve">FY2026 </t>
    </r>
    <r>
      <rPr>
        <b val="true"/>
        <sz val="11"/>
        <rFont val="WenQuanYi Zen Hei"/>
        <family val="2"/>
      </rPr>
      <t xml:space="preserve">営業利益（修正後）</t>
    </r>
  </si>
  <si>
    <r>
      <rPr>
        <sz val="9"/>
        <color rgb="FF8C8C8C"/>
        <rFont val="メイリオ"/>
        <family val="0"/>
        <charset val="1"/>
      </rPr>
      <t xml:space="preserve">2026</t>
    </r>
    <r>
      <rPr>
        <sz val="9"/>
        <color rgb="FF8C8C8C"/>
        <rFont val="WenQuanYi Zen Hei"/>
        <family val="2"/>
      </rPr>
      <t xml:space="preserve">年</t>
    </r>
    <r>
      <rPr>
        <sz val="9"/>
        <color rgb="FF8C8C8C"/>
        <rFont val="メイリオ"/>
        <family val="0"/>
        <charset val="1"/>
      </rPr>
      <t xml:space="preserve">9</t>
    </r>
    <r>
      <rPr>
        <sz val="9"/>
        <color rgb="FF8C8C8C"/>
        <rFont val="WenQuanYi Zen Hei"/>
        <family val="2"/>
      </rPr>
      <t xml:space="preserve">月末の私募ファンド組成を反映した着地見込み</t>
    </r>
  </si>
  <si>
    <t xml:space="preserve">① 私募ファンドの剥落</t>
  </si>
  <si>
    <r>
      <rPr>
        <sz val="9"/>
        <color rgb="FF8C8C8C"/>
        <rFont val="メイリオ"/>
        <family val="0"/>
        <charset val="1"/>
      </rPr>
      <t xml:space="preserve">FY2026</t>
    </r>
    <r>
      <rPr>
        <sz val="9"/>
        <color rgb="FF8C8C8C"/>
        <rFont val="WenQuanYi Zen Hei"/>
        <family val="2"/>
      </rPr>
      <t xml:space="preserve">限りの一過性収益。</t>
    </r>
    <r>
      <rPr>
        <sz val="9"/>
        <color rgb="FF8C8C8C"/>
        <rFont val="メイリオ"/>
        <family val="0"/>
        <charset val="1"/>
      </rPr>
      <t xml:space="preserve">3</t>
    </r>
    <r>
      <rPr>
        <sz val="9"/>
        <color rgb="FF8C8C8C"/>
        <rFont val="WenQuanYi Zen Hei"/>
        <family val="2"/>
      </rPr>
      <t xml:space="preserve">号</t>
    </r>
    <r>
      <rPr>
        <sz val="9"/>
        <color rgb="FF8C8C8C"/>
        <rFont val="メイリオ"/>
        <family val="0"/>
        <charset val="1"/>
      </rPr>
      <t xml:space="preserve">70.0</t>
    </r>
    <r>
      <rPr>
        <sz val="9"/>
        <color rgb="FF8C8C8C"/>
        <rFont val="WenQuanYi Zen Hei"/>
        <family val="2"/>
      </rPr>
      <t xml:space="preserve">＋</t>
    </r>
    <r>
      <rPr>
        <sz val="9"/>
        <color rgb="FF8C8C8C"/>
        <rFont val="メイリオ"/>
        <family val="0"/>
        <charset val="1"/>
      </rPr>
      <t xml:space="preserve">4</t>
    </r>
    <r>
      <rPr>
        <sz val="9"/>
        <color rgb="FF8C8C8C"/>
        <rFont val="WenQuanYi Zen Hei"/>
        <family val="2"/>
      </rPr>
      <t xml:space="preserve">号</t>
    </r>
    <r>
      <rPr>
        <sz val="9"/>
        <color rgb="FF8C8C8C"/>
        <rFont val="メイリオ"/>
        <family val="0"/>
        <charset val="1"/>
      </rPr>
      <t xml:space="preserve">5.0</t>
    </r>
    <r>
      <rPr>
        <sz val="9"/>
        <color rgb="FF8C8C8C"/>
        <rFont val="WenQuanYi Zen Hei"/>
        <family val="2"/>
      </rPr>
      <t xml:space="preserve">百万円</t>
    </r>
  </si>
  <si>
    <t xml:space="preserve">② 既存事業 粗利の減少（横ばい実力値へ）</t>
  </si>
  <si>
    <r>
      <rPr>
        <sz val="9"/>
        <color rgb="FF8C8C8C"/>
        <rFont val="メイリオ"/>
        <family val="0"/>
        <charset val="1"/>
      </rPr>
      <t xml:space="preserve">FY2026</t>
    </r>
    <r>
      <rPr>
        <sz val="9"/>
        <color rgb="FF8C8C8C"/>
        <rFont val="WenQuanYi Zen Hei"/>
        <family val="2"/>
      </rPr>
      <t xml:space="preserve">は</t>
    </r>
    <r>
      <rPr>
        <sz val="9"/>
        <color rgb="FF8C8C8C"/>
        <rFont val="メイリオ"/>
        <family val="0"/>
        <charset val="1"/>
      </rPr>
      <t xml:space="preserve">2025/11</t>
    </r>
    <r>
      <rPr>
        <sz val="9"/>
        <color rgb="FF8C8C8C"/>
        <rFont val="WenQuanYi Zen Hei"/>
        <family val="2"/>
      </rPr>
      <t xml:space="preserve">・</t>
    </r>
    <r>
      <rPr>
        <sz val="9"/>
        <color rgb="FF8C8C8C"/>
        <rFont val="メイリオ"/>
        <family val="0"/>
        <charset val="1"/>
      </rPr>
      <t xml:space="preserve">2026/09</t>
    </r>
    <r>
      <rPr>
        <sz val="9"/>
        <color rgb="FF8C8C8C"/>
        <rFont val="WenQuanYi Zen Hei"/>
        <family val="2"/>
      </rPr>
      <t xml:space="preserve">の大口を含む。撤退後の</t>
    </r>
    <r>
      <rPr>
        <sz val="9"/>
        <color rgb="FF8C8C8C"/>
        <rFont val="メイリオ"/>
        <family val="0"/>
        <charset val="1"/>
      </rPr>
      <t xml:space="preserve">4-6</t>
    </r>
    <r>
      <rPr>
        <sz val="9"/>
        <color rgb="FF8C8C8C"/>
        <rFont val="WenQuanYi Zen Hei"/>
        <family val="2"/>
      </rPr>
      <t xml:space="preserve">月実力値ベースでは減少</t>
    </r>
  </si>
  <si>
    <t xml:space="preserve">③ 差額売上の粗利（売上平均への回復）</t>
  </si>
  <si>
    <r>
      <rPr>
        <sz val="9"/>
        <color rgb="FF8C8C8C"/>
        <rFont val="WenQuanYi Zen Hei"/>
        <family val="2"/>
      </rPr>
      <t xml:space="preserve">既存事業を前期・今期の売上平均</t>
    </r>
    <r>
      <rPr>
        <sz val="9"/>
        <color rgb="FF8C8C8C"/>
        <rFont val="メイリオ"/>
        <family val="0"/>
        <charset val="1"/>
      </rPr>
      <t xml:space="preserve">730.5</t>
    </r>
    <r>
      <rPr>
        <sz val="9"/>
        <color rgb="FF8C8C8C"/>
        <rFont val="WenQuanYi Zen Hei"/>
        <family val="2"/>
      </rPr>
      <t xml:space="preserve">百万円に戻す。差額</t>
    </r>
    <r>
      <rPr>
        <sz val="9"/>
        <color rgb="FF8C8C8C"/>
        <rFont val="メイリオ"/>
        <family val="0"/>
        <charset val="1"/>
      </rPr>
      <t xml:space="preserve">341.4</t>
    </r>
    <r>
      <rPr>
        <sz val="9"/>
        <color rgb="FF8C8C8C"/>
        <rFont val="WenQuanYi Zen Hei"/>
        <family val="2"/>
      </rPr>
      <t xml:space="preserve">百万円</t>
    </r>
    <r>
      <rPr>
        <sz val="9"/>
        <color rgb="FF8C8C8C"/>
        <rFont val="メイリオ"/>
        <family val="0"/>
        <charset val="1"/>
      </rPr>
      <t xml:space="preserve">×</t>
    </r>
    <r>
      <rPr>
        <sz val="9"/>
        <color rgb="FF8C8C8C"/>
        <rFont val="WenQuanYi Zen Hei"/>
        <family val="2"/>
      </rPr>
      <t xml:space="preserve">粗利率</t>
    </r>
    <r>
      <rPr>
        <sz val="9"/>
        <color rgb="FF8C8C8C"/>
        <rFont val="メイリオ"/>
        <family val="0"/>
        <charset val="1"/>
      </rPr>
      <t xml:space="preserve">30%</t>
    </r>
  </si>
  <si>
    <t xml:space="preserve">④ 販管費の削減</t>
  </si>
  <si>
    <r>
      <rPr>
        <sz val="9"/>
        <color rgb="FF8C8C8C"/>
        <rFont val="WenQuanYi Zen Hei"/>
        <family val="2"/>
      </rPr>
      <t xml:space="preserve">不採算</t>
    </r>
    <r>
      <rPr>
        <sz val="9"/>
        <color rgb="FF8C8C8C"/>
        <rFont val="メイリオ"/>
        <family val="0"/>
        <charset val="1"/>
      </rPr>
      <t xml:space="preserve">3</t>
    </r>
    <r>
      <rPr>
        <sz val="9"/>
        <color rgb="FF8C8C8C"/>
        <rFont val="WenQuanYi Zen Hei"/>
        <family val="2"/>
      </rPr>
      <t xml:space="preserve">店舗の撤退＋固定費削減。</t>
    </r>
    <r>
      <rPr>
        <sz val="9"/>
        <color rgb="FF8C8C8C"/>
        <rFont val="メイリオ"/>
        <family val="0"/>
        <charset val="1"/>
      </rPr>
      <t xml:space="preserve">10-3</t>
    </r>
    <r>
      <rPr>
        <sz val="9"/>
        <color rgb="FF8C8C8C"/>
        <rFont val="WenQuanYi Zen Hei"/>
        <family val="2"/>
      </rPr>
      <t xml:space="preserve">月平均比で月▲</t>
    </r>
    <r>
      <rPr>
        <sz val="9"/>
        <color rgb="FF8C8C8C"/>
        <rFont val="メイリオ"/>
        <family val="0"/>
        <charset val="1"/>
      </rPr>
      <t xml:space="preserve">8.58</t>
    </r>
    <r>
      <rPr>
        <sz val="9"/>
        <color rgb="FF8C8C8C"/>
        <rFont val="WenQuanYi Zen Hei"/>
        <family val="2"/>
      </rPr>
      <t xml:space="preserve">百万円</t>
    </r>
  </si>
  <si>
    <t xml:space="preserve">⑤ 上乗せ案件の増加</t>
  </si>
  <si>
    <r>
      <rPr>
        <sz val="9"/>
        <color rgb="FF8C8C8C"/>
        <rFont val="メイリオ"/>
        <family val="0"/>
        <charset val="1"/>
      </rPr>
      <t xml:space="preserve">FY2027</t>
    </r>
    <r>
      <rPr>
        <sz val="9"/>
        <color rgb="FF8C8C8C"/>
        <rFont val="WenQuanYi Zen Hei"/>
        <family val="2"/>
      </rPr>
      <t xml:space="preserve">の</t>
    </r>
    <r>
      <rPr>
        <sz val="9"/>
        <color rgb="FF8C8C8C"/>
        <rFont val="メイリオ"/>
        <family val="0"/>
        <charset val="1"/>
      </rPr>
      <t xml:space="preserve">102.5</t>
    </r>
    <r>
      <rPr>
        <sz val="9"/>
        <color rgb="FF8C8C8C"/>
        <rFont val="WenQuanYi Zen Hei"/>
        <family val="2"/>
      </rPr>
      <t xml:space="preserve">百万円と、</t>
    </r>
    <r>
      <rPr>
        <sz val="9"/>
        <color rgb="FF8C8C8C"/>
        <rFont val="メイリオ"/>
        <family val="0"/>
        <charset val="1"/>
      </rPr>
      <t xml:space="preserve">FY2026</t>
    </r>
    <r>
      <rPr>
        <sz val="9"/>
        <color rgb="FF8C8C8C"/>
        <rFont val="WenQuanYi Zen Hei"/>
        <family val="2"/>
      </rPr>
      <t xml:space="preserve">に前倒し計上される</t>
    </r>
    <r>
      <rPr>
        <sz val="9"/>
        <color rgb="FF8C8C8C"/>
        <rFont val="メイリオ"/>
        <family val="0"/>
        <charset val="1"/>
      </rPr>
      <t xml:space="preserve">30.0</t>
    </r>
    <r>
      <rPr>
        <sz val="9"/>
        <color rgb="FF8C8C8C"/>
        <rFont val="WenQuanYi Zen Hei"/>
        <family val="2"/>
      </rPr>
      <t xml:space="preserve">百万円との差</t>
    </r>
  </si>
  <si>
    <r>
      <rPr>
        <b val="true"/>
        <sz val="11"/>
        <rFont val="メイリオ"/>
        <family val="0"/>
        <charset val="1"/>
      </rPr>
      <t xml:space="preserve">FY2027 </t>
    </r>
    <r>
      <rPr>
        <b val="true"/>
        <sz val="11"/>
        <rFont val="WenQuanYi Zen Hei"/>
        <family val="2"/>
      </rPr>
      <t xml:space="preserve">営業利益（プラン</t>
    </r>
    <r>
      <rPr>
        <b val="true"/>
        <sz val="11"/>
        <rFont val="メイリオ"/>
        <family val="0"/>
        <charset val="1"/>
      </rPr>
      <t xml:space="preserve">D</t>
    </r>
    <r>
      <rPr>
        <b val="true"/>
        <sz val="11"/>
        <rFont val="WenQuanYi Zen Hei"/>
        <family val="2"/>
      </rPr>
      <t xml:space="preserve">）</t>
    </r>
  </si>
  <si>
    <t xml:space="preserve">①〜⑤の合計</t>
  </si>
  <si>
    <r>
      <rPr>
        <sz val="11"/>
        <rFont val="WenQuanYi Zen Hei"/>
        <family val="2"/>
      </rPr>
      <t xml:space="preserve">⑤ 私募＋オークションの上積み（プラン</t>
    </r>
    <r>
      <rPr>
        <sz val="11"/>
        <rFont val="メイリオ"/>
        <family val="0"/>
        <charset val="1"/>
      </rPr>
      <t xml:space="preserve">E</t>
    </r>
    <r>
      <rPr>
        <sz val="11"/>
        <rFont val="WenQuanYi Zen Hei"/>
        <family val="2"/>
      </rPr>
      <t xml:space="preserve">）</t>
    </r>
  </si>
  <si>
    <r>
      <rPr>
        <sz val="9"/>
        <color rgb="FF8C8C8C"/>
        <rFont val="WenQuanYi Zen Hei"/>
        <family val="2"/>
      </rPr>
      <t xml:space="preserve">追加売上</t>
    </r>
    <r>
      <rPr>
        <sz val="9"/>
        <color rgb="FF8C8C8C"/>
        <rFont val="メイリオ"/>
        <family val="0"/>
        <charset val="1"/>
      </rPr>
      <t xml:space="preserve">300</t>
    </r>
    <r>
      <rPr>
        <sz val="9"/>
        <color rgb="FF8C8C8C"/>
        <rFont val="WenQuanYi Zen Hei"/>
        <family val="2"/>
      </rPr>
      <t xml:space="preserve">百万円</t>
    </r>
    <r>
      <rPr>
        <sz val="9"/>
        <color rgb="FF8C8C8C"/>
        <rFont val="メイリオ"/>
        <family val="0"/>
        <charset val="1"/>
      </rPr>
      <t xml:space="preserve">×</t>
    </r>
    <r>
      <rPr>
        <sz val="9"/>
        <color rgb="FF8C8C8C"/>
        <rFont val="WenQuanYi Zen Hei"/>
        <family val="2"/>
      </rPr>
      <t xml:space="preserve">粗利率</t>
    </r>
    <r>
      <rPr>
        <sz val="9"/>
        <color rgb="FF8C8C8C"/>
        <rFont val="メイリオ"/>
        <family val="0"/>
        <charset val="1"/>
      </rPr>
      <t xml:space="preserve">30%</t>
    </r>
    <r>
      <rPr>
        <sz val="9"/>
        <color rgb="FF8C8C8C"/>
        <rFont val="WenQuanYi Zen Hei"/>
        <family val="2"/>
      </rPr>
      <t xml:space="preserve">＝</t>
    </r>
    <r>
      <rPr>
        <sz val="9"/>
        <color rgb="FF8C8C8C"/>
        <rFont val="メイリオ"/>
        <family val="0"/>
        <charset val="1"/>
      </rPr>
      <t xml:space="preserve">90</t>
    </r>
    <r>
      <rPr>
        <sz val="9"/>
        <color rgb="FF8C8C8C"/>
        <rFont val="WenQuanYi Zen Hei"/>
        <family val="2"/>
      </rPr>
      <t xml:space="preserve">百万円</t>
    </r>
  </si>
  <si>
    <r>
      <rPr>
        <b val="true"/>
        <sz val="11"/>
        <rFont val="メイリオ"/>
        <family val="0"/>
        <charset val="1"/>
      </rPr>
      <t xml:space="preserve">FY2027 </t>
    </r>
    <r>
      <rPr>
        <b val="true"/>
        <sz val="11"/>
        <rFont val="WenQuanYi Zen Hei"/>
        <family val="2"/>
      </rPr>
      <t xml:space="preserve">営業利益（プラン</t>
    </r>
    <r>
      <rPr>
        <b val="true"/>
        <sz val="11"/>
        <rFont val="メイリオ"/>
        <family val="0"/>
        <charset val="1"/>
      </rPr>
      <t xml:space="preserve">E</t>
    </r>
    <r>
      <rPr>
        <b val="true"/>
        <sz val="11"/>
        <rFont val="WenQuanYi Zen Hei"/>
        <family val="2"/>
      </rPr>
      <t xml:space="preserve">）</t>
    </r>
  </si>
  <si>
    <r>
      <rPr>
        <sz val="11"/>
        <rFont val="WenQuanYi Zen Hei"/>
        <family val="2"/>
      </rPr>
      <t xml:space="preserve">プラン</t>
    </r>
    <r>
      <rPr>
        <sz val="11"/>
        <rFont val="メイリオ"/>
        <family val="0"/>
        <charset val="1"/>
      </rPr>
      <t xml:space="preserve">D</t>
    </r>
    <r>
      <rPr>
        <sz val="11"/>
        <rFont val="WenQuanYi Zen Hei"/>
        <family val="2"/>
      </rPr>
      <t xml:space="preserve">（粗利率</t>
    </r>
    <r>
      <rPr>
        <sz val="11"/>
        <rFont val="メイリオ"/>
        <family val="0"/>
        <charset val="1"/>
      </rPr>
      <t xml:space="preserve">30%</t>
    </r>
    <r>
      <rPr>
        <sz val="11"/>
        <rFont val="WenQuanYi Zen Hei"/>
        <family val="2"/>
      </rPr>
      <t xml:space="preserve">）</t>
    </r>
  </si>
  <si>
    <r>
      <rPr>
        <sz val="9"/>
        <color rgb="FF8C8C8C"/>
        <rFont val="WenQuanYi Zen Hei"/>
        <family val="2"/>
      </rPr>
      <t xml:space="preserve">新規顧客売上計画</t>
    </r>
    <r>
      <rPr>
        <sz val="9"/>
        <color rgb="FF8C8C8C"/>
        <rFont val="メイリオ"/>
        <family val="0"/>
        <charset val="1"/>
      </rPr>
      <t xml:space="preserve">1,066</t>
    </r>
    <r>
      <rPr>
        <sz val="9"/>
        <color rgb="FF8C8C8C"/>
        <rFont val="WenQuanYi Zen Hei"/>
        <family val="2"/>
      </rPr>
      <t xml:space="preserve">百万円に対する比率</t>
    </r>
  </si>
  <si>
    <r>
      <rPr>
        <sz val="11"/>
        <rFont val="WenQuanYi Zen Hei"/>
        <family val="2"/>
      </rPr>
      <t xml:space="preserve">プラン</t>
    </r>
    <r>
      <rPr>
        <sz val="11"/>
        <rFont val="メイリオ"/>
        <family val="0"/>
        <charset val="1"/>
      </rPr>
      <t xml:space="preserve">E</t>
    </r>
    <r>
      <rPr>
        <sz val="11"/>
        <rFont val="WenQuanYi Zen Hei"/>
        <family val="2"/>
      </rPr>
      <t xml:space="preserve">（粗利率</t>
    </r>
    <r>
      <rPr>
        <sz val="11"/>
        <rFont val="メイリオ"/>
        <family val="0"/>
        <charset val="1"/>
      </rPr>
      <t xml:space="preserve">30%</t>
    </r>
    <r>
      <rPr>
        <sz val="11"/>
        <rFont val="WenQuanYi Zen Hei"/>
        <family val="2"/>
      </rPr>
      <t xml:space="preserve">）</t>
    </r>
  </si>
  <si>
    <r>
      <rPr>
        <b val="true"/>
        <sz val="14"/>
        <rFont val="WenQuanYi Zen Hei"/>
        <family val="2"/>
      </rPr>
      <t xml:space="preserve">ワイン仕入・自社在庫計画（</t>
    </r>
    <r>
      <rPr>
        <b val="true"/>
        <sz val="14"/>
        <rFont val="メイリオ"/>
        <family val="0"/>
        <charset val="1"/>
      </rPr>
      <t xml:space="preserve">FY2027</t>
    </r>
    <r>
      <rPr>
        <b val="true"/>
        <sz val="14"/>
        <rFont val="WenQuanYi Zen Hei"/>
        <family val="2"/>
      </rPr>
      <t xml:space="preserve">）</t>
    </r>
  </si>
  <si>
    <r>
      <rPr>
        <sz val="9"/>
        <color rgb="FF333333"/>
        <rFont val="WenQuanYi Zen Hei"/>
        <family val="2"/>
      </rPr>
      <t xml:space="preserve">ワイン仕入は「売上原価（出庫）＋在庫増減」がキャッシュアウト。</t>
    </r>
    <r>
      <rPr>
        <sz val="9"/>
        <color rgb="FF333333"/>
        <rFont val="メイリオ"/>
        <family val="0"/>
        <charset val="1"/>
      </rPr>
      <t xml:space="preserve">PL</t>
    </r>
    <r>
      <rPr>
        <sz val="9"/>
        <color rgb="FF333333"/>
        <rFont val="WenQuanYi Zen Hei"/>
        <family val="2"/>
      </rPr>
      <t xml:space="preserve">に現れない在庫積み増しが資金繰りの最大論点。</t>
    </r>
  </si>
  <si>
    <r>
      <rPr>
        <b val="true"/>
        <sz val="11"/>
        <color rgb="FFFFFFFF"/>
        <rFont val="WenQuanYi Zen Hei"/>
        <family val="2"/>
      </rPr>
      <t xml:space="preserve">【</t>
    </r>
    <r>
      <rPr>
        <b val="true"/>
        <sz val="11"/>
        <color rgb="FFFFFFFF"/>
        <rFont val="メイリオ"/>
        <family val="0"/>
        <charset val="1"/>
      </rPr>
      <t xml:space="preserve">1</t>
    </r>
    <r>
      <rPr>
        <b val="true"/>
        <sz val="11"/>
        <color rgb="FFFFFFFF"/>
        <rFont val="WenQuanYi Zen Hei"/>
        <family val="2"/>
      </rPr>
      <t xml:space="preserve">】自社在庫（簿価）の実績推移　単位：百万円</t>
    </r>
  </si>
  <si>
    <t xml:space="preserve">時点</t>
  </si>
  <si>
    <r>
      <rPr>
        <b val="true"/>
        <sz val="11"/>
        <rFont val="メイリオ"/>
        <family val="0"/>
        <charset val="1"/>
      </rPr>
      <t xml:space="preserve">2024/12</t>
    </r>
    <r>
      <rPr>
        <b val="true"/>
        <sz val="11"/>
        <rFont val="WenQuanYi Zen Hei"/>
        <family val="2"/>
      </rPr>
      <t xml:space="preserve">末</t>
    </r>
  </si>
  <si>
    <r>
      <rPr>
        <b val="true"/>
        <sz val="11"/>
        <rFont val="メイリオ"/>
        <family val="0"/>
        <charset val="1"/>
      </rPr>
      <t xml:space="preserve">2025/07</t>
    </r>
    <r>
      <rPr>
        <b val="true"/>
        <sz val="11"/>
        <rFont val="WenQuanYi Zen Hei"/>
        <family val="2"/>
      </rPr>
      <t xml:space="preserve">末</t>
    </r>
  </si>
  <si>
    <r>
      <rPr>
        <b val="true"/>
        <sz val="11"/>
        <rFont val="メイリオ"/>
        <family val="0"/>
        <charset val="1"/>
      </rPr>
      <t xml:space="preserve">2025/09</t>
    </r>
    <r>
      <rPr>
        <b val="true"/>
        <sz val="11"/>
        <rFont val="WenQuanYi Zen Hei"/>
        <family val="2"/>
      </rPr>
      <t xml:space="preserve">末</t>
    </r>
  </si>
  <si>
    <r>
      <rPr>
        <b val="true"/>
        <sz val="11"/>
        <rFont val="メイリオ"/>
        <family val="0"/>
        <charset val="1"/>
      </rPr>
      <t xml:space="preserve">2025/12</t>
    </r>
    <r>
      <rPr>
        <b val="true"/>
        <sz val="11"/>
        <rFont val="WenQuanYi Zen Hei"/>
        <family val="2"/>
      </rPr>
      <t xml:space="preserve">末</t>
    </r>
  </si>
  <si>
    <r>
      <rPr>
        <b val="true"/>
        <sz val="11"/>
        <rFont val="メイリオ"/>
        <family val="0"/>
        <charset val="1"/>
      </rPr>
      <t xml:space="preserve">2026/03</t>
    </r>
    <r>
      <rPr>
        <b val="true"/>
        <sz val="11"/>
        <rFont val="WenQuanYi Zen Hei"/>
        <family val="2"/>
      </rPr>
      <t xml:space="preserve">末</t>
    </r>
  </si>
  <si>
    <t xml:space="preserve">自社在庫 簿価</t>
  </si>
  <si>
    <r>
      <rPr>
        <b val="true"/>
        <sz val="11"/>
        <rFont val="メイリオ"/>
        <family val="0"/>
        <charset val="1"/>
      </rPr>
      <t xml:space="preserve">2025/09</t>
    </r>
    <r>
      <rPr>
        <b val="true"/>
        <sz val="11"/>
        <rFont val="WenQuanYi Zen Hei"/>
        <family val="2"/>
      </rPr>
      <t xml:space="preserve">末→</t>
    </r>
    <r>
      <rPr>
        <b val="true"/>
        <sz val="11"/>
        <rFont val="メイリオ"/>
        <family val="0"/>
        <charset val="1"/>
      </rPr>
      <t xml:space="preserve">2026/03</t>
    </r>
    <r>
      <rPr>
        <b val="true"/>
        <sz val="11"/>
        <rFont val="WenQuanYi Zen Hei"/>
        <family val="2"/>
      </rPr>
      <t xml:space="preserve">末の増加</t>
    </r>
  </si>
  <si>
    <r>
      <rPr>
        <sz val="9"/>
        <color rgb="FF8C8C8C"/>
        <rFont val="WenQuanYi Zen Hei"/>
        <family val="2"/>
      </rPr>
      <t xml:space="preserve">百万円 </t>
    </r>
    <r>
      <rPr>
        <sz val="9"/>
        <color rgb="FF8C8C8C"/>
        <rFont val="メイリオ"/>
        <family val="0"/>
        <charset val="1"/>
      </rPr>
      <t xml:space="preserve">/ 6</t>
    </r>
    <r>
      <rPr>
        <sz val="9"/>
        <color rgb="FF8C8C8C"/>
        <rFont val="WenQuanYi Zen Hei"/>
        <family val="2"/>
      </rPr>
      <t xml:space="preserve">か月</t>
    </r>
  </si>
  <si>
    <r>
      <rPr>
        <sz val="9"/>
        <color rgb="FF333333"/>
        <rFont val="WenQuanYi Zen Hei"/>
        <family val="2"/>
      </rPr>
      <t xml:space="preserve">百万円</t>
    </r>
    <r>
      <rPr>
        <sz val="9"/>
        <color rgb="FF333333"/>
        <rFont val="メイリオ"/>
        <family val="0"/>
        <charset val="1"/>
      </rPr>
      <t xml:space="preserve">/</t>
    </r>
    <r>
      <rPr>
        <sz val="9"/>
        <color rgb="FF333333"/>
        <rFont val="WenQuanYi Zen Hei"/>
        <family val="2"/>
      </rPr>
      <t xml:space="preserve">月のキャッシュアウト</t>
    </r>
  </si>
  <si>
    <r>
      <rPr>
        <sz val="9"/>
        <color rgb="FF8C8C8C"/>
        <rFont val="WenQuanYi Zen Hei"/>
        <family val="2"/>
      </rPr>
      <t xml:space="preserve">出典：</t>
    </r>
    <r>
      <rPr>
        <sz val="9"/>
        <color rgb="FF8C8C8C"/>
        <rFont val="メイリオ"/>
        <family val="0"/>
        <charset val="1"/>
      </rPr>
      <t xml:space="preserve">2026</t>
    </r>
    <r>
      <rPr>
        <sz val="9"/>
        <color rgb="FF8C8C8C"/>
        <rFont val="WenQuanYi Zen Hei"/>
        <family val="2"/>
      </rPr>
      <t xml:space="preserve">年</t>
    </r>
    <r>
      <rPr>
        <sz val="9"/>
        <color rgb="FF8C8C8C"/>
        <rFont val="メイリオ"/>
        <family val="0"/>
        <charset val="1"/>
      </rPr>
      <t xml:space="preserve">7</t>
    </r>
    <r>
      <rPr>
        <sz val="9"/>
        <color rgb="FF8C8C8C"/>
        <rFont val="WenQuanYi Zen Hei"/>
        <family val="2"/>
      </rPr>
      <t xml:space="preserve">月度 取締役会資料「ワイン預かり残高推移</t>
    </r>
    <r>
      <rPr>
        <sz val="9"/>
        <color rgb="FF8C8C8C"/>
        <rFont val="メイリオ"/>
        <family val="0"/>
        <charset val="1"/>
      </rPr>
      <t xml:space="preserve">KPI</t>
    </r>
    <r>
      <rPr>
        <sz val="9"/>
        <color rgb="FF8C8C8C"/>
        <rFont val="WenQuanYi Zen Hei"/>
        <family val="2"/>
      </rPr>
      <t xml:space="preserve">」（税抜・簿価）</t>
    </r>
  </si>
  <si>
    <r>
      <rPr>
        <b val="true"/>
        <sz val="11"/>
        <color rgb="FFFFFFFF"/>
        <rFont val="WenQuanYi Zen Hei"/>
        <family val="2"/>
      </rPr>
      <t xml:space="preserve">【</t>
    </r>
    <r>
      <rPr>
        <b val="true"/>
        <sz val="11"/>
        <color rgb="FFFFFFFF"/>
        <rFont val="メイリオ"/>
        <family val="0"/>
        <charset val="1"/>
      </rPr>
      <t xml:space="preserve">2</t>
    </r>
    <r>
      <rPr>
        <b val="true"/>
        <sz val="11"/>
        <color rgb="FFFFFFFF"/>
        <rFont val="WenQuanYi Zen Hei"/>
        <family val="2"/>
      </rPr>
      <t xml:space="preserve">】</t>
    </r>
    <r>
      <rPr>
        <b val="true"/>
        <sz val="11"/>
        <color rgb="FFFFFFFF"/>
        <rFont val="メイリオ"/>
        <family val="0"/>
        <charset val="1"/>
      </rPr>
      <t xml:space="preserve">FY2027 </t>
    </r>
    <r>
      <rPr>
        <b val="true"/>
        <sz val="11"/>
        <color rgb="FFFFFFFF"/>
        <rFont val="WenQuanYi Zen Hei"/>
        <family val="2"/>
      </rPr>
      <t xml:space="preserve">仕入・在庫計画（税抜）</t>
    </r>
  </si>
  <si>
    <t xml:space="preserve">月次ベース</t>
  </si>
  <si>
    <t xml:space="preserve">期首在庫</t>
  </si>
  <si>
    <r>
      <rPr>
        <sz val="9"/>
        <color rgb="FF333333"/>
        <rFont val="メイリオ"/>
        <family val="0"/>
        <charset val="1"/>
      </rPr>
      <t xml:space="preserve">2026/03</t>
    </r>
    <r>
      <rPr>
        <sz val="9"/>
        <color rgb="FF333333"/>
        <rFont val="WenQuanYi Zen Hei"/>
        <family val="2"/>
      </rPr>
      <t xml:space="preserve">末実績</t>
    </r>
    <r>
      <rPr>
        <sz val="9"/>
        <color rgb="FF333333"/>
        <rFont val="メイリオ"/>
        <family val="0"/>
        <charset val="1"/>
      </rPr>
      <t xml:space="preserve">620</t>
    </r>
    <r>
      <rPr>
        <sz val="9"/>
        <color rgb="FF333333"/>
        <rFont val="WenQuanYi Zen Hei"/>
        <family val="2"/>
      </rPr>
      <t xml:space="preserve">百万円 −</t>
    </r>
    <r>
      <rPr>
        <sz val="9"/>
        <color rgb="FF333333"/>
        <rFont val="メイリオ"/>
        <family val="0"/>
        <charset val="1"/>
      </rPr>
      <t xml:space="preserve">2026/09</t>
    </r>
    <r>
      <rPr>
        <sz val="9"/>
        <color rgb="FF333333"/>
        <rFont val="WenQuanYi Zen Hei"/>
        <family val="2"/>
      </rPr>
      <t xml:space="preserve">の在庫販売</t>
    </r>
    <r>
      <rPr>
        <sz val="9"/>
        <color rgb="FF333333"/>
        <rFont val="メイリオ"/>
        <family val="0"/>
        <charset val="1"/>
      </rPr>
      <t xml:space="preserve">200</t>
    </r>
    <r>
      <rPr>
        <sz val="9"/>
        <color rgb="FF333333"/>
        <rFont val="WenQuanYi Zen Hei"/>
        <family val="2"/>
      </rPr>
      <t xml:space="preserve">百万円＝</t>
    </r>
    <r>
      <rPr>
        <sz val="9"/>
        <color rgb="FF333333"/>
        <rFont val="メイリオ"/>
        <family val="0"/>
        <charset val="1"/>
      </rPr>
      <t xml:space="preserve">420</t>
    </r>
    <r>
      <rPr>
        <sz val="9"/>
        <color rgb="FF333333"/>
        <rFont val="WenQuanYi Zen Hei"/>
        <family val="2"/>
      </rPr>
      <t xml:space="preserve">百万円。</t>
    </r>
    <r>
      <rPr>
        <sz val="9"/>
        <color rgb="FF333333"/>
        <rFont val="メイリオ"/>
        <family val="0"/>
        <charset val="1"/>
      </rPr>
      <t xml:space="preserve">2026/04-08</t>
    </r>
    <r>
      <rPr>
        <sz val="9"/>
        <color rgb="FF333333"/>
        <rFont val="WenQuanYi Zen Hei"/>
        <family val="2"/>
      </rPr>
      <t xml:space="preserve">の増減は横ばいと仮定。</t>
    </r>
  </si>
  <si>
    <t xml:space="preserve">在庫方針（月次 増減額）</t>
  </si>
  <si>
    <r>
      <rPr>
        <sz val="9"/>
        <color rgb="FF8C8C8C"/>
        <rFont val="メイリオ"/>
        <family val="0"/>
        <charset val="1"/>
      </rPr>
      <t xml:space="preserve">0</t>
    </r>
    <r>
      <rPr>
        <sz val="9"/>
        <color rgb="FF8C8C8C"/>
        <rFont val="WenQuanYi Zen Hei"/>
        <family val="2"/>
      </rPr>
      <t xml:space="preserve">＝在庫横ばい（仕入＝売上原価）。積み増す場合は月額を入力。</t>
    </r>
  </si>
  <si>
    <t xml:space="preserve">スポット大口仕入</t>
  </si>
  <si>
    <t xml:space="preserve">野村ユニソン等のロット仕入。発生月に入力。</t>
  </si>
  <si>
    <t xml:space="preserve">プリムール等 前払仕入</t>
  </si>
  <si>
    <t xml:space="preserve">引渡し前の前払。発生月に入力。</t>
  </si>
  <si>
    <t xml:space="preserve">通常仕入</t>
  </si>
  <si>
    <r>
      <rPr>
        <sz val="9"/>
        <color rgb="FF8C8C8C"/>
        <rFont val="WenQuanYi Zen Hei"/>
        <family val="2"/>
      </rPr>
      <t xml:space="preserve">方針</t>
    </r>
    <r>
      <rPr>
        <sz val="9"/>
        <color rgb="FF8C8C8C"/>
        <rFont val="メイリオ"/>
        <family val="0"/>
        <charset val="1"/>
      </rPr>
      <t xml:space="preserve">1</t>
    </r>
    <r>
      <rPr>
        <sz val="9"/>
        <color rgb="FF8C8C8C"/>
        <rFont val="WenQuanYi Zen Hei"/>
        <family val="2"/>
      </rPr>
      <t xml:space="preserve">＝売上原価と同額（在庫横ばい）／方針</t>
    </r>
    <r>
      <rPr>
        <sz val="9"/>
        <color rgb="FF8C8C8C"/>
        <rFont val="メイリオ"/>
        <family val="0"/>
        <charset val="1"/>
      </rPr>
      <t xml:space="preserve">2</t>
    </r>
    <r>
      <rPr>
        <sz val="9"/>
        <color rgb="FF8C8C8C"/>
        <rFont val="WenQuanYi Zen Hei"/>
        <family val="2"/>
      </rPr>
      <t xml:space="preserve">＝</t>
    </r>
    <r>
      <rPr>
        <sz val="9"/>
        <color rgb="FF8C8C8C"/>
        <rFont val="メイリオ"/>
        <family val="0"/>
        <charset val="1"/>
      </rPr>
      <t xml:space="preserve">FY2026</t>
    </r>
    <r>
      <rPr>
        <sz val="9"/>
        <color rgb="FF8C8C8C"/>
        <rFont val="WenQuanYi Zen Hei"/>
        <family val="2"/>
      </rPr>
      <t xml:space="preserve">の年間仕入額を</t>
    </r>
    <r>
      <rPr>
        <sz val="9"/>
        <color rgb="FF8C8C8C"/>
        <rFont val="メイリオ"/>
        <family val="0"/>
        <charset val="1"/>
      </rPr>
      <t xml:space="preserve">12</t>
    </r>
    <r>
      <rPr>
        <sz val="9"/>
        <color rgb="FF8C8C8C"/>
        <rFont val="WenQuanYi Zen Hei"/>
        <family val="2"/>
      </rPr>
      <t xml:space="preserve">等分。</t>
    </r>
  </si>
  <si>
    <t xml:space="preserve">仕入 合計（入庫）</t>
  </si>
  <si>
    <t xml:space="preserve">売上原価（出庫）</t>
  </si>
  <si>
    <t xml:space="preserve">期末在庫</t>
  </si>
  <si>
    <r>
      <rPr>
        <sz val="9"/>
        <color rgb="FF333333"/>
        <rFont val="WenQuanYi Zen Hei"/>
        <family val="2"/>
      </rPr>
      <t xml:space="preserve">※仕入方針</t>
    </r>
    <r>
      <rPr>
        <sz val="9"/>
        <color rgb="FF333333"/>
        <rFont val="メイリオ"/>
        <family val="0"/>
        <charset val="1"/>
      </rPr>
      <t xml:space="preserve">2</t>
    </r>
    <r>
      <rPr>
        <sz val="9"/>
        <color rgb="FF333333"/>
        <rFont val="WenQuanYi Zen Hei"/>
        <family val="2"/>
      </rPr>
      <t xml:space="preserve">（</t>
    </r>
    <r>
      <rPr>
        <sz val="9"/>
        <color rgb="FF333333"/>
        <rFont val="メイリオ"/>
        <family val="0"/>
        <charset val="1"/>
      </rPr>
      <t xml:space="preserve">FY2026</t>
    </r>
    <r>
      <rPr>
        <sz val="9"/>
        <color rgb="FF333333"/>
        <rFont val="WenQuanYi Zen Hei"/>
        <family val="2"/>
      </rPr>
      <t xml:space="preserve">と同額</t>
    </r>
    <r>
      <rPr>
        <sz val="9"/>
        <color rgb="FF333333"/>
        <rFont val="メイリオ"/>
        <family val="0"/>
        <charset val="1"/>
      </rPr>
      <t xml:space="preserve">419.1</t>
    </r>
    <r>
      <rPr>
        <sz val="9"/>
        <color rgb="FF333333"/>
        <rFont val="WenQuanYi Zen Hei"/>
        <family val="2"/>
      </rPr>
      <t xml:space="preserve">百万円）では、売上原価との差額が在庫増となり、その分がキャッシュアウトになります。</t>
    </r>
  </si>
  <si>
    <t xml:space="preserve">※スポット大口仕入・プリムール前払は、売上計上より先に支払が発生するため、資金繰り上は最も注意を要する項目。</t>
  </si>
  <si>
    <r>
      <rPr>
        <sz val="9"/>
        <color rgb="FF333333"/>
        <rFont val="メイリオ"/>
        <family val="0"/>
        <charset val="1"/>
      </rPr>
      <t xml:space="preserve">※2026/09</t>
    </r>
    <r>
      <rPr>
        <sz val="9"/>
        <color rgb="FF333333"/>
        <rFont val="WenQuanYi Zen Hei"/>
        <family val="2"/>
      </rPr>
      <t xml:space="preserve">に在庫</t>
    </r>
    <r>
      <rPr>
        <sz val="9"/>
        <color rgb="FF333333"/>
        <rFont val="メイリオ"/>
        <family val="0"/>
        <charset val="1"/>
      </rPr>
      <t xml:space="preserve">200</t>
    </r>
    <r>
      <rPr>
        <sz val="9"/>
        <color rgb="FF333333"/>
        <rFont val="WenQuanYi Zen Hei"/>
        <family val="2"/>
      </rPr>
      <t xml:space="preserve">百万円を販売（削減）し、その代金をみずほ銀行への融資返済</t>
    </r>
    <r>
      <rPr>
        <sz val="9"/>
        <color rgb="FF333333"/>
        <rFont val="メイリオ"/>
        <family val="0"/>
        <charset val="1"/>
      </rPr>
      <t xml:space="preserve">200</t>
    </r>
    <r>
      <rPr>
        <sz val="9"/>
        <color rgb="FF333333"/>
        <rFont val="WenQuanYi Zen Hei"/>
        <family val="2"/>
      </rPr>
      <t xml:space="preserve">百万円に充当する前提。期首在庫はその後の残高。</t>
    </r>
  </si>
  <si>
    <r>
      <rPr>
        <b val="true"/>
        <sz val="14"/>
        <rFont val="メイリオ"/>
        <family val="0"/>
        <charset val="1"/>
      </rPr>
      <t xml:space="preserve">FY2027</t>
    </r>
    <r>
      <rPr>
        <b val="true"/>
        <sz val="14"/>
        <rFont val="WenQuanYi Zen Hei"/>
        <family val="2"/>
      </rPr>
      <t xml:space="preserve">（</t>
    </r>
    <r>
      <rPr>
        <b val="true"/>
        <sz val="14"/>
        <rFont val="メイリオ"/>
        <family val="0"/>
        <charset val="1"/>
      </rPr>
      <t xml:space="preserve">2026</t>
    </r>
    <r>
      <rPr>
        <b val="true"/>
        <sz val="14"/>
        <rFont val="WenQuanYi Zen Hei"/>
        <family val="2"/>
      </rPr>
      <t xml:space="preserve">年</t>
    </r>
    <r>
      <rPr>
        <b val="true"/>
        <sz val="14"/>
        <rFont val="メイリオ"/>
        <family val="0"/>
        <charset val="1"/>
      </rPr>
      <t xml:space="preserve">10</t>
    </r>
    <r>
      <rPr>
        <b val="true"/>
        <sz val="14"/>
        <rFont val="WenQuanYi Zen Hei"/>
        <family val="2"/>
      </rPr>
      <t xml:space="preserve">月</t>
    </r>
    <r>
      <rPr>
        <b val="true"/>
        <sz val="14"/>
        <rFont val="メイリオ"/>
        <family val="0"/>
        <charset val="1"/>
      </rPr>
      <t xml:space="preserve">-2027</t>
    </r>
    <r>
      <rPr>
        <b val="true"/>
        <sz val="14"/>
        <rFont val="WenQuanYi Zen Hei"/>
        <family val="2"/>
      </rPr>
      <t xml:space="preserve">年</t>
    </r>
    <r>
      <rPr>
        <b val="true"/>
        <sz val="14"/>
        <rFont val="メイリオ"/>
        <family val="0"/>
        <charset val="1"/>
      </rPr>
      <t xml:space="preserve">9</t>
    </r>
    <r>
      <rPr>
        <b val="true"/>
        <sz val="14"/>
        <rFont val="WenQuanYi Zen Hei"/>
        <family val="2"/>
      </rPr>
      <t xml:space="preserve">月）月次資金繰り表</t>
    </r>
  </si>
  <si>
    <r>
      <rPr>
        <sz val="9"/>
        <color rgb="FF8C8C8C"/>
        <rFont val="WenQuanYi Zen Hei"/>
        <family val="2"/>
      </rPr>
      <t xml:space="preserve">単位：円（税込ベース）　プラン</t>
    </r>
    <r>
      <rPr>
        <sz val="9"/>
        <color rgb="FF8C8C8C"/>
        <rFont val="メイリオ"/>
        <family val="0"/>
        <charset val="1"/>
      </rPr>
      <t xml:space="preserve">D</t>
    </r>
    <r>
      <rPr>
        <sz val="9"/>
        <color rgb="FF8C8C8C"/>
        <rFont val="WenQuanYi Zen Hei"/>
        <family val="2"/>
      </rPr>
      <t xml:space="preserve">（②前提の「シナリオ選択」に連動）／ワイン仕入</t>
    </r>
    <r>
      <rPr>
        <sz val="9"/>
        <color rgb="FF8C8C8C"/>
        <rFont val="メイリオ"/>
        <family val="0"/>
        <charset val="1"/>
      </rPr>
      <t xml:space="preserve">FY2026</t>
    </r>
    <r>
      <rPr>
        <sz val="9"/>
        <color rgb="FF8C8C8C"/>
        <rFont val="WenQuanYi Zen Hei"/>
        <family val="2"/>
      </rPr>
      <t xml:space="preserve">同額の前提　青字＝入力セル・緑字＝他シートからのリンク</t>
    </r>
  </si>
  <si>
    <t xml:space="preserve">【前提】</t>
  </si>
  <si>
    <r>
      <rPr>
        <sz val="11"/>
        <rFont val="WenQuanYi Zen Hei"/>
        <family val="2"/>
      </rPr>
      <t xml:space="preserve">期首現預金（</t>
    </r>
    <r>
      <rPr>
        <sz val="11"/>
        <rFont val="メイリオ"/>
        <family val="0"/>
        <charset val="1"/>
      </rPr>
      <t xml:space="preserve">2026/09</t>
    </r>
    <r>
      <rPr>
        <sz val="11"/>
        <rFont val="WenQuanYi Zen Hei"/>
        <family val="2"/>
      </rPr>
      <t xml:space="preserve">末）</t>
    </r>
  </si>
  <si>
    <r>
      <rPr>
        <sz val="9"/>
        <color rgb="FF333333"/>
        <rFont val="メイリオ"/>
        <family val="0"/>
        <charset val="1"/>
      </rPr>
      <t xml:space="preserve">2026/09</t>
    </r>
    <r>
      <rPr>
        <sz val="9"/>
        <color rgb="FF333333"/>
        <rFont val="WenQuanYi Zen Hei"/>
        <family val="2"/>
      </rPr>
      <t xml:space="preserve">末にみずほ銀行へ</t>
    </r>
    <r>
      <rPr>
        <sz val="9"/>
        <color rgb="FF333333"/>
        <rFont val="メイリオ"/>
        <family val="0"/>
        <charset val="1"/>
      </rPr>
      <t xml:space="preserve">200</t>
    </r>
    <r>
      <rPr>
        <sz val="9"/>
        <color rgb="FF333333"/>
        <rFont val="WenQuanYi Zen Hei"/>
        <family val="2"/>
      </rPr>
      <t xml:space="preserve">百万円を返済した後のキャッシュポジション（貴社ご指定）。</t>
    </r>
  </si>
  <si>
    <r>
      <rPr>
        <sz val="9"/>
        <color rgb="FF8C8C8C"/>
        <rFont val="WenQuanYi Zen Hei"/>
        <family val="2"/>
      </rPr>
      <t xml:space="preserve">②前提の【</t>
    </r>
    <r>
      <rPr>
        <sz val="9"/>
        <color rgb="FF8C8C8C"/>
        <rFont val="メイリオ"/>
        <family val="0"/>
        <charset val="1"/>
      </rPr>
      <t xml:space="preserve">6</t>
    </r>
    <r>
      <rPr>
        <sz val="9"/>
        <color rgb="FF8C8C8C"/>
        <rFont val="WenQuanYi Zen Hei"/>
        <family val="2"/>
      </rPr>
      <t xml:space="preserve">】消費税の算定から自動参照</t>
    </r>
  </si>
  <si>
    <t xml:space="preserve">売上 回収サイト（か月）</t>
  </si>
  <si>
    <r>
      <rPr>
        <sz val="9"/>
        <color rgb="FF8C8C8C"/>
        <rFont val="WenQuanYi Zen Hei"/>
        <family val="2"/>
      </rPr>
      <t xml:space="preserve">売掛金回転</t>
    </r>
    <r>
      <rPr>
        <sz val="9"/>
        <color rgb="FF8C8C8C"/>
        <rFont val="メイリオ"/>
        <family val="0"/>
        <charset val="1"/>
      </rPr>
      <t xml:space="preserve">32.2</t>
    </r>
    <r>
      <rPr>
        <sz val="9"/>
        <color rgb="FF8C8C8C"/>
        <rFont val="WenQuanYi Zen Hei"/>
        <family val="2"/>
      </rPr>
      <t xml:space="preserve">日（</t>
    </r>
    <r>
      <rPr>
        <sz val="9"/>
        <color rgb="FF8C8C8C"/>
        <rFont val="メイリオ"/>
        <family val="0"/>
        <charset val="1"/>
      </rPr>
      <t xml:space="preserve">2025/09</t>
    </r>
    <r>
      <rPr>
        <sz val="9"/>
        <color rgb="FF8C8C8C"/>
        <rFont val="WenQuanYi Zen Hei"/>
        <family val="2"/>
      </rPr>
      <t xml:space="preserve">末</t>
    </r>
    <r>
      <rPr>
        <sz val="9"/>
        <color rgb="FF8C8C8C"/>
        <rFont val="メイリオ"/>
        <family val="0"/>
        <charset val="1"/>
      </rPr>
      <t xml:space="preserve">BS</t>
    </r>
    <r>
      <rPr>
        <sz val="9"/>
        <color rgb="FF8C8C8C"/>
        <rFont val="WenQuanYi Zen Hei"/>
        <family val="2"/>
      </rPr>
      <t xml:space="preserve">）より</t>
    </r>
    <r>
      <rPr>
        <sz val="9"/>
        <color rgb="FF8C8C8C"/>
        <rFont val="メイリオ"/>
        <family val="0"/>
        <charset val="1"/>
      </rPr>
      <t xml:space="preserve">1.06</t>
    </r>
    <r>
      <rPr>
        <sz val="9"/>
        <color rgb="FF8C8C8C"/>
        <rFont val="WenQuanYi Zen Hei"/>
        <family val="2"/>
      </rPr>
      <t xml:space="preserve">か月→</t>
    </r>
    <r>
      <rPr>
        <sz val="9"/>
        <color rgb="FF8C8C8C"/>
        <rFont val="メイリオ"/>
        <family val="0"/>
        <charset val="1"/>
      </rPr>
      <t xml:space="preserve">1.0</t>
    </r>
    <r>
      <rPr>
        <sz val="9"/>
        <color rgb="FF8C8C8C"/>
        <rFont val="WenQuanYi Zen Hei"/>
        <family val="2"/>
      </rPr>
      <t xml:space="preserve">か月と設定。</t>
    </r>
  </si>
  <si>
    <t xml:space="preserve">仕入 支払サイト（か月）</t>
  </si>
  <si>
    <r>
      <rPr>
        <sz val="9"/>
        <color rgb="FF8C8C8C"/>
        <rFont val="WenQuanYi Zen Hei"/>
        <family val="2"/>
      </rPr>
      <t xml:space="preserve">買掛金回転</t>
    </r>
    <r>
      <rPr>
        <sz val="9"/>
        <color rgb="FF8C8C8C"/>
        <rFont val="メイリオ"/>
        <family val="0"/>
        <charset val="1"/>
      </rPr>
      <t xml:space="preserve">23.5</t>
    </r>
    <r>
      <rPr>
        <sz val="9"/>
        <color rgb="FF8C8C8C"/>
        <rFont val="WenQuanYi Zen Hei"/>
        <family val="2"/>
      </rPr>
      <t xml:space="preserve">日（</t>
    </r>
    <r>
      <rPr>
        <sz val="9"/>
        <color rgb="FF8C8C8C"/>
        <rFont val="メイリオ"/>
        <family val="0"/>
        <charset val="1"/>
      </rPr>
      <t xml:space="preserve">2025/09</t>
    </r>
    <r>
      <rPr>
        <sz val="9"/>
        <color rgb="FF8C8C8C"/>
        <rFont val="WenQuanYi Zen Hei"/>
        <family val="2"/>
      </rPr>
      <t xml:space="preserve">末</t>
    </r>
    <r>
      <rPr>
        <sz val="9"/>
        <color rgb="FF8C8C8C"/>
        <rFont val="メイリオ"/>
        <family val="0"/>
        <charset val="1"/>
      </rPr>
      <t xml:space="preserve">BS</t>
    </r>
    <r>
      <rPr>
        <sz val="9"/>
        <color rgb="FF8C8C8C"/>
        <rFont val="WenQuanYi Zen Hei"/>
        <family val="2"/>
      </rPr>
      <t xml:space="preserve">）より</t>
    </r>
    <r>
      <rPr>
        <sz val="9"/>
        <color rgb="FF8C8C8C"/>
        <rFont val="メイリオ"/>
        <family val="0"/>
        <charset val="1"/>
      </rPr>
      <t xml:space="preserve">0.77</t>
    </r>
    <r>
      <rPr>
        <sz val="9"/>
        <color rgb="FF8C8C8C"/>
        <rFont val="WenQuanYi Zen Hei"/>
        <family val="2"/>
      </rPr>
      <t xml:space="preserve">か月→</t>
    </r>
    <r>
      <rPr>
        <sz val="9"/>
        <color rgb="FF8C8C8C"/>
        <rFont val="メイリオ"/>
        <family val="0"/>
        <charset val="1"/>
      </rPr>
      <t xml:space="preserve">1.0</t>
    </r>
    <r>
      <rPr>
        <sz val="9"/>
        <color rgb="FF8C8C8C"/>
        <rFont val="WenQuanYi Zen Hei"/>
        <family val="2"/>
      </rPr>
      <t xml:space="preserve">か月と設定。</t>
    </r>
  </si>
  <si>
    <t xml:space="preserve">長期借入金 約定返済（月額）</t>
  </si>
  <si>
    <r>
      <rPr>
        <sz val="9"/>
        <color rgb="FF333333"/>
        <rFont val="WenQuanYi Zen Hei"/>
        <family val="2"/>
      </rPr>
      <t xml:space="preserve">★要差替え。長期借入</t>
    </r>
    <r>
      <rPr>
        <sz val="9"/>
        <color rgb="FF333333"/>
        <rFont val="メイリオ"/>
        <family val="0"/>
        <charset val="1"/>
      </rPr>
      <t xml:space="preserve">423,623,000</t>
    </r>
    <r>
      <rPr>
        <sz val="9"/>
        <color rgb="FF333333"/>
        <rFont val="WenQuanYi Zen Hei"/>
        <family val="2"/>
      </rPr>
      <t xml:space="preserve">円−みずほ一括返済</t>
    </r>
    <r>
      <rPr>
        <sz val="9"/>
        <color rgb="FF333333"/>
        <rFont val="メイリオ"/>
        <family val="0"/>
        <charset val="1"/>
      </rPr>
      <t xml:space="preserve">200,000,000</t>
    </r>
    <r>
      <rPr>
        <sz val="9"/>
        <color rgb="FF333333"/>
        <rFont val="WenQuanYi Zen Hei"/>
        <family val="2"/>
      </rPr>
      <t xml:space="preserve">円＝</t>
    </r>
    <r>
      <rPr>
        <sz val="9"/>
        <color rgb="FF333333"/>
        <rFont val="メイリオ"/>
        <family val="0"/>
        <charset val="1"/>
      </rPr>
      <t xml:space="preserve">223,623,000</t>
    </r>
    <r>
      <rPr>
        <sz val="9"/>
        <color rgb="FF333333"/>
        <rFont val="WenQuanYi Zen Hei"/>
        <family val="2"/>
      </rPr>
      <t xml:space="preserve">円を</t>
    </r>
    <r>
      <rPr>
        <sz val="9"/>
        <color rgb="FF333333"/>
        <rFont val="メイリオ"/>
        <family val="0"/>
        <charset val="1"/>
      </rPr>
      <t xml:space="preserve">7</t>
    </r>
    <r>
      <rPr>
        <sz val="9"/>
        <color rgb="FF333333"/>
        <rFont val="WenQuanYi Zen Hei"/>
        <family val="2"/>
      </rPr>
      <t xml:space="preserve">年均等返済と仮定した暫定値。</t>
    </r>
  </si>
  <si>
    <t xml:space="preserve">短期借入金 純増減（月額）</t>
  </si>
  <si>
    <r>
      <rPr>
        <sz val="9"/>
        <color rgb="FF8C8C8C"/>
        <rFont val="WenQuanYi Zen Hei"/>
        <family val="2"/>
      </rPr>
      <t xml:space="preserve">短期借入</t>
    </r>
    <r>
      <rPr>
        <sz val="9"/>
        <color rgb="FF8C8C8C"/>
        <rFont val="メイリオ"/>
        <family val="0"/>
        <charset val="1"/>
      </rPr>
      <t xml:space="preserve">162,440,980</t>
    </r>
    <r>
      <rPr>
        <sz val="9"/>
        <color rgb="FF8C8C8C"/>
        <rFont val="WenQuanYi Zen Hei"/>
        <family val="2"/>
      </rPr>
      <t xml:space="preserve">円は同額借換（継続）を前提。</t>
    </r>
  </si>
  <si>
    <t xml:space="preserve">【営業収入】</t>
  </si>
  <si>
    <t xml:space="preserve">売上入金（税込）</t>
  </si>
  <si>
    <t xml:space="preserve">コンサルティング料 入金（税込）</t>
  </si>
  <si>
    <r>
      <rPr>
        <sz val="11"/>
        <color rgb="FF595959"/>
        <rFont val="メイリオ"/>
        <family val="0"/>
        <charset val="1"/>
      </rPr>
      <t xml:space="preserve">M&amp;A</t>
    </r>
    <r>
      <rPr>
        <sz val="11"/>
        <color rgb="FF595959"/>
        <rFont val="WenQuanYi Zen Hei"/>
        <family val="2"/>
      </rPr>
      <t xml:space="preserve">仲介 入金（税込）</t>
    </r>
  </si>
  <si>
    <t xml:space="preserve">前期末売掛金 回収</t>
  </si>
  <si>
    <r>
      <rPr>
        <sz val="9"/>
        <color rgb="FF333333"/>
        <rFont val="メイリオ"/>
        <family val="0"/>
        <charset val="1"/>
      </rPr>
      <t xml:space="preserve">2026/09</t>
    </r>
    <r>
      <rPr>
        <sz val="9"/>
        <color rgb="FF333333"/>
        <rFont val="WenQuanYi Zen Hei"/>
        <family val="2"/>
      </rPr>
      <t xml:space="preserve">の在庫販売</t>
    </r>
    <r>
      <rPr>
        <sz val="9"/>
        <color rgb="FF333333"/>
        <rFont val="メイリオ"/>
        <family val="0"/>
        <charset val="1"/>
      </rPr>
      <t xml:space="preserve">200</t>
    </r>
    <r>
      <rPr>
        <sz val="9"/>
        <color rgb="FF333333"/>
        <rFont val="WenQuanYi Zen Hei"/>
        <family val="2"/>
      </rPr>
      <t xml:space="preserve">百万円の代金回収およびみずほ銀行への返済は</t>
    </r>
    <r>
      <rPr>
        <sz val="9"/>
        <color rgb="FF333333"/>
        <rFont val="メイリオ"/>
        <family val="0"/>
        <charset val="1"/>
      </rPr>
      <t xml:space="preserve">2026/09</t>
    </r>
    <r>
      <rPr>
        <sz val="9"/>
        <color rgb="FF333333"/>
        <rFont val="WenQuanYi Zen Hei"/>
        <family val="2"/>
      </rPr>
      <t xml:space="preserve">末までに完了済み（期首現預金</t>
    </r>
    <r>
      <rPr>
        <sz val="9"/>
        <color rgb="FF333333"/>
        <rFont val="メイリオ"/>
        <family val="0"/>
        <charset val="1"/>
      </rPr>
      <t xml:space="preserve">30</t>
    </r>
    <r>
      <rPr>
        <sz val="9"/>
        <color rgb="FF333333"/>
        <rFont val="WenQuanYi Zen Hei"/>
        <family val="2"/>
      </rPr>
      <t xml:space="preserve">百万円に反映）。</t>
    </r>
  </si>
  <si>
    <r>
      <rPr>
        <sz val="11"/>
        <color rgb="FF595959"/>
        <rFont val="WenQuanYi Zen Hei"/>
        <family val="2"/>
      </rPr>
      <t xml:space="preserve">クルーザー</t>
    </r>
    <r>
      <rPr>
        <sz val="11"/>
        <color rgb="FF595959"/>
        <rFont val="メイリオ"/>
        <family val="0"/>
        <charset val="1"/>
      </rPr>
      <t xml:space="preserve">×</t>
    </r>
    <r>
      <rPr>
        <sz val="11"/>
        <color rgb="FF595959"/>
        <rFont val="WenQuanYi Zen Hei"/>
        <family val="2"/>
      </rPr>
      <t xml:space="preserve">ワイン事業 入金（税込）</t>
    </r>
  </si>
  <si>
    <r>
      <rPr>
        <sz val="9"/>
        <color rgb="FF8C8C8C"/>
        <rFont val="WenQuanYi Zen Hei"/>
        <family val="2"/>
      </rPr>
      <t xml:space="preserve">新規クルーザー事業。</t>
    </r>
    <r>
      <rPr>
        <sz val="9"/>
        <color rgb="FF8C8C8C"/>
        <rFont val="メイリオ"/>
        <family val="0"/>
        <charset val="1"/>
      </rPr>
      <t xml:space="preserve">2027/03</t>
    </r>
    <r>
      <rPr>
        <sz val="9"/>
        <color rgb="FF8C8C8C"/>
        <rFont val="WenQuanYi Zen Hei"/>
        <family val="2"/>
      </rPr>
      <t xml:space="preserve">と</t>
    </r>
    <r>
      <rPr>
        <sz val="9"/>
        <color rgb="FF8C8C8C"/>
        <rFont val="メイリオ"/>
        <family val="0"/>
        <charset val="1"/>
      </rPr>
      <t xml:space="preserve">2027/09</t>
    </r>
    <r>
      <rPr>
        <sz val="9"/>
        <color rgb="FF8C8C8C"/>
        <rFont val="WenQuanYi Zen Hei"/>
        <family val="2"/>
      </rPr>
      <t xml:space="preserve">に各</t>
    </r>
    <r>
      <rPr>
        <sz val="9"/>
        <color rgb="FF8C8C8C"/>
        <rFont val="メイリオ"/>
        <family val="0"/>
        <charset val="1"/>
      </rPr>
      <t xml:space="preserve">10</t>
    </r>
    <r>
      <rPr>
        <sz val="9"/>
        <color rgb="FF8C8C8C"/>
        <rFont val="WenQuanYi Zen Hei"/>
        <family val="2"/>
      </rPr>
      <t xml:space="preserve">百万円。課税取引として税込入金と仮定。</t>
    </r>
  </si>
  <si>
    <t xml:space="preserve">営業収入 計</t>
  </si>
  <si>
    <t xml:space="preserve">【営業支出】</t>
  </si>
  <si>
    <t xml:space="preserve">ワイン仕入 支払（税込）</t>
  </si>
  <si>
    <t xml:space="preserve">人件費（役員報酬・給与・雑給・法定福利）</t>
  </si>
  <si>
    <t xml:space="preserve">その他販管費（税込・減価償却除く）</t>
  </si>
  <si>
    <t xml:space="preserve">支払利息</t>
  </si>
  <si>
    <t xml:space="preserve">消費税 納付</t>
  </si>
  <si>
    <r>
      <rPr>
        <sz val="9"/>
        <color rgb="FF333333"/>
        <rFont val="WenQuanYi Zen Hei"/>
        <family val="2"/>
      </rPr>
      <t xml:space="preserve">②前提【</t>
    </r>
    <r>
      <rPr>
        <sz val="9"/>
        <color rgb="FF333333"/>
        <rFont val="メイリオ"/>
        <family val="0"/>
        <charset val="1"/>
      </rPr>
      <t xml:space="preserve">6</t>
    </r>
    <r>
      <rPr>
        <sz val="9"/>
        <color rgb="FF333333"/>
        <rFont val="WenQuanYi Zen Hei"/>
        <family val="2"/>
      </rPr>
      <t xml:space="preserve">】の算定結果を参照。</t>
    </r>
    <r>
      <rPr>
        <sz val="9"/>
        <color rgb="FF333333"/>
        <rFont val="メイリオ"/>
        <family val="0"/>
        <charset val="1"/>
      </rPr>
      <t xml:space="preserve">2026/11</t>
    </r>
    <r>
      <rPr>
        <sz val="9"/>
        <color rgb="FF333333"/>
        <rFont val="WenQuanYi Zen Hei"/>
        <family val="2"/>
      </rPr>
      <t xml:space="preserve">＝</t>
    </r>
    <r>
      <rPr>
        <sz val="9"/>
        <color rgb="FF333333"/>
        <rFont val="メイリオ"/>
        <family val="0"/>
        <charset val="1"/>
      </rPr>
      <t xml:space="preserve">FY2026</t>
    </r>
    <r>
      <rPr>
        <sz val="9"/>
        <color rgb="FF333333"/>
        <rFont val="WenQuanYi Zen Hei"/>
        <family val="2"/>
      </rPr>
      <t xml:space="preserve">分の確定納付、</t>
    </r>
    <r>
      <rPr>
        <sz val="9"/>
        <color rgb="FF333333"/>
        <rFont val="メイリオ"/>
        <family val="0"/>
        <charset val="1"/>
      </rPr>
      <t xml:space="preserve">2027/02</t>
    </r>
    <r>
      <rPr>
        <sz val="9"/>
        <color rgb="FF333333"/>
        <rFont val="WenQuanYi Zen Hei"/>
        <family val="2"/>
      </rPr>
      <t xml:space="preserve">・</t>
    </r>
    <r>
      <rPr>
        <sz val="9"/>
        <color rgb="FF333333"/>
        <rFont val="メイリオ"/>
        <family val="0"/>
        <charset val="1"/>
      </rPr>
      <t xml:space="preserve">05</t>
    </r>
    <r>
      <rPr>
        <sz val="9"/>
        <color rgb="FF333333"/>
        <rFont val="WenQuanYi Zen Hei"/>
        <family val="2"/>
      </rPr>
      <t xml:space="preserve">・</t>
    </r>
    <r>
      <rPr>
        <sz val="9"/>
        <color rgb="FF333333"/>
        <rFont val="メイリオ"/>
        <family val="0"/>
        <charset val="1"/>
      </rPr>
      <t xml:space="preserve">08</t>
    </r>
    <r>
      <rPr>
        <sz val="9"/>
        <color rgb="FF333333"/>
        <rFont val="WenQuanYi Zen Hei"/>
        <family val="2"/>
      </rPr>
      <t xml:space="preserve">＝当期の中間納付（年</t>
    </r>
    <r>
      <rPr>
        <sz val="9"/>
        <color rgb="FF333333"/>
        <rFont val="メイリオ"/>
        <family val="0"/>
        <charset val="1"/>
      </rPr>
      <t xml:space="preserve">3</t>
    </r>
    <r>
      <rPr>
        <sz val="9"/>
        <color rgb="FF333333"/>
        <rFont val="WenQuanYi Zen Hei"/>
        <family val="2"/>
      </rPr>
      <t xml:space="preserve">回）。</t>
    </r>
  </si>
  <si>
    <t xml:space="preserve">法人税等（均等割）</t>
  </si>
  <si>
    <t xml:space="preserve">営業支出 計</t>
  </si>
  <si>
    <t xml:space="preserve">経常収支</t>
  </si>
  <si>
    <t xml:space="preserve">【財務収支】</t>
  </si>
  <si>
    <t xml:space="preserve">長期借入金 約定返済</t>
  </si>
  <si>
    <t xml:space="preserve">短期借入金 純増減</t>
  </si>
  <si>
    <t xml:space="preserve">新規調達（借入・増資）</t>
  </si>
  <si>
    <t xml:space="preserve">みずほ銀行 融資返済</t>
  </si>
  <si>
    <r>
      <rPr>
        <sz val="9"/>
        <color rgb="FF333333"/>
        <rFont val="メイリオ"/>
        <family val="0"/>
        <charset val="1"/>
      </rPr>
      <t xml:space="preserve">2026/09</t>
    </r>
    <r>
      <rPr>
        <sz val="9"/>
        <color rgb="FF333333"/>
        <rFont val="WenQuanYi Zen Hei"/>
        <family val="2"/>
      </rPr>
      <t xml:space="preserve">末に</t>
    </r>
    <r>
      <rPr>
        <sz val="9"/>
        <color rgb="FF333333"/>
        <rFont val="メイリオ"/>
        <family val="0"/>
        <charset val="1"/>
      </rPr>
      <t xml:space="preserve">200</t>
    </r>
    <r>
      <rPr>
        <sz val="9"/>
        <color rgb="FF333333"/>
        <rFont val="WenQuanYi Zen Hei"/>
        <family val="2"/>
      </rPr>
      <t xml:space="preserve">百万円を返済済みのため</t>
    </r>
    <r>
      <rPr>
        <sz val="9"/>
        <color rgb="FF333333"/>
        <rFont val="メイリオ"/>
        <family val="0"/>
        <charset val="1"/>
      </rPr>
      <t xml:space="preserve">FY2027</t>
    </r>
    <r>
      <rPr>
        <sz val="9"/>
        <color rgb="FF333333"/>
        <rFont val="WenQuanYi Zen Hei"/>
        <family val="2"/>
      </rPr>
      <t xml:space="preserve">には計上しない。</t>
    </r>
  </si>
  <si>
    <t xml:space="preserve">財務収支 計</t>
  </si>
  <si>
    <t xml:space="preserve">当月収支</t>
  </si>
  <si>
    <t xml:space="preserve">前月繰越 現預金</t>
  </si>
  <si>
    <t xml:space="preserve">翌月繰越 現預金</t>
  </si>
  <si>
    <t xml:space="preserve">資金不足額（マイナス時）</t>
  </si>
  <si>
    <t xml:space="preserve">通期列＝最大不足額（必要調達額の下限）</t>
  </si>
  <si>
    <r>
      <rPr>
        <sz val="9"/>
        <color rgb="FF8C8C8C"/>
        <rFont val="WenQuanYi Zen Hei"/>
        <family val="2"/>
      </rPr>
      <t xml:space="preserve">※売上・仕入とも回収／支払サイト</t>
    </r>
    <r>
      <rPr>
        <sz val="9"/>
        <color rgb="FF8C8C8C"/>
        <rFont val="メイリオ"/>
        <family val="0"/>
        <charset val="1"/>
      </rPr>
      <t xml:space="preserve">1.0</t>
    </r>
    <r>
      <rPr>
        <sz val="9"/>
        <color rgb="FF8C8C8C"/>
        <rFont val="WenQuanYi Zen Hei"/>
        <family val="2"/>
      </rPr>
      <t xml:space="preserve">か月。既存事業の売上は横ばい前提のため、月ズレの影響は通期では相殺されます。</t>
    </r>
  </si>
  <si>
    <t xml:space="preserve">※ワイン仕入の支払は前月仕入額を当月に支払う前提（⑥シートで仕入月を入力すると、翌月に資金流出として反映されます）。</t>
  </si>
  <si>
    <r>
      <rPr>
        <sz val="9"/>
        <color rgb="FF8C8C8C"/>
        <rFont val="WenQuanYi Zen Hei"/>
        <family val="2"/>
      </rPr>
      <t xml:space="preserve">※減価償却費（月</t>
    </r>
    <r>
      <rPr>
        <sz val="9"/>
        <color rgb="FF8C8C8C"/>
        <rFont val="メイリオ"/>
        <family val="0"/>
        <charset val="1"/>
      </rPr>
      <t xml:space="preserve">3.6</t>
    </r>
    <r>
      <rPr>
        <sz val="9"/>
        <color rgb="FF8C8C8C"/>
        <rFont val="WenQuanYi Zen Hei"/>
        <family val="2"/>
      </rPr>
      <t xml:space="preserve">百万円）は資金支出を伴わないため、営業支出から除外しています。</t>
    </r>
  </si>
  <si>
    <t xml:space="preserve">※消費税納付・法人税等は暫定値です。税理士確定額に差し替えてください。</t>
  </si>
  <si>
    <r>
      <rPr>
        <sz val="9"/>
        <color rgb="FF333333"/>
        <rFont val="WenQuanYi Zen Hei"/>
        <family val="2"/>
      </rPr>
      <t xml:space="preserve">※期首現預金と長期借入返済額（黄色セル）は必ず実際の数値に差し替えてください。この</t>
    </r>
    <r>
      <rPr>
        <sz val="9"/>
        <color rgb="FF333333"/>
        <rFont val="メイリオ"/>
        <family val="0"/>
        <charset val="1"/>
      </rPr>
      <t xml:space="preserve">2</t>
    </r>
    <r>
      <rPr>
        <sz val="9"/>
        <color rgb="FF333333"/>
        <rFont val="WenQuanYi Zen Hei"/>
        <family val="2"/>
      </rPr>
      <t xml:space="preserve">つで結論が大きく変わります。</t>
    </r>
  </si>
  <si>
    <t xml:space="preserve">【感応度】どこまで耐えられるか</t>
  </si>
  <si>
    <t xml:space="preserve">ケース</t>
  </si>
  <si>
    <t xml:space="preserve">期末 現預金残高</t>
  </si>
  <si>
    <t xml:space="preserve">期中 最低残高</t>
  </si>
  <si>
    <t xml:space="preserve">必要調達額</t>
  </si>
  <si>
    <t xml:space="preserve">前提</t>
  </si>
  <si>
    <r>
      <rPr>
        <b val="true"/>
        <sz val="11"/>
        <rFont val="メイリオ"/>
        <family val="0"/>
        <charset val="1"/>
      </rPr>
      <t xml:space="preserve">A. </t>
    </r>
    <r>
      <rPr>
        <b val="true"/>
        <sz val="11"/>
        <rFont val="WenQuanYi Zen Hei"/>
        <family val="2"/>
      </rPr>
      <t xml:space="preserve">基本（プラン</t>
    </r>
    <r>
      <rPr>
        <b val="true"/>
        <sz val="11"/>
        <rFont val="メイリオ"/>
        <family val="0"/>
        <charset val="1"/>
      </rPr>
      <t xml:space="preserve">D</t>
    </r>
    <r>
      <rPr>
        <b val="true"/>
        <sz val="11"/>
        <rFont val="WenQuanYi Zen Hei"/>
        <family val="2"/>
      </rPr>
      <t xml:space="preserve">：仕入</t>
    </r>
    <r>
      <rPr>
        <b val="true"/>
        <sz val="11"/>
        <rFont val="メイリオ"/>
        <family val="0"/>
        <charset val="1"/>
      </rPr>
      <t xml:space="preserve">FY2026</t>
    </r>
    <r>
      <rPr>
        <b val="true"/>
        <sz val="11"/>
        <rFont val="WenQuanYi Zen Hei"/>
        <family val="2"/>
      </rPr>
      <t xml:space="preserve">同額・売上</t>
    </r>
    <r>
      <rPr>
        <b val="true"/>
        <sz val="11"/>
        <rFont val="メイリオ"/>
        <family val="0"/>
        <charset val="1"/>
      </rPr>
      <t xml:space="preserve">833.0</t>
    </r>
    <r>
      <rPr>
        <b val="true"/>
        <sz val="11"/>
        <rFont val="WenQuanYi Zen Hei"/>
        <family val="2"/>
      </rPr>
      <t xml:space="preserve">百万円）</t>
    </r>
  </si>
  <si>
    <r>
      <rPr>
        <sz val="9"/>
        <color rgb="FF8C8C8C"/>
        <rFont val="WenQuanYi Zen Hei"/>
        <family val="2"/>
      </rPr>
      <t xml:space="preserve">期首現預金</t>
    </r>
    <r>
      <rPr>
        <sz val="9"/>
        <color rgb="FF8C8C8C"/>
        <rFont val="メイリオ"/>
        <family val="0"/>
        <charset val="1"/>
      </rPr>
      <t xml:space="preserve">30</t>
    </r>
    <r>
      <rPr>
        <sz val="9"/>
        <color rgb="FF8C8C8C"/>
        <rFont val="WenQuanYi Zen Hei"/>
        <family val="2"/>
      </rPr>
      <t xml:space="preserve">百万円、ワイン仕入</t>
    </r>
    <r>
      <rPr>
        <sz val="9"/>
        <color rgb="FF8C8C8C"/>
        <rFont val="メイリオ"/>
        <family val="0"/>
        <charset val="1"/>
      </rPr>
      <t xml:space="preserve">FY2026</t>
    </r>
    <r>
      <rPr>
        <sz val="9"/>
        <color rgb="FF8C8C8C"/>
        <rFont val="WenQuanYi Zen Hei"/>
        <family val="2"/>
      </rPr>
      <t xml:space="preserve">と同額</t>
    </r>
    <r>
      <rPr>
        <sz val="9"/>
        <color rgb="FF8C8C8C"/>
        <rFont val="メイリオ"/>
        <family val="0"/>
        <charset val="1"/>
      </rPr>
      <t xml:space="preserve">419.1</t>
    </r>
    <r>
      <rPr>
        <sz val="9"/>
        <color rgb="FF8C8C8C"/>
        <rFont val="WenQuanYi Zen Hei"/>
        <family val="2"/>
      </rPr>
      <t xml:space="preserve">百万円、売上</t>
    </r>
    <r>
      <rPr>
        <sz val="9"/>
        <color rgb="FF8C8C8C"/>
        <rFont val="メイリオ"/>
        <family val="0"/>
        <charset val="1"/>
      </rPr>
      <t xml:space="preserve">833.0</t>
    </r>
    <r>
      <rPr>
        <sz val="9"/>
        <color rgb="FF8C8C8C"/>
        <rFont val="WenQuanYi Zen Hei"/>
        <family val="2"/>
      </rPr>
      <t xml:space="preserve">百万円</t>
    </r>
  </si>
  <si>
    <r>
      <rPr>
        <sz val="11"/>
        <rFont val="メイリオ"/>
        <family val="0"/>
        <charset val="1"/>
      </rPr>
      <t xml:space="preserve">B. </t>
    </r>
    <r>
      <rPr>
        <sz val="11"/>
        <rFont val="WenQuanYi Zen Hei"/>
        <family val="2"/>
      </rPr>
      <t xml:space="preserve">ワイン仕入を在庫横ばいにした場合</t>
    </r>
  </si>
  <si>
    <r>
      <rPr>
        <sz val="9"/>
        <color rgb="FF8C8C8C"/>
        <rFont val="WenQuanYi Zen Hei"/>
        <family val="2"/>
      </rPr>
      <t xml:space="preserve">仕入＝売上原価（②前提のワイン仕入方針を</t>
    </r>
    <r>
      <rPr>
        <sz val="9"/>
        <color rgb="FF8C8C8C"/>
        <rFont val="メイリオ"/>
        <family val="0"/>
        <charset val="1"/>
      </rPr>
      <t xml:space="preserve">1</t>
    </r>
    <r>
      <rPr>
        <sz val="9"/>
        <color rgb="FF8C8C8C"/>
        <rFont val="WenQuanYi Zen Hei"/>
        <family val="2"/>
      </rPr>
      <t xml:space="preserve">に変更）。在庫は増えない</t>
    </r>
  </si>
  <si>
    <r>
      <rPr>
        <sz val="11"/>
        <rFont val="メイリオ"/>
        <family val="0"/>
        <charset val="1"/>
      </rPr>
      <t xml:space="preserve">C. 2027/03</t>
    </r>
    <r>
      <rPr>
        <sz val="11"/>
        <rFont val="WenQuanYi Zen Hei"/>
        <family val="2"/>
      </rPr>
      <t xml:space="preserve">・</t>
    </r>
    <r>
      <rPr>
        <sz val="11"/>
        <rFont val="メイリオ"/>
        <family val="0"/>
        <charset val="1"/>
      </rPr>
      <t xml:space="preserve">09</t>
    </r>
    <r>
      <rPr>
        <sz val="11"/>
        <rFont val="WenQuanYi Zen Hei"/>
        <family val="2"/>
      </rPr>
      <t xml:space="preserve">の一時収益が入らない</t>
    </r>
  </si>
  <si>
    <r>
      <rPr>
        <sz val="9"/>
        <color rgb="FF8C8C8C"/>
        <rFont val="WenQuanYi Zen Hei"/>
        <family val="2"/>
      </rPr>
      <t xml:space="preserve">クルーザー</t>
    </r>
    <r>
      <rPr>
        <sz val="9"/>
        <color rgb="FF8C8C8C"/>
        <rFont val="メイリオ"/>
        <family val="0"/>
        <charset val="1"/>
      </rPr>
      <t xml:space="preserve">×</t>
    </r>
    <r>
      <rPr>
        <sz val="9"/>
        <color rgb="FF8C8C8C"/>
        <rFont val="WenQuanYi Zen Hei"/>
        <family val="2"/>
      </rPr>
      <t xml:space="preserve">ワイン事業</t>
    </r>
    <r>
      <rPr>
        <sz val="9"/>
        <color rgb="FF8C8C8C"/>
        <rFont val="メイリオ"/>
        <family val="0"/>
        <charset val="1"/>
      </rPr>
      <t xml:space="preserve">22.0</t>
    </r>
    <r>
      <rPr>
        <sz val="9"/>
        <color rgb="FF8C8C8C"/>
        <rFont val="WenQuanYi Zen Hei"/>
        <family val="2"/>
      </rPr>
      <t xml:space="preserve">百万円（税込）が未入金。</t>
    </r>
    <r>
      <rPr>
        <sz val="9"/>
        <color rgb="FF8C8C8C"/>
        <rFont val="メイリオ"/>
        <family val="0"/>
        <charset val="1"/>
      </rPr>
      <t xml:space="preserve">M&amp;A</t>
    </r>
    <r>
      <rPr>
        <sz val="9"/>
        <color rgb="FF8C8C8C"/>
        <rFont val="WenQuanYi Zen Hei"/>
        <family val="2"/>
      </rPr>
      <t xml:space="preserve">仲介は</t>
    </r>
    <r>
      <rPr>
        <sz val="9"/>
        <color rgb="FF8C8C8C"/>
        <rFont val="メイリオ"/>
        <family val="0"/>
        <charset val="1"/>
      </rPr>
      <t xml:space="preserve">FY2026</t>
    </r>
    <r>
      <rPr>
        <sz val="9"/>
        <color rgb="FF8C8C8C"/>
        <rFont val="WenQuanYi Zen Hei"/>
        <family val="2"/>
      </rPr>
      <t xml:space="preserve">に前倒しのため対象外</t>
    </r>
  </si>
  <si>
    <r>
      <rPr>
        <sz val="11"/>
        <rFont val="メイリオ"/>
        <family val="0"/>
        <charset val="1"/>
      </rPr>
      <t xml:space="preserve">D. </t>
    </r>
    <r>
      <rPr>
        <sz val="11"/>
        <rFont val="WenQuanYi Zen Hei"/>
        <family val="2"/>
      </rPr>
      <t xml:space="preserve">差額売上が未達（横ばい実力値にとどまる）</t>
    </r>
  </si>
  <si>
    <r>
      <rPr>
        <sz val="9"/>
        <color rgb="FF8C8C8C"/>
        <rFont val="WenQuanYi Zen Hei"/>
        <family val="2"/>
      </rPr>
      <t xml:space="preserve">差額売上</t>
    </r>
    <r>
      <rPr>
        <sz val="9"/>
        <color rgb="FF8C8C8C"/>
        <rFont val="メイリオ"/>
        <family val="0"/>
        <charset val="1"/>
      </rPr>
      <t xml:space="preserve">341.4</t>
    </r>
    <r>
      <rPr>
        <sz val="9"/>
        <color rgb="FF8C8C8C"/>
        <rFont val="WenQuanYi Zen Hei"/>
        <family val="2"/>
      </rPr>
      <t xml:space="preserve">百万円が未達。仕入方針</t>
    </r>
    <r>
      <rPr>
        <sz val="9"/>
        <color rgb="FF8C8C8C"/>
        <rFont val="メイリオ"/>
        <family val="0"/>
        <charset val="1"/>
      </rPr>
      <t xml:space="preserve">2</t>
    </r>
    <r>
      <rPr>
        <sz val="9"/>
        <color rgb="FF8C8C8C"/>
        <rFont val="WenQuanYi Zen Hei"/>
        <family val="2"/>
      </rPr>
      <t xml:space="preserve">では仕入額が減らないため全額が資金不足に直結</t>
    </r>
  </si>
  <si>
    <r>
      <rPr>
        <sz val="11"/>
        <rFont val="メイリオ"/>
        <family val="0"/>
        <charset val="1"/>
      </rPr>
      <t xml:space="preserve">E. </t>
    </r>
    <r>
      <rPr>
        <sz val="11"/>
        <rFont val="WenQuanYi Zen Hei"/>
        <family val="2"/>
      </rPr>
      <t xml:space="preserve">プラン</t>
    </r>
    <r>
      <rPr>
        <sz val="11"/>
        <rFont val="メイリオ"/>
        <family val="0"/>
        <charset val="1"/>
      </rPr>
      <t xml:space="preserve">E</t>
    </r>
    <r>
      <rPr>
        <sz val="11"/>
        <rFont val="WenQuanYi Zen Hei"/>
        <family val="2"/>
      </rPr>
      <t xml:space="preserve">（私募＋オークション</t>
    </r>
    <r>
      <rPr>
        <sz val="11"/>
        <rFont val="メイリオ"/>
        <family val="0"/>
        <charset val="1"/>
      </rPr>
      <t xml:space="preserve">300</t>
    </r>
    <r>
      <rPr>
        <sz val="11"/>
        <rFont val="WenQuanYi Zen Hei"/>
        <family val="2"/>
      </rPr>
      <t xml:space="preserve">百万円が上積み）</t>
    </r>
  </si>
  <si>
    <r>
      <rPr>
        <sz val="9"/>
        <color rgb="FF8C8C8C"/>
        <rFont val="WenQuanYi Zen Hei"/>
        <family val="2"/>
      </rPr>
      <t xml:space="preserve">上振れケース。追加売上</t>
    </r>
    <r>
      <rPr>
        <sz val="9"/>
        <color rgb="FF8C8C8C"/>
        <rFont val="メイリオ"/>
        <family val="0"/>
        <charset val="1"/>
      </rPr>
      <t xml:space="preserve">300</t>
    </r>
    <r>
      <rPr>
        <sz val="9"/>
        <color rgb="FF8C8C8C"/>
        <rFont val="WenQuanYi Zen Hei"/>
        <family val="2"/>
      </rPr>
      <t xml:space="preserve">百万円が当期中に入金した場合</t>
    </r>
  </si>
  <si>
    <r>
      <rPr>
        <sz val="11"/>
        <rFont val="WenQuanYi Zen Hei"/>
        <family val="2"/>
      </rPr>
      <t xml:space="preserve">運転資金バッファ（月商</t>
    </r>
    <r>
      <rPr>
        <sz val="11"/>
        <rFont val="メイリオ"/>
        <family val="0"/>
        <charset val="1"/>
      </rPr>
      <t xml:space="preserve">1</t>
    </r>
    <r>
      <rPr>
        <sz val="11"/>
        <rFont val="WenQuanYi Zen Hei"/>
        <family val="2"/>
      </rPr>
      <t xml:space="preserve">か月）</t>
    </r>
  </si>
  <si>
    <r>
      <rPr>
        <sz val="9"/>
        <color rgb="FF8C8C8C"/>
        <rFont val="WenQuanYi Zen Hei"/>
        <family val="2"/>
      </rPr>
      <t xml:space="preserve">最低残高をゼロに戻すだけでは足りないため、月商</t>
    </r>
    <r>
      <rPr>
        <sz val="9"/>
        <color rgb="FF8C8C8C"/>
        <rFont val="メイリオ"/>
        <family val="0"/>
        <charset val="1"/>
      </rPr>
      <t xml:space="preserve">1</t>
    </r>
    <r>
      <rPr>
        <sz val="9"/>
        <color rgb="FF8C8C8C"/>
        <rFont val="WenQuanYi Zen Hei"/>
        <family val="2"/>
      </rPr>
      <t xml:space="preserve">か月分を上乗せして必要調達額を算定。</t>
    </r>
  </si>
  <si>
    <r>
      <rPr>
        <sz val="9"/>
        <color rgb="FF333333"/>
        <rFont val="WenQuanYi Zen Hei"/>
        <family val="2"/>
      </rPr>
      <t xml:space="preserve">※ケース</t>
    </r>
    <r>
      <rPr>
        <sz val="9"/>
        <color rgb="FF333333"/>
        <rFont val="メイリオ"/>
        <family val="0"/>
        <charset val="1"/>
      </rPr>
      <t xml:space="preserve">A</t>
    </r>
    <r>
      <rPr>
        <sz val="9"/>
        <color rgb="FF333333"/>
        <rFont val="WenQuanYi Zen Hei"/>
        <family val="2"/>
      </rPr>
      <t xml:space="preserve">と</t>
    </r>
    <r>
      <rPr>
        <sz val="9"/>
        <color rgb="FF333333"/>
        <rFont val="メイリオ"/>
        <family val="0"/>
        <charset val="1"/>
      </rPr>
      <t xml:space="preserve">B</t>
    </r>
    <r>
      <rPr>
        <sz val="9"/>
        <color rgb="FF333333"/>
        <rFont val="WenQuanYi Zen Hei"/>
        <family val="2"/>
      </rPr>
      <t xml:space="preserve">の差が、ワイン仕入方針（在庫を積むか積まないか）による資金インパクトです。</t>
    </r>
  </si>
  <si>
    <r>
      <rPr>
        <sz val="9"/>
        <color rgb="FF333333"/>
        <rFont val="WenQuanYi Zen Hei"/>
        <family val="2"/>
      </rPr>
      <t xml:space="preserve">※ケース</t>
    </r>
    <r>
      <rPr>
        <sz val="9"/>
        <color rgb="FF333333"/>
        <rFont val="メイリオ"/>
        <family val="0"/>
        <charset val="1"/>
      </rPr>
      <t xml:space="preserve">C</t>
    </r>
    <r>
      <rPr>
        <sz val="9"/>
        <color rgb="FF333333"/>
        <rFont val="WenQuanYi Zen Hei"/>
        <family val="2"/>
      </rPr>
      <t xml:space="preserve">と</t>
    </r>
    <r>
      <rPr>
        <sz val="9"/>
        <color rgb="FF333333"/>
        <rFont val="メイリオ"/>
        <family val="0"/>
        <charset val="1"/>
      </rPr>
      <t xml:space="preserve">D</t>
    </r>
    <r>
      <rPr>
        <sz val="9"/>
        <color rgb="FF333333"/>
        <rFont val="WenQuanYi Zen Hei"/>
        <family val="2"/>
      </rPr>
      <t xml:space="preserve">が同時に起きた場合、必要調達額は両者の合計に近い水準となります。</t>
    </r>
  </si>
  <si>
    <r>
      <rPr>
        <b val="true"/>
        <sz val="11"/>
        <color rgb="FFFFFFFF"/>
        <rFont val="WenQuanYi Zen Hei"/>
        <family val="2"/>
      </rPr>
      <t xml:space="preserve">【必要売上高の算定】ワイン仕入を</t>
    </r>
    <r>
      <rPr>
        <b val="true"/>
        <sz val="11"/>
        <color rgb="FFFFFFFF"/>
        <rFont val="メイリオ"/>
        <family val="0"/>
        <charset val="1"/>
      </rPr>
      <t xml:space="preserve">FY2026</t>
    </r>
    <r>
      <rPr>
        <b val="true"/>
        <sz val="11"/>
        <color rgb="FFFFFFFF"/>
        <rFont val="WenQuanYi Zen Hei"/>
        <family val="2"/>
      </rPr>
      <t xml:space="preserve">と同水準（</t>
    </r>
    <r>
      <rPr>
        <b val="true"/>
        <sz val="11"/>
        <color rgb="FFFFFFFF"/>
        <rFont val="メイリオ"/>
        <family val="0"/>
        <charset val="1"/>
      </rPr>
      <t xml:space="preserve">419.1</t>
    </r>
    <r>
      <rPr>
        <b val="true"/>
        <sz val="11"/>
        <color rgb="FFFFFFFF"/>
        <rFont val="WenQuanYi Zen Hei"/>
        <family val="2"/>
      </rPr>
      <t xml:space="preserve">百万円）に維持した場合</t>
    </r>
  </si>
  <si>
    <t xml:space="preserve">目標 期中最低残高</t>
  </si>
  <si>
    <r>
      <rPr>
        <sz val="9"/>
        <color rgb="FF8C8C8C"/>
        <rFont val="メイリオ"/>
        <family val="0"/>
        <charset val="1"/>
      </rPr>
      <t xml:space="preserve">0</t>
    </r>
    <r>
      <rPr>
        <sz val="9"/>
        <color rgb="FF8C8C8C"/>
        <rFont val="WenQuanYi Zen Hei"/>
        <family val="2"/>
      </rPr>
      <t xml:space="preserve">＝期中に一度も現預金がマイナスにならない水準。バッファを確保したい場合は金額を入力。</t>
    </r>
  </si>
  <si>
    <t xml:space="preserve">月次ネット収支（追加売上を除く）</t>
  </si>
  <si>
    <t xml:space="preserve">既存事業売上＋経営指導料の入金から、ワイン仕入・人件費・その他販管費・支払利息・長期借入返済を差し引いた月次ネット。</t>
  </si>
  <si>
    <t xml:space="preserve">経過月</t>
  </si>
  <si>
    <t xml:space="preserve">基礎 累計現預金（追加売上なし）</t>
  </si>
  <si>
    <t xml:space="preserve">その月をゼロにするのに必要な追加売上</t>
  </si>
  <si>
    <t xml:space="preserve">必要な追加売上（年額）</t>
  </si>
  <si>
    <t xml:space="preserve">必要な売上高（既存＋追加）</t>
  </si>
  <si>
    <t xml:space="preserve">ボトルネックとなる月</t>
  </si>
  <si>
    <t xml:space="preserve">この月の資金需要が最も大きく、必要売上高を決めています。</t>
  </si>
  <si>
    <r>
      <rPr>
        <sz val="9"/>
        <color rgb="FF333333"/>
        <rFont val="WenQuanYi Zen Hei"/>
        <family val="2"/>
      </rPr>
      <t xml:space="preserve">※追加売上は</t>
    </r>
    <r>
      <rPr>
        <sz val="9"/>
        <color rgb="FF333333"/>
        <rFont val="メイリオ"/>
        <family val="0"/>
        <charset val="1"/>
      </rPr>
      <t xml:space="preserve">12</t>
    </r>
    <r>
      <rPr>
        <sz val="9"/>
        <color rgb="FF333333"/>
        <rFont val="WenQuanYi Zen Hei"/>
        <family val="2"/>
      </rPr>
      <t xml:space="preserve">か月に均等按分し、当月入金する前提。売上が期の前半に寄れば必要額は下がります。</t>
    </r>
  </si>
  <si>
    <r>
      <rPr>
        <sz val="9"/>
        <color rgb="FF333333"/>
        <rFont val="WenQuanYi Zen Hei"/>
        <family val="2"/>
      </rPr>
      <t xml:space="preserve">※本算定はワイン仕入方針</t>
    </r>
    <r>
      <rPr>
        <sz val="9"/>
        <color rgb="FF333333"/>
        <rFont val="メイリオ"/>
        <family val="0"/>
        <charset val="1"/>
      </rPr>
      <t xml:space="preserve">2</t>
    </r>
    <r>
      <rPr>
        <sz val="9"/>
        <color rgb="FF333333"/>
        <rFont val="WenQuanYi Zen Hei"/>
        <family val="2"/>
      </rPr>
      <t xml:space="preserve">（</t>
    </r>
    <r>
      <rPr>
        <sz val="9"/>
        <color rgb="FF333333"/>
        <rFont val="メイリオ"/>
        <family val="0"/>
        <charset val="1"/>
      </rPr>
      <t xml:space="preserve">FY2026</t>
    </r>
    <r>
      <rPr>
        <sz val="9"/>
        <color rgb="FF333333"/>
        <rFont val="WenQuanYi Zen Hei"/>
        <family val="2"/>
      </rPr>
      <t xml:space="preserve">と同額の固定仕入）を前提としています。方針</t>
    </r>
    <r>
      <rPr>
        <sz val="9"/>
        <color rgb="FF333333"/>
        <rFont val="メイリオ"/>
        <family val="0"/>
        <charset val="1"/>
      </rPr>
      <t xml:space="preserve">1</t>
    </r>
    <r>
      <rPr>
        <sz val="9"/>
        <color rgb="FF333333"/>
        <rFont val="WenQuanYi Zen Hei"/>
        <family val="2"/>
      </rPr>
      <t xml:space="preserve">では仕入が売上原価に連動するため別途算定が必要です。</t>
    </r>
  </si>
  <si>
    <r>
      <rPr>
        <sz val="9"/>
        <color rgb="FF333333"/>
        <rFont val="WenQuanYi Zen Hei"/>
        <family val="2"/>
      </rPr>
      <t xml:space="preserve">※追加売上に係る消費税は翌期（</t>
    </r>
    <r>
      <rPr>
        <sz val="9"/>
        <color rgb="FF333333"/>
        <rFont val="メイリオ"/>
        <family val="0"/>
        <charset val="1"/>
      </rPr>
      <t xml:space="preserve">2027/11</t>
    </r>
    <r>
      <rPr>
        <sz val="9"/>
        <color rgb="FF333333"/>
        <rFont val="WenQuanYi Zen Hei"/>
        <family val="2"/>
      </rPr>
      <t xml:space="preserve">）の納付となるため、</t>
    </r>
    <r>
      <rPr>
        <sz val="9"/>
        <color rgb="FF333333"/>
        <rFont val="メイリオ"/>
        <family val="0"/>
        <charset val="1"/>
      </rPr>
      <t xml:space="preserve">FY2027</t>
    </r>
    <r>
      <rPr>
        <sz val="9"/>
        <color rgb="FF333333"/>
        <rFont val="WenQuanYi Zen Hei"/>
        <family val="2"/>
      </rPr>
      <t xml:space="preserve">の資金繰りには現れません。</t>
    </r>
  </si>
</sst>
</file>

<file path=xl/styles.xml><?xml version="1.0" encoding="utf-8"?>
<styleSheet xmlns="http://schemas.openxmlformats.org/spreadsheetml/2006/main">
  <numFmts count="7">
    <numFmt numFmtId="164" formatCode="General"/>
    <numFmt numFmtId="165" formatCode="\¥#,##0;&quot;(¥&quot;#,##0\);\-"/>
    <numFmt numFmtId="166" formatCode="0.0%"/>
    <numFmt numFmtId="167" formatCode="0"/>
    <numFmt numFmtId="168" formatCode="#,##0"/>
    <numFmt numFmtId="169" formatCode="#,##0.0"/>
    <numFmt numFmtId="170" formatCode="0.0"/>
  </numFmts>
  <fonts count="33">
    <font>
      <sz val="11"/>
      <color theme="1"/>
      <name val="メイリオ"/>
      <family val="2"/>
      <charset val="1"/>
    </font>
    <font>
      <sz val="10"/>
      <name val="メイリオ"/>
      <family val="0"/>
    </font>
    <font>
      <sz val="10"/>
      <name val="メイリオ"/>
      <family val="0"/>
    </font>
    <font>
      <sz val="10"/>
      <name val="メイリオ"/>
      <family val="0"/>
    </font>
    <font>
      <b val="true"/>
      <sz val="15"/>
      <name val="メイリオ"/>
      <family val="0"/>
      <charset val="1"/>
    </font>
    <font>
      <b val="true"/>
      <sz val="15"/>
      <name val="メイリオ"/>
      <family val="2"/>
    </font>
    <font>
      <sz val="9"/>
      <color rgb="FF8C8C8C"/>
      <name val="メイリオ"/>
      <family val="0"/>
      <charset val="1"/>
    </font>
    <font>
      <sz val="9"/>
      <color rgb="FF8C8C8C"/>
      <name val="メイリオ"/>
      <family val="2"/>
    </font>
    <font>
      <b val="true"/>
      <sz val="11"/>
      <color rgb="FFFFFFFF"/>
      <name val="メイリオ"/>
      <family val="2"/>
    </font>
    <font>
      <b val="true"/>
      <sz val="11"/>
      <color rgb="FFFFFFFF"/>
      <name val="メイリオ"/>
      <family val="0"/>
      <charset val="1"/>
    </font>
    <font>
      <b val="true"/>
      <sz val="11"/>
      <name val="メイリオ"/>
      <family val="2"/>
    </font>
    <font>
      <b val="true"/>
      <sz val="11"/>
      <color rgb="FF8A6A24"/>
      <name val="メイリオ"/>
      <family val="0"/>
      <charset val="1"/>
    </font>
    <font>
      <sz val="9"/>
      <color rgb="FF333333"/>
      <name val="メイリオ"/>
      <family val="2"/>
    </font>
    <font>
      <sz val="9"/>
      <color rgb="FF333333"/>
      <name val="メイリオ"/>
      <family val="0"/>
      <charset val="1"/>
    </font>
    <font>
      <sz val="11"/>
      <name val="メイリオ"/>
      <family val="2"/>
    </font>
    <font>
      <sz val="11"/>
      <name val="メイリオ"/>
      <family val="0"/>
      <charset val="1"/>
    </font>
    <font>
      <b val="true"/>
      <sz val="11"/>
      <name val="メイリオ"/>
      <family val="0"/>
      <charset val="1"/>
    </font>
    <font>
      <sz val="10"/>
      <color rgb="FF8C8C8C"/>
      <name val="メイリオ"/>
      <family val="0"/>
      <charset val="1"/>
    </font>
    <font>
      <sz val="10"/>
      <color rgb="FF8C8C8C"/>
      <name val="メイリオ"/>
      <family val="2"/>
    </font>
    <font>
      <b val="true"/>
      <sz val="12"/>
      <name val="メイリオ"/>
      <family val="2"/>
    </font>
    <font>
      <sz val="10"/>
      <name val="メイリオ"/>
      <family val="0"/>
      <charset val="1"/>
    </font>
    <font>
      <sz val="10"/>
      <name val="メイリオ"/>
      <family val="2"/>
    </font>
    <font>
      <b val="true"/>
      <sz val="13"/>
      <name val="メイリオ"/>
      <family val="0"/>
      <charset val="1"/>
    </font>
    <font>
      <b val="true"/>
      <sz val="13"/>
      <name val="メイリオ"/>
      <family val="2"/>
    </font>
    <font>
      <i val="true"/>
      <sz val="11"/>
      <color rgb="FF8C8C8C"/>
      <name val="メイリオ"/>
      <family val="0"/>
      <charset val="1"/>
    </font>
    <font>
      <b val="true"/>
      <sz val="14"/>
      <name val="メイリオ"/>
      <family val="0"/>
      <charset val="1"/>
    </font>
    <font>
      <b val="true"/>
      <sz val="14"/>
      <name val="メイリオ"/>
      <family val="2"/>
    </font>
    <font>
      <sz val="11"/>
      <color rgb="FF595959"/>
      <name val="メイリオ"/>
      <family val="0"/>
      <charset val="1"/>
    </font>
    <font>
      <sz val="11"/>
      <color rgb="FF595959"/>
      <name val="メイリオ"/>
      <family val="2"/>
    </font>
    <font>
      <b val="true"/>
      <sz val="18"/>
      <color rgb="FF000000"/>
      <name val="メイリオ"/>
      <family val="2"/>
    </font>
    <font>
      <b val="true"/>
      <sz val="18"/>
      <color rgb="FF000000"/>
      <name val="メイリオ"/>
      <family val="2"/>
    </font>
    <font>
      <sz val="10"/>
      <color rgb="FF000000"/>
      <name val="メイリオ"/>
      <family val="2"/>
    </font>
    <font>
      <b val="true"/>
      <sz val="10"/>
      <color rgb="FF000000"/>
      <name val="メイリオ"/>
      <family val="2"/>
    </font>
  </fonts>
  <fills count="10">
    <fill>
      <patternFill patternType="none"/>
    </fill>
    <fill>
      <patternFill patternType="gray125"/>
    </fill>
    <fill>
      <patternFill patternType="solid">
        <fgColor rgb="FF1A1A1A"/>
        <bgColor rgb="FF333333"/>
      </patternFill>
    </fill>
    <fill>
      <patternFill patternType="solid">
        <fgColor rgb="FFFAF3E2"/>
        <bgColor rgb="FFF4EDDC"/>
      </patternFill>
    </fill>
    <fill>
      <patternFill patternType="solid">
        <fgColor rgb="FFF7F6F3"/>
        <bgColor rgb="FFFBFAF7"/>
      </patternFill>
    </fill>
    <fill>
      <patternFill patternType="solid">
        <fgColor rgb="FFF4EDDC"/>
        <bgColor rgb="FFEFEEEA"/>
      </patternFill>
    </fill>
    <fill>
      <patternFill patternType="solid">
        <fgColor rgb="FFF2F1EE"/>
        <bgColor rgb="FFEFEEEA"/>
      </patternFill>
    </fill>
    <fill>
      <patternFill patternType="solid">
        <fgColor rgb="FFEFEEEA"/>
        <bgColor rgb="FFF2F1EE"/>
      </patternFill>
    </fill>
    <fill>
      <patternFill patternType="solid">
        <fgColor rgb="FFFBFAF7"/>
        <bgColor rgb="FFF7F6F3"/>
      </patternFill>
    </fill>
    <fill>
      <patternFill patternType="solid">
        <fgColor rgb="FFE0DEDA"/>
        <bgColor rgb="FFD9D9D9"/>
      </patternFill>
    </fill>
  </fills>
  <borders count="2">
    <border diagonalUp="false" diagonalDown="false">
      <left/>
      <right/>
      <top/>
      <bottom/>
      <diagonal/>
    </border>
    <border diagonalUp="false" diagonalDown="false">
      <left/>
      <right/>
      <top style="thin">
        <color rgb="FF1A1A1A"/>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6"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6" fillId="4" borderId="1" xfId="0" applyFont="true" applyBorder="tru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5" fontId="16" fillId="5"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6" fillId="0" borderId="1"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5" fontId="16" fillId="5"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5"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center" vertical="bottom" textRotation="0" wrapText="true" indent="0" shrinkToFit="false"/>
      <protection locked="true" hidden="false"/>
    </xf>
    <xf numFmtId="165" fontId="16" fillId="3" borderId="0" xfId="0" applyFont="true" applyBorder="false" applyAlignment="false" applyProtection="false">
      <alignment horizontal="general" vertical="bottom" textRotation="0" wrapText="false" indent="0" shrinkToFit="false"/>
      <protection locked="true" hidden="false"/>
    </xf>
    <xf numFmtId="166" fontId="16" fillId="3"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6" fillId="6" borderId="0" xfId="0" applyFont="true" applyBorder="false" applyAlignment="true" applyProtection="false">
      <alignment horizontal="center" vertical="bottom" textRotation="0" wrapText="false" indent="0" shrinkToFit="false"/>
      <protection locked="true" hidden="false"/>
    </xf>
    <xf numFmtId="164" fontId="16" fillId="6" borderId="0" xfId="0" applyFont="true" applyBorder="false" applyAlignment="true" applyProtection="false">
      <alignment horizontal="center" vertical="bottom" textRotation="0" wrapText="tru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24" fillId="0"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center" vertical="bottom" textRotation="0" wrapText="false" indent="0" shrinkToFit="false"/>
      <protection locked="true" hidden="false"/>
    </xf>
    <xf numFmtId="165" fontId="27"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11" fillId="3" borderId="0" xfId="0" applyFont="true" applyBorder="false" applyAlignment="false" applyProtection="false">
      <alignment horizontal="general" vertical="bottom" textRotation="0" wrapText="false" indent="0" shrinkToFit="false"/>
      <protection locked="true" hidden="false"/>
    </xf>
    <xf numFmtId="166" fontId="11" fillId="3"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6" fontId="16" fillId="4" borderId="0" xfId="0" applyFont="true" applyBorder="false" applyAlignment="false" applyProtection="false">
      <alignment horizontal="general" vertical="bottom" textRotation="0" wrapText="fals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16" fillId="4" borderId="0" xfId="0" applyFont="tru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center" vertical="bottom" textRotation="0" wrapText="false" indent="0" shrinkToFit="false"/>
      <protection locked="true" hidden="false"/>
    </xf>
    <xf numFmtId="168" fontId="16" fillId="3" borderId="0" xfId="0" applyFont="true" applyBorder="false" applyAlignment="false" applyProtection="false">
      <alignment horizontal="general" vertical="bottom" textRotation="0" wrapText="false" indent="0" shrinkToFit="false"/>
      <protection locked="true" hidden="false"/>
    </xf>
    <xf numFmtId="169" fontId="16" fillId="3" borderId="0" xfId="0" applyFont="true" applyBorder="false" applyAlignment="false" applyProtection="false">
      <alignment horizontal="general" vertical="bottom" textRotation="0" wrapText="false" indent="0" shrinkToFit="false"/>
      <protection locked="true" hidden="false"/>
    </xf>
    <xf numFmtId="165" fontId="16" fillId="8" borderId="1" xfId="0" applyFont="true" applyBorder="true" applyAlignment="false" applyProtection="false">
      <alignment horizontal="general" vertical="bottom" textRotation="0" wrapText="false" indent="0" shrinkToFit="false"/>
      <protection locked="true" hidden="false"/>
    </xf>
    <xf numFmtId="165" fontId="16" fillId="8" borderId="0" xfId="0" applyFont="true" applyBorder="false" applyAlignment="false" applyProtection="false">
      <alignment horizontal="general" vertical="bottom" textRotation="0" wrapText="false" indent="0" shrinkToFit="false"/>
      <protection locked="true" hidden="false"/>
    </xf>
    <xf numFmtId="166" fontId="27"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10" fillId="9" borderId="0" xfId="0" applyFont="true" applyBorder="false" applyAlignment="false" applyProtection="false">
      <alignment horizontal="general" vertical="bottom" textRotation="0" wrapText="false" indent="0" shrinkToFit="false"/>
      <protection locked="true" hidden="false"/>
    </xf>
    <xf numFmtId="165" fontId="16" fillId="9"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6A24"/>
      <rgbColor rgb="FF800080"/>
      <rgbColor rgb="FF008080"/>
      <rgbColor rgb="FFE0DEDA"/>
      <rgbColor rgb="FF878787"/>
      <rgbColor rgb="FF9999FF"/>
      <rgbColor rgb="FF993366"/>
      <rgbColor rgb="FFFAF3E2"/>
      <rgbColor rgb="FFF2F1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FEEEA"/>
      <rgbColor rgb="FFF4EDDC"/>
      <rgbColor rgb="FFF7F6F3"/>
      <rgbColor rgb="FF99CCFF"/>
      <rgbColor rgb="FFFF99CC"/>
      <rgbColor rgb="FFCC99FF"/>
      <rgbColor rgb="FFFBFAF7"/>
      <rgbColor rgb="FF3366FF"/>
      <rgbColor rgb="FF33CCCC"/>
      <rgbColor rgb="FF99CC00"/>
      <rgbColor rgb="FFFFCC00"/>
      <rgbColor rgb="FFFF9900"/>
      <rgbColor rgb="FFFF6600"/>
      <rgbColor rgb="FF595959"/>
      <rgbColor rgb="FF8C8C8C"/>
      <rgbColor rgb="FF003366"/>
      <rgbColor rgb="FF339966"/>
      <rgbColor rgb="FF003300"/>
      <rgbColor rgb="FF1A1A1A"/>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月末 現預金残高の推移（ケースA：在庫横ばい・調達なし）</a:t>
            </a:r>
          </a:p>
        </c:rich>
      </c:tx>
      <c:overlay val="0"/>
      <c:spPr>
        <a:noFill/>
        <a:ln w="0">
          <a:noFill/>
        </a:ln>
      </c:spPr>
    </c:title>
    <c:autoTitleDeleted val="0"/>
    <c:plotArea>
      <c:lineChart>
        <c:grouping val="standard"/>
        <c:varyColors val="0"/>
        <c:ser>
          <c:idx val="0"/>
          <c:order val="0"/>
          <c:spPr>
            <a:solidFill>
              <a:srgbClr val="1a1a1a"/>
            </a:solidFill>
            <a:ln w="28080">
              <a:solidFill>
                <a:srgbClr val="1a1a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⑦FY2027資金繰り表!$D$12:$O$12</c:f>
              <c:strCache>
                <c:ptCount val="12"/>
                <c:pt idx="0">
                  <c:v>2026/10</c:v>
                </c:pt>
                <c:pt idx="1">
                  <c:v>2026/11</c:v>
                </c:pt>
                <c:pt idx="2">
                  <c:v>2026/12</c:v>
                </c:pt>
                <c:pt idx="3">
                  <c:v>2027/01</c:v>
                </c:pt>
                <c:pt idx="4">
                  <c:v>2027/02</c:v>
                </c:pt>
                <c:pt idx="5">
                  <c:v>2027/03</c:v>
                </c:pt>
                <c:pt idx="6">
                  <c:v>2027/04</c:v>
                </c:pt>
                <c:pt idx="7">
                  <c:v>2027/05</c:v>
                </c:pt>
                <c:pt idx="8">
                  <c:v>2027/06</c:v>
                </c:pt>
                <c:pt idx="9">
                  <c:v>2027/07</c:v>
                </c:pt>
                <c:pt idx="10">
                  <c:v>2027/08</c:v>
                </c:pt>
                <c:pt idx="11">
                  <c:v>2027/09</c:v>
                </c:pt>
              </c:strCache>
            </c:strRef>
          </c:cat>
          <c:val>
            <c:numRef>
              <c:f>⑦FY2027資金繰り表!$D$40:$O$40</c:f>
              <c:numCache>
                <c:formatCode>\¥#,##0;"(¥"#,##0\);\-</c:formatCode>
                <c:ptCount val="12"/>
                <c:pt idx="0">
                  <c:v>39349281.4833333</c:v>
                </c:pt>
                <c:pt idx="1">
                  <c:v>34180948.8666667</c:v>
                </c:pt>
                <c:pt idx="2">
                  <c:v>43530230.35</c:v>
                </c:pt>
                <c:pt idx="3">
                  <c:v>52879511.8333334</c:v>
                </c:pt>
                <c:pt idx="4">
                  <c:v>57590166.0416667</c:v>
                </c:pt>
                <c:pt idx="5">
                  <c:v>77939447.5250001</c:v>
                </c:pt>
                <c:pt idx="6">
                  <c:v>87288729.0083334</c:v>
                </c:pt>
                <c:pt idx="7">
                  <c:v>91999383.2166668</c:v>
                </c:pt>
                <c:pt idx="8">
                  <c:v>101348664.7</c:v>
                </c:pt>
                <c:pt idx="9">
                  <c:v>110697946.183333</c:v>
                </c:pt>
                <c:pt idx="10">
                  <c:v>115408600.391667</c:v>
                </c:pt>
                <c:pt idx="11">
                  <c:v>135757881.875</c:v>
                </c:pt>
              </c:numCache>
            </c:numRef>
          </c:val>
          <c:smooth val="1"/>
        </c:ser>
        <c:hiLowLines>
          <c:spPr>
            <a:ln w="0">
              <a:noFill/>
            </a:ln>
          </c:spPr>
        </c:hiLowLines>
        <c:marker val="0"/>
        <c:axId val="84938551"/>
        <c:axId val="11794113"/>
      </c:lineChart>
      <c:catAx>
        <c:axId val="8493855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794113"/>
        <c:crosses val="autoZero"/>
        <c:auto val="1"/>
        <c:lblAlgn val="ctr"/>
        <c:lblOffset val="100"/>
        <c:noMultiLvlLbl val="0"/>
      </c:catAx>
      <c:valAx>
        <c:axId val="1179411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円</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93855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60</xdr:row>
      <xdr:rowOff>134640</xdr:rowOff>
    </xdr:from>
    <xdr:to>
      <xdr:col>6</xdr:col>
      <xdr:colOff>1038600</xdr:colOff>
      <xdr:row>75</xdr:row>
      <xdr:rowOff>12600</xdr:rowOff>
    </xdr:to>
    <xdr:graphicFrame>
      <xdr:nvGraphicFramePr>
        <xdr:cNvPr id="0" name="Chart 1"/>
        <xdr:cNvGraphicFramePr/>
      </xdr:nvGraphicFramePr>
      <xdr:xfrm>
        <a:off x="266760" y="11620440"/>
        <a:ext cx="86396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5" min="3" style="0" width="17"/>
    <col collapsed="false" customWidth="true" hidden="false" outlineLevel="0" max="6" min="6" style="0" width="62"/>
    <col collapsed="false" customWidth="true" hidden="false" outlineLevel="0" max="7" min="7" style="0" width="2"/>
  </cols>
  <sheetData>
    <row r="1" customFormat="false" ht="20.1"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c r="C4" s="4"/>
      <c r="D4" s="4"/>
      <c r="E4" s="4"/>
      <c r="F4" s="4"/>
    </row>
    <row r="5" customFormat="false" ht="15" hidden="false" customHeight="false" outlineLevel="0" collapsed="false">
      <c r="B5" s="5" t="s">
        <v>3</v>
      </c>
      <c r="C5" s="5" t="s">
        <v>4</v>
      </c>
      <c r="D5" s="5" t="s">
        <v>5</v>
      </c>
      <c r="E5" s="5" t="s">
        <v>6</v>
      </c>
      <c r="F5" s="5" t="s">
        <v>7</v>
      </c>
    </row>
    <row r="6" customFormat="false" ht="30" hidden="false" customHeight="true" outlineLevel="0" collapsed="false">
      <c r="B6" s="6" t="s">
        <v>8</v>
      </c>
      <c r="E6" s="7" t="n">
        <v>-114793431</v>
      </c>
      <c r="F6" s="8" t="s">
        <v>9</v>
      </c>
    </row>
    <row r="7" customFormat="false" ht="25.5" hidden="false" customHeight="true" outlineLevel="0" collapsed="false">
      <c r="B7" s="9" t="s">
        <v>10</v>
      </c>
      <c r="C7" s="7" t="n">
        <v>500000000</v>
      </c>
      <c r="D7" s="7" t="n">
        <v>70000000</v>
      </c>
      <c r="E7" s="10" t="n">
        <f aca="false">E6+D7</f>
        <v>-44793431</v>
      </c>
      <c r="F7" s="11" t="s">
        <v>11</v>
      </c>
    </row>
    <row r="8" customFormat="false" ht="25.5" hidden="false" customHeight="true" outlineLevel="0" collapsed="false">
      <c r="B8" s="9" t="s">
        <v>12</v>
      </c>
      <c r="C8" s="7" t="n">
        <v>100000000</v>
      </c>
      <c r="D8" s="7" t="n">
        <v>5000000</v>
      </c>
      <c r="E8" s="10" t="n">
        <f aca="false">E7+D8</f>
        <v>-39793431</v>
      </c>
      <c r="F8" s="12" t="s">
        <v>13</v>
      </c>
    </row>
    <row r="9" customFormat="false" ht="25.5" hidden="false" customHeight="true" outlineLevel="0" collapsed="false">
      <c r="B9" s="9" t="s">
        <v>14</v>
      </c>
      <c r="C9" s="7" t="n">
        <v>20000000</v>
      </c>
      <c r="D9" s="7" t="n">
        <v>20000000</v>
      </c>
      <c r="E9" s="10" t="n">
        <f aca="false">E8+D9</f>
        <v>-19793431</v>
      </c>
      <c r="F9" s="11" t="s">
        <v>15</v>
      </c>
    </row>
    <row r="10" customFormat="false" ht="25.5" hidden="false" customHeight="true" outlineLevel="0" collapsed="false">
      <c r="B10" s="9" t="s">
        <v>16</v>
      </c>
      <c r="C10" s="7" t="n">
        <v>10000000</v>
      </c>
      <c r="D10" s="7" t="n">
        <v>10000000</v>
      </c>
      <c r="E10" s="10" t="n">
        <f aca="false">E9+D10</f>
        <v>-9793431</v>
      </c>
      <c r="F10" s="12" t="s">
        <v>17</v>
      </c>
    </row>
    <row r="11" customFormat="false" ht="15" hidden="false" customHeight="false" outlineLevel="0" collapsed="false">
      <c r="B11" s="13" t="s">
        <v>18</v>
      </c>
      <c r="C11" s="14" t="n">
        <f aca="false">SUM(C7:C10)</f>
        <v>630000000</v>
      </c>
      <c r="D11" s="14" t="n">
        <f aca="false">SUM(D7:D10)</f>
        <v>105000000</v>
      </c>
    </row>
    <row r="12" customFormat="false" ht="15" hidden="false" customHeight="false" outlineLevel="0" collapsed="false">
      <c r="B12" s="15" t="s">
        <v>19</v>
      </c>
      <c r="C12" s="16"/>
      <c r="D12" s="16"/>
      <c r="E12" s="17" t="n">
        <f aca="false">E6+D11</f>
        <v>-9793431</v>
      </c>
      <c r="F12" s="18" t="s">
        <v>20</v>
      </c>
    </row>
    <row r="14" customFormat="false" ht="15" hidden="false" customHeight="false" outlineLevel="0" collapsed="false">
      <c r="B14" s="3" t="s">
        <v>21</v>
      </c>
      <c r="C14" s="4"/>
      <c r="D14" s="4"/>
      <c r="E14" s="4"/>
      <c r="F14" s="4"/>
    </row>
    <row r="15" customFormat="false" ht="15" hidden="false" customHeight="false" outlineLevel="0" collapsed="false">
      <c r="B15" s="5" t="s">
        <v>22</v>
      </c>
      <c r="C15" s="5" t="s">
        <v>23</v>
      </c>
      <c r="D15" s="5" t="s">
        <v>24</v>
      </c>
      <c r="E15" s="5" t="s">
        <v>25</v>
      </c>
      <c r="F15" s="5" t="s">
        <v>7</v>
      </c>
    </row>
    <row r="16" customFormat="false" ht="15" hidden="false" customHeight="false" outlineLevel="0" collapsed="false">
      <c r="B16" s="9" t="s">
        <v>26</v>
      </c>
      <c r="C16" s="19" t="n">
        <v>708205820</v>
      </c>
      <c r="D16" s="19" t="n">
        <f aca="false">C11</f>
        <v>630000000</v>
      </c>
      <c r="E16" s="10" t="n">
        <f aca="false">C16+D16</f>
        <v>1338205820</v>
      </c>
      <c r="F16" s="20" t="s">
        <v>27</v>
      </c>
    </row>
    <row r="17" customFormat="false" ht="15" hidden="false" customHeight="false" outlineLevel="0" collapsed="false">
      <c r="B17" s="9" t="s">
        <v>28</v>
      </c>
      <c r="C17" s="19" t="n">
        <v>479066414</v>
      </c>
      <c r="D17" s="19" t="n">
        <f aca="false">C11-D11</f>
        <v>525000000</v>
      </c>
      <c r="E17" s="10" t="n">
        <f aca="false">C17+D17</f>
        <v>1004066414</v>
      </c>
      <c r="F17" s="20" t="s">
        <v>29</v>
      </c>
    </row>
    <row r="18" customFormat="false" ht="15" hidden="false" customHeight="false" outlineLevel="0" collapsed="false">
      <c r="B18" s="13" t="s">
        <v>30</v>
      </c>
      <c r="C18" s="21" t="n">
        <f aca="false">C16-C17</f>
        <v>229139406</v>
      </c>
      <c r="D18" s="21" t="n">
        <f aca="false">D11</f>
        <v>105000000</v>
      </c>
      <c r="E18" s="17" t="n">
        <f aca="false">C18+D18</f>
        <v>334139406</v>
      </c>
      <c r="F18" s="2"/>
    </row>
    <row r="19" customFormat="false" ht="15" hidden="false" customHeight="false" outlineLevel="0" collapsed="false">
      <c r="B19" s="9" t="s">
        <v>31</v>
      </c>
      <c r="C19" s="19" t="n">
        <f aca="false">C18-C20</f>
        <v>229139406</v>
      </c>
      <c r="D19" s="19" t="n">
        <f aca="false">D7+D8</f>
        <v>75000000</v>
      </c>
      <c r="E19" s="10" t="n">
        <f aca="false">C19+D19</f>
        <v>304139406</v>
      </c>
      <c r="F19" s="20" t="s">
        <v>32</v>
      </c>
    </row>
    <row r="20" customFormat="false" ht="15" hidden="false" customHeight="false" outlineLevel="0" collapsed="false">
      <c r="B20" s="9" t="s">
        <v>33</v>
      </c>
      <c r="C20" s="19" t="n">
        <v>0</v>
      </c>
      <c r="D20" s="19" t="n">
        <f aca="false">D9+D10</f>
        <v>30000000</v>
      </c>
      <c r="E20" s="10" t="n">
        <f aca="false">C20+D20</f>
        <v>30000000</v>
      </c>
      <c r="F20" s="2" t="s">
        <v>34</v>
      </c>
    </row>
    <row r="21" customFormat="false" ht="15" hidden="false" customHeight="false" outlineLevel="0" collapsed="false">
      <c r="B21" s="9" t="s">
        <v>35</v>
      </c>
      <c r="C21" s="19" t="n">
        <v>343932836</v>
      </c>
      <c r="D21" s="19" t="n">
        <v>0</v>
      </c>
      <c r="E21" s="10" t="n">
        <f aca="false">C21+D21</f>
        <v>343932836</v>
      </c>
      <c r="F21" s="20" t="s">
        <v>36</v>
      </c>
    </row>
    <row r="22" customFormat="false" ht="15" hidden="false" customHeight="false" outlineLevel="0" collapsed="false">
      <c r="B22" s="13" t="s">
        <v>37</v>
      </c>
      <c r="C22" s="21" t="n">
        <f aca="false">C18-C21</f>
        <v>-114793430</v>
      </c>
      <c r="D22" s="21" t="n">
        <f aca="false">D18-D21</f>
        <v>105000000</v>
      </c>
      <c r="E22" s="17" t="n">
        <f aca="false">C22+D22</f>
        <v>-9793430</v>
      </c>
      <c r="F22" s="2"/>
    </row>
    <row r="23" customFormat="false" ht="15" hidden="false" customHeight="false" outlineLevel="0" collapsed="false">
      <c r="B23" s="9" t="s">
        <v>38</v>
      </c>
      <c r="C23" s="19" t="n">
        <v>10000000</v>
      </c>
      <c r="D23" s="19" t="n">
        <v>0</v>
      </c>
      <c r="E23" s="10" t="n">
        <f aca="false">C23+D23</f>
        <v>10000000</v>
      </c>
      <c r="F23" s="2"/>
    </row>
    <row r="24" customFormat="false" ht="15" hidden="false" customHeight="false" outlineLevel="0" collapsed="false">
      <c r="B24" s="13" t="s">
        <v>39</v>
      </c>
      <c r="C24" s="21" t="n">
        <f aca="false">C22-C23</f>
        <v>-124793430</v>
      </c>
      <c r="D24" s="21" t="n">
        <f aca="false">D22-D23</f>
        <v>105000000</v>
      </c>
      <c r="E24" s="17" t="n">
        <f aca="false">C24+D24</f>
        <v>-19793430</v>
      </c>
      <c r="F24" s="2"/>
    </row>
    <row r="26" customFormat="false" ht="30" hidden="false" customHeight="true" outlineLevel="0" collapsed="false">
      <c r="B26" s="22" t="s">
        <v>40</v>
      </c>
      <c r="C26" s="7" t="n">
        <v>127364212</v>
      </c>
      <c r="D26" s="2" t="s">
        <v>41</v>
      </c>
      <c r="E26" s="23" t="n">
        <f aca="false">C26+MAX(0,-E24)</f>
        <v>147157642</v>
      </c>
      <c r="F26" s="24" t="s">
        <v>42</v>
      </c>
    </row>
    <row r="28" customFormat="false" ht="15" hidden="false" customHeight="false" outlineLevel="0" collapsed="false">
      <c r="B28" s="3" t="s">
        <v>43</v>
      </c>
      <c r="C28" s="4"/>
      <c r="D28" s="4"/>
      <c r="E28" s="4"/>
      <c r="F28" s="4"/>
    </row>
    <row r="29" customFormat="false" ht="30" hidden="false" customHeight="true" outlineLevel="0" collapsed="false">
      <c r="B29" s="25" t="s">
        <v>44</v>
      </c>
      <c r="C29" s="7" t="n">
        <v>200000000</v>
      </c>
      <c r="D29" s="20" t="s">
        <v>45</v>
      </c>
      <c r="F29" s="8" t="s">
        <v>46</v>
      </c>
    </row>
    <row r="30" customFormat="false" ht="30" hidden="false" customHeight="true" outlineLevel="0" collapsed="false">
      <c r="B30" s="9" t="s">
        <v>47</v>
      </c>
      <c r="C30" s="7" t="n">
        <v>0</v>
      </c>
      <c r="D30" s="20" t="s">
        <v>45</v>
      </c>
      <c r="F30" s="8" t="s">
        <v>48</v>
      </c>
    </row>
    <row r="31" customFormat="false" ht="15" hidden="false" customHeight="false" outlineLevel="0" collapsed="false">
      <c r="B31" s="15" t="s">
        <v>49</v>
      </c>
      <c r="E31" s="17" t="n">
        <f aca="false">E12+C29+C30</f>
        <v>190206569</v>
      </c>
      <c r="F31" s="18" t="s">
        <v>50</v>
      </c>
    </row>
    <row r="33" customFormat="false" ht="15" hidden="false" customHeight="false" outlineLevel="0" collapsed="false">
      <c r="B33" s="3" t="s">
        <v>51</v>
      </c>
      <c r="C33" s="4"/>
      <c r="D33" s="4"/>
      <c r="E33" s="4"/>
      <c r="F33" s="4"/>
    </row>
    <row r="34" customFormat="false" ht="33.75" hidden="false" customHeight="true" outlineLevel="0" collapsed="false">
      <c r="B34" s="15" t="s">
        <v>52</v>
      </c>
      <c r="C34" s="26" t="s">
        <v>53</v>
      </c>
      <c r="D34" s="26"/>
      <c r="E34" s="26"/>
      <c r="F34" s="26"/>
    </row>
    <row r="35" customFormat="false" ht="33.75" hidden="false" customHeight="true" outlineLevel="0" collapsed="false">
      <c r="B35" s="15" t="s">
        <v>54</v>
      </c>
      <c r="C35" s="26" t="s">
        <v>55</v>
      </c>
      <c r="D35" s="26"/>
      <c r="E35" s="26"/>
      <c r="F35" s="26"/>
    </row>
    <row r="36" customFormat="false" ht="33.75" hidden="false" customHeight="true" outlineLevel="0" collapsed="false">
      <c r="B36" s="27" t="s">
        <v>56</v>
      </c>
      <c r="C36" s="28" t="s">
        <v>57</v>
      </c>
      <c r="D36" s="28"/>
      <c r="E36" s="28"/>
      <c r="F36" s="28"/>
    </row>
    <row r="37" customFormat="false" ht="33.75" hidden="false" customHeight="true" outlineLevel="0" collapsed="false">
      <c r="B37" s="15" t="s">
        <v>58</v>
      </c>
      <c r="C37" s="28" t="s">
        <v>59</v>
      </c>
      <c r="D37" s="28"/>
      <c r="E37" s="28"/>
      <c r="F37" s="28"/>
    </row>
  </sheetData>
  <mergeCells count="4">
    <mergeCell ref="C34:F34"/>
    <mergeCell ref="C35:F35"/>
    <mergeCell ref="C36:F36"/>
    <mergeCell ref="C37: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6" min="3" style="0" width="19"/>
    <col collapsed="false" customWidth="true" hidden="false" outlineLevel="0" max="7" min="7" style="0" width="46"/>
  </cols>
  <sheetData>
    <row r="1" customFormat="false" ht="20.1" hidden="false" customHeight="false" outlineLevel="0" collapsed="false">
      <c r="B1" s="1" t="s">
        <v>60</v>
      </c>
    </row>
    <row r="2" customFormat="false" ht="15" hidden="false" customHeight="false" outlineLevel="0" collapsed="false">
      <c r="B2" s="29" t="s">
        <v>61</v>
      </c>
    </row>
    <row r="3" customFormat="false" ht="15" hidden="false" customHeight="false" outlineLevel="0" collapsed="false">
      <c r="B3" s="20" t="s">
        <v>62</v>
      </c>
    </row>
    <row r="5" customFormat="false" ht="43.5" hidden="false" customHeight="true" outlineLevel="0" collapsed="false">
      <c r="B5" s="30" t="s">
        <v>22</v>
      </c>
      <c r="C5" s="31" t="s">
        <v>63</v>
      </c>
      <c r="D5" s="30" t="s">
        <v>64</v>
      </c>
      <c r="E5" s="30" t="s">
        <v>65</v>
      </c>
      <c r="F5" s="30" t="s">
        <v>66</v>
      </c>
      <c r="G5" s="30" t="s">
        <v>67</v>
      </c>
    </row>
    <row r="6" customFormat="false" ht="15" hidden="false" customHeight="false" outlineLevel="0" collapsed="false">
      <c r="B6" s="9" t="s">
        <v>68</v>
      </c>
      <c r="C6" s="19" t="n">
        <f aca="false">FY2026着地見込み!$E$16-FY2026着地見込み!$C$20-FY2026着地見込み!$D$20</f>
        <v>1308205820</v>
      </c>
      <c r="D6" s="19" t="n">
        <f aca="false">②前提!$C$6*12</f>
        <v>389140768</v>
      </c>
      <c r="E6" s="19" t="n">
        <f aca="false">②前提!$C$56</f>
        <v>730535360</v>
      </c>
      <c r="F6" s="19" t="n">
        <f aca="false">②前提!$C$63</f>
        <v>1030535360</v>
      </c>
      <c r="G6" s="2" t="s">
        <v>69</v>
      </c>
    </row>
    <row r="7" customFormat="false" ht="15" hidden="false" customHeight="false" outlineLevel="0" collapsed="false">
      <c r="B7" s="9" t="s">
        <v>70</v>
      </c>
      <c r="C7" s="19" t="n">
        <f aca="false">FY2026着地見込み!$E$19</f>
        <v>304139406</v>
      </c>
      <c r="D7" s="19" t="n">
        <f aca="false">②前提!$C$7*12</f>
        <v>200601928</v>
      </c>
      <c r="E7" s="19" t="n">
        <f aca="false">D7+②前提!$C$58</f>
        <v>303020305.6</v>
      </c>
      <c r="F7" s="19" t="n">
        <f aca="false">D7+②前提!$C$65</f>
        <v>393020305.6</v>
      </c>
      <c r="G7" s="20" t="s">
        <v>71</v>
      </c>
    </row>
    <row r="8" customFormat="false" ht="15" hidden="false" customHeight="false" outlineLevel="0" collapsed="false">
      <c r="B8" s="9" t="s">
        <v>72</v>
      </c>
      <c r="C8" s="19" t="n">
        <f aca="false">FY2026着地見込み!$E$20</f>
        <v>30000000</v>
      </c>
      <c r="D8" s="19" t="n">
        <v>0</v>
      </c>
      <c r="E8" s="19" t="n">
        <f aca="false">②前提!$C$20</f>
        <v>102500000</v>
      </c>
      <c r="F8" s="19" t="n">
        <f aca="false">②前提!$C$20</f>
        <v>102500000</v>
      </c>
      <c r="G8" s="2" t="s">
        <v>73</v>
      </c>
    </row>
    <row r="9" customFormat="false" ht="15" hidden="false" customHeight="false" outlineLevel="0" collapsed="false">
      <c r="B9" s="32" t="s">
        <v>74</v>
      </c>
      <c r="C9" s="14" t="n">
        <f aca="false">FY2026着地見込み!$E$16</f>
        <v>1338205820</v>
      </c>
      <c r="D9" s="14" t="n">
        <f aca="false">D6</f>
        <v>389140768</v>
      </c>
      <c r="E9" s="14" t="n">
        <f aca="false">②前提!$C$60</f>
        <v>833035360</v>
      </c>
      <c r="F9" s="14" t="n">
        <f aca="false">②前提!$C$67</f>
        <v>1133035360</v>
      </c>
      <c r="G9" s="33" t="s">
        <v>75</v>
      </c>
    </row>
    <row r="10" customFormat="false" ht="15" hidden="false" customHeight="false" outlineLevel="0" collapsed="false">
      <c r="B10" s="32" t="s">
        <v>76</v>
      </c>
      <c r="C10" s="14" t="n">
        <f aca="false">FY2026着地見込み!$E$18</f>
        <v>334139406</v>
      </c>
      <c r="D10" s="14" t="n">
        <f aca="false">D7</f>
        <v>200601928</v>
      </c>
      <c r="E10" s="14" t="n">
        <f aca="false">②前提!$C$59</f>
        <v>405520305.6</v>
      </c>
      <c r="F10" s="14" t="n">
        <f aca="false">②前提!$C$66</f>
        <v>495520305.6</v>
      </c>
      <c r="G10" s="33"/>
    </row>
    <row r="11" customFormat="false" ht="15" hidden="false" customHeight="false" outlineLevel="0" collapsed="false">
      <c r="B11" s="9" t="s">
        <v>35</v>
      </c>
      <c r="C11" s="19" t="n">
        <f aca="false">FY2026着地見込み!$E$21</f>
        <v>343932836</v>
      </c>
      <c r="D11" s="19" t="n">
        <f aca="false">②前提!$C$8*12</f>
        <v>300161064</v>
      </c>
      <c r="E11" s="19" t="n">
        <f aca="false">D11</f>
        <v>300161064</v>
      </c>
      <c r="F11" s="19" t="n">
        <f aca="false">D11</f>
        <v>300161064</v>
      </c>
      <c r="G11" s="2" t="s">
        <v>77</v>
      </c>
    </row>
    <row r="12" customFormat="false" ht="15" hidden="false" customHeight="false" outlineLevel="0" collapsed="false">
      <c r="B12" s="32" t="s">
        <v>37</v>
      </c>
      <c r="C12" s="14" t="n">
        <f aca="false">FY2026着地見込み!$E$22</f>
        <v>-9793430</v>
      </c>
      <c r="D12" s="14" t="n">
        <f aca="false">D10-D11</f>
        <v>-99559136</v>
      </c>
      <c r="E12" s="14" t="n">
        <f aca="false">E10-E11</f>
        <v>105359241.6</v>
      </c>
      <c r="F12" s="14" t="n">
        <f aca="false">F10-F11</f>
        <v>195359241.6</v>
      </c>
      <c r="G12" s="33"/>
    </row>
    <row r="13" customFormat="false" ht="15" hidden="false" customHeight="false" outlineLevel="0" collapsed="false">
      <c r="B13" s="9" t="s">
        <v>78</v>
      </c>
      <c r="C13" s="19" t="n">
        <v>0</v>
      </c>
      <c r="D13" s="19" t="n">
        <v>0</v>
      </c>
      <c r="E13" s="19" t="n">
        <v>0</v>
      </c>
      <c r="F13" s="19" t="n">
        <v>0</v>
      </c>
      <c r="G13" s="20" t="s">
        <v>79</v>
      </c>
    </row>
    <row r="14" customFormat="false" ht="15" hidden="false" customHeight="false" outlineLevel="0" collapsed="false">
      <c r="B14" s="9" t="s">
        <v>38</v>
      </c>
      <c r="C14" s="19" t="n">
        <f aca="false">FY2026着地見込み!$E$23</f>
        <v>10000000</v>
      </c>
      <c r="D14" s="19" t="n">
        <f aca="false">②前提!$C$24</f>
        <v>15000000</v>
      </c>
      <c r="E14" s="19" t="n">
        <f aca="false">②前提!$C$24</f>
        <v>15000000</v>
      </c>
      <c r="F14" s="19" t="n">
        <f aca="false">②前提!$C$24</f>
        <v>15000000</v>
      </c>
      <c r="G14" s="2"/>
    </row>
    <row r="15" customFormat="false" ht="15" hidden="false" customHeight="false" outlineLevel="0" collapsed="false">
      <c r="B15" s="34" t="s">
        <v>39</v>
      </c>
      <c r="C15" s="17" t="n">
        <f aca="false">C12+C13-C14</f>
        <v>-19793430</v>
      </c>
      <c r="D15" s="17" t="n">
        <f aca="false">D12+D13-D14</f>
        <v>-114559136</v>
      </c>
      <c r="E15" s="17" t="n">
        <f aca="false">E12+E13-E14</f>
        <v>90359241.6</v>
      </c>
      <c r="F15" s="17" t="n">
        <f aca="false">F12+F13-F14</f>
        <v>180359241.6</v>
      </c>
      <c r="G15" s="35"/>
    </row>
    <row r="16" customFormat="false" ht="15" hidden="false" customHeight="false" outlineLevel="0" collapsed="false">
      <c r="B16" s="9" t="s">
        <v>80</v>
      </c>
      <c r="C16" s="19" t="n">
        <v>0</v>
      </c>
      <c r="D16" s="19" t="n">
        <v>0</v>
      </c>
      <c r="E16" s="19" t="n">
        <f aca="false">MAX(0,E15-②前提!$C$33)*②前提!$C$34</f>
        <v>0</v>
      </c>
      <c r="F16" s="19" t="n">
        <f aca="false">MAX(0,F15-②前提!$C$33)*②前提!$C$34</f>
        <v>11288543.864</v>
      </c>
      <c r="G16" s="20" t="s">
        <v>81</v>
      </c>
    </row>
    <row r="17" customFormat="false" ht="15" hidden="false" customHeight="false" outlineLevel="0" collapsed="false">
      <c r="B17" s="32" t="s">
        <v>82</v>
      </c>
      <c r="C17" s="14" t="n">
        <f aca="false">C15-C16</f>
        <v>-19793430</v>
      </c>
      <c r="D17" s="14" t="n">
        <f aca="false">D15-D16</f>
        <v>-114559136</v>
      </c>
      <c r="E17" s="14" t="n">
        <f aca="false">E15-E16</f>
        <v>90359241.6</v>
      </c>
      <c r="F17" s="14" t="n">
        <f aca="false">F15-F16</f>
        <v>169070697.736</v>
      </c>
      <c r="G17" s="33"/>
    </row>
    <row r="21" customFormat="false" ht="15" hidden="false" customHeight="false" outlineLevel="0" collapsed="false">
      <c r="B21" s="36" t="s">
        <v>83</v>
      </c>
    </row>
    <row r="22" customFormat="false" ht="30" hidden="false" customHeight="true" outlineLevel="0" collapsed="false">
      <c r="C22" s="37" t="s">
        <v>84</v>
      </c>
      <c r="D22" s="38" t="s">
        <v>85</v>
      </c>
    </row>
    <row r="23" customFormat="false" ht="15" hidden="false" customHeight="false" outlineLevel="0" collapsed="false">
      <c r="B23" s="9" t="s">
        <v>86</v>
      </c>
      <c r="C23" s="39" t="n">
        <f aca="false">②前提!$C$57</f>
        <v>341394592</v>
      </c>
      <c r="D23" s="40" t="n">
        <f aca="false">C23/②前提!$C$29</f>
        <v>0.320257590994371</v>
      </c>
    </row>
    <row r="24" customFormat="false" ht="15" hidden="false" customHeight="false" outlineLevel="0" collapsed="false">
      <c r="B24" s="9" t="s">
        <v>87</v>
      </c>
      <c r="C24" s="39" t="n">
        <f aca="false">②前提!$C$64</f>
        <v>641394592</v>
      </c>
      <c r="D24" s="40" t="n">
        <f aca="false">C24/②前提!$C$29</f>
        <v>0.60168348217636</v>
      </c>
    </row>
    <row r="26" customFormat="false" ht="15" hidden="false" customHeight="false" outlineLevel="0" collapsed="false">
      <c r="B26" s="41"/>
      <c r="C26" s="41"/>
      <c r="D26" s="41"/>
      <c r="E26" s="41"/>
      <c r="F26" s="41"/>
      <c r="G26" s="41"/>
    </row>
    <row r="27" customFormat="false" ht="15" hidden="false" customHeight="false" outlineLevel="0" collapsed="false">
      <c r="B27" s="42" t="s">
        <v>88</v>
      </c>
      <c r="C27" s="42"/>
      <c r="D27" s="42"/>
      <c r="E27" s="42"/>
      <c r="F27" s="42"/>
      <c r="G27" s="42"/>
    </row>
    <row r="28" customFormat="false" ht="15" hidden="false" customHeight="false" outlineLevel="0" collapsed="false">
      <c r="B28" s="41" t="s">
        <v>89</v>
      </c>
      <c r="C28" s="41"/>
      <c r="D28" s="41"/>
      <c r="E28" s="41"/>
      <c r="F28" s="41"/>
      <c r="G28" s="41"/>
    </row>
    <row r="29" customFormat="false" ht="15" hidden="false" customHeight="false" outlineLevel="0" collapsed="false">
      <c r="B29" s="43" t="s">
        <v>90</v>
      </c>
      <c r="C29" s="43"/>
      <c r="D29" s="43"/>
      <c r="E29" s="43"/>
      <c r="F29" s="43"/>
      <c r="G29" s="43"/>
    </row>
    <row r="30" customFormat="false" ht="15" hidden="false" customHeight="false" outlineLevel="0" collapsed="false">
      <c r="B30" s="43" t="s">
        <v>91</v>
      </c>
      <c r="C30" s="43"/>
      <c r="D30" s="43"/>
      <c r="E30" s="43"/>
      <c r="F30" s="43"/>
      <c r="G30" s="43"/>
    </row>
    <row r="31" customFormat="false" ht="15" hidden="false" customHeight="false" outlineLevel="0" collapsed="false">
      <c r="B31" s="43" t="s">
        <v>92</v>
      </c>
      <c r="C31" s="43"/>
      <c r="D31" s="43"/>
      <c r="E31" s="43"/>
      <c r="F31" s="43"/>
      <c r="G31" s="43"/>
    </row>
    <row r="32" customFormat="false" ht="15" hidden="false" customHeight="false" outlineLevel="0" collapsed="false">
      <c r="B32" s="41"/>
      <c r="C32" s="41"/>
      <c r="D32" s="41"/>
      <c r="E32" s="41"/>
      <c r="F32" s="41"/>
      <c r="G32" s="41"/>
    </row>
    <row r="33" customFormat="false" ht="15" hidden="false" customHeight="false" outlineLevel="0" collapsed="false">
      <c r="B33" s="41" t="s">
        <v>93</v>
      </c>
      <c r="C33" s="41"/>
      <c r="D33" s="41"/>
      <c r="E33" s="41"/>
      <c r="F33" s="41"/>
      <c r="G33" s="41"/>
    </row>
    <row r="34" customFormat="false" ht="15" hidden="false" customHeight="false" outlineLevel="0" collapsed="false">
      <c r="B34" s="43" t="s">
        <v>94</v>
      </c>
      <c r="C34" s="43"/>
      <c r="D34" s="43"/>
      <c r="E34" s="43"/>
      <c r="F34" s="43"/>
      <c r="G34" s="43"/>
    </row>
    <row r="35" customFormat="false" ht="15" hidden="false" customHeight="false" outlineLevel="0" collapsed="false">
      <c r="B35" s="43" t="s">
        <v>95</v>
      </c>
      <c r="C35" s="43"/>
      <c r="D35" s="43"/>
      <c r="E35" s="43"/>
      <c r="F35" s="43"/>
      <c r="G35" s="43"/>
    </row>
    <row r="36" customFormat="false" ht="15" hidden="false" customHeight="false" outlineLevel="0" collapsed="false">
      <c r="B36" s="43" t="s">
        <v>96</v>
      </c>
      <c r="C36" s="43"/>
      <c r="D36" s="43"/>
      <c r="E36" s="43"/>
      <c r="F36" s="43"/>
      <c r="G36" s="43"/>
    </row>
    <row r="37" customFormat="false" ht="15" hidden="false" customHeight="false" outlineLevel="0" collapsed="false">
      <c r="B37" s="43" t="s">
        <v>97</v>
      </c>
      <c r="C37" s="43"/>
      <c r="D37" s="43"/>
      <c r="E37" s="43"/>
      <c r="F37" s="43"/>
      <c r="G37" s="43"/>
    </row>
  </sheetData>
  <mergeCells count="12">
    <mergeCell ref="B26:G26"/>
    <mergeCell ref="B27:G27"/>
    <mergeCell ref="B28:G28"/>
    <mergeCell ref="B29:G29"/>
    <mergeCell ref="B30:G30"/>
    <mergeCell ref="B31:G31"/>
    <mergeCell ref="B32:G32"/>
    <mergeCell ref="B33:G33"/>
    <mergeCell ref="B34:G34"/>
    <mergeCell ref="B35:G35"/>
    <mergeCell ref="B36:G36"/>
    <mergeCell ref="B37: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R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14" min="3" style="0" width="13"/>
    <col collapsed="false" customWidth="true" hidden="false" outlineLevel="0" max="17" min="15" style="0" width="15"/>
    <col collapsed="false" customWidth="true" hidden="false" outlineLevel="0" max="18" min="18" style="0" width="14"/>
  </cols>
  <sheetData>
    <row r="1" customFormat="false" ht="17.15" hidden="false" customHeight="false" outlineLevel="0" collapsed="false">
      <c r="B1" s="44" t="s">
        <v>98</v>
      </c>
    </row>
    <row r="2" customFormat="false" ht="15" hidden="false" customHeight="false" outlineLevel="0" collapsed="false">
      <c r="B2" s="20" t="s">
        <v>99</v>
      </c>
    </row>
    <row r="3" customFormat="false" ht="15" hidden="false" customHeight="false" outlineLevel="0" collapsed="false">
      <c r="B3" s="18" t="s">
        <v>100</v>
      </c>
    </row>
    <row r="5" customFormat="false" ht="30" hidden="false" customHeight="true" outlineLevel="0" collapsed="false">
      <c r="B5" s="37" t="s">
        <v>22</v>
      </c>
      <c r="C5" s="45" t="s">
        <v>101</v>
      </c>
      <c r="D5" s="45" t="s">
        <v>102</v>
      </c>
      <c r="E5" s="45" t="s">
        <v>103</v>
      </c>
      <c r="F5" s="45" t="s">
        <v>104</v>
      </c>
      <c r="G5" s="45" t="s">
        <v>105</v>
      </c>
      <c r="H5" s="45" t="s">
        <v>106</v>
      </c>
      <c r="I5" s="45" t="s">
        <v>107</v>
      </c>
      <c r="J5" s="45" t="s">
        <v>108</v>
      </c>
      <c r="K5" s="45" t="s">
        <v>109</v>
      </c>
      <c r="L5" s="45" t="s">
        <v>110</v>
      </c>
      <c r="M5" s="45" t="s">
        <v>111</v>
      </c>
      <c r="N5" s="45" t="s">
        <v>112</v>
      </c>
      <c r="O5" s="38" t="s">
        <v>113</v>
      </c>
      <c r="P5" s="46" t="s">
        <v>114</v>
      </c>
      <c r="Q5" s="46" t="s">
        <v>115</v>
      </c>
      <c r="R5" s="38" t="s">
        <v>116</v>
      </c>
    </row>
    <row r="6" customFormat="false" ht="15" hidden="false" customHeight="false" outlineLevel="0" collapsed="false">
      <c r="B6" s="9" t="s">
        <v>4</v>
      </c>
      <c r="C6" s="47" t="n">
        <v>32789307</v>
      </c>
      <c r="D6" s="47" t="n">
        <v>96919229</v>
      </c>
      <c r="E6" s="47" t="n">
        <v>43039844</v>
      </c>
      <c r="F6" s="47" t="n">
        <v>32477958</v>
      </c>
      <c r="G6" s="47" t="n">
        <v>41290432</v>
      </c>
      <c r="H6" s="47" t="n">
        <v>33033585</v>
      </c>
      <c r="I6" s="47" t="n">
        <v>31863679</v>
      </c>
      <c r="J6" s="47" t="n">
        <v>33917025</v>
      </c>
      <c r="K6" s="47" t="n">
        <v>31504488</v>
      </c>
      <c r="L6" s="48" t="n">
        <v>60489854</v>
      </c>
      <c r="M6" s="48" t="n">
        <v>37962048</v>
      </c>
      <c r="N6" s="48" t="n">
        <v>232918371</v>
      </c>
      <c r="O6" s="10" t="n">
        <f aca="false">SUM(C6:N6)</f>
        <v>708205820</v>
      </c>
      <c r="P6" s="10" t="n">
        <f aca="false">AVERAGE(C6:H6)</f>
        <v>46591725.8333333</v>
      </c>
      <c r="Q6" s="10" t="n">
        <f aca="false">AVERAGE(I6:K6)</f>
        <v>32428397.3333333</v>
      </c>
      <c r="R6" s="10" t="n">
        <f aca="false">Q6-P6</f>
        <v>-14163328.5</v>
      </c>
    </row>
    <row r="7" customFormat="false" ht="15" hidden="false" customHeight="false" outlineLevel="0" collapsed="false">
      <c r="B7" s="9" t="s">
        <v>28</v>
      </c>
      <c r="C7" s="47" t="n">
        <v>18502877</v>
      </c>
      <c r="D7" s="47" t="n">
        <v>69212121</v>
      </c>
      <c r="E7" s="47" t="n">
        <v>21085289</v>
      </c>
      <c r="F7" s="47" t="n">
        <v>16521949</v>
      </c>
      <c r="G7" s="47" t="n">
        <v>21070367</v>
      </c>
      <c r="H7" s="47" t="n">
        <v>18454664</v>
      </c>
      <c r="I7" s="47" t="n">
        <v>16184238</v>
      </c>
      <c r="J7" s="47" t="n">
        <v>15777832</v>
      </c>
      <c r="K7" s="47" t="n">
        <v>15172640</v>
      </c>
      <c r="L7" s="48" t="n">
        <v>38396406</v>
      </c>
      <c r="M7" s="48" t="n">
        <v>23721353</v>
      </c>
      <c r="N7" s="48" t="n">
        <v>204966678</v>
      </c>
      <c r="O7" s="10" t="n">
        <f aca="false">SUM(C7:N7)</f>
        <v>479066414</v>
      </c>
      <c r="P7" s="10" t="n">
        <f aca="false">AVERAGE(C7:H7)</f>
        <v>27474544.5</v>
      </c>
      <c r="Q7" s="10" t="n">
        <f aca="false">AVERAGE(I7:K7)</f>
        <v>15711570</v>
      </c>
      <c r="R7" s="10" t="n">
        <f aca="false">Q7-P7</f>
        <v>-11762974.5</v>
      </c>
    </row>
    <row r="8" customFormat="false" ht="15" hidden="false" customHeight="false" outlineLevel="0" collapsed="false">
      <c r="B8" s="22" t="s">
        <v>30</v>
      </c>
      <c r="C8" s="10" t="n">
        <v>14286430</v>
      </c>
      <c r="D8" s="10" t="n">
        <v>27707108</v>
      </c>
      <c r="E8" s="10" t="n">
        <v>21954555</v>
      </c>
      <c r="F8" s="10" t="n">
        <v>15956009</v>
      </c>
      <c r="G8" s="10" t="n">
        <v>20220065</v>
      </c>
      <c r="H8" s="10" t="n">
        <v>14578921</v>
      </c>
      <c r="I8" s="10" t="n">
        <v>15679441</v>
      </c>
      <c r="J8" s="10" t="n">
        <v>18139193</v>
      </c>
      <c r="K8" s="10" t="n">
        <v>16331848</v>
      </c>
      <c r="L8" s="10" t="n">
        <v>22093448</v>
      </c>
      <c r="M8" s="10" t="n">
        <v>14240695</v>
      </c>
      <c r="N8" s="10" t="n">
        <v>27951692</v>
      </c>
      <c r="O8" s="10" t="n">
        <f aca="false">SUM(C8:N8)</f>
        <v>229139405</v>
      </c>
      <c r="P8" s="10" t="n">
        <f aca="false">AVERAGE(C8:H8)</f>
        <v>19117181.3333333</v>
      </c>
      <c r="Q8" s="10" t="n">
        <f aca="false">AVERAGE(I8:K8)</f>
        <v>16716827.3333333</v>
      </c>
      <c r="R8" s="10" t="n">
        <f aca="false">Q8-P8</f>
        <v>-2400354</v>
      </c>
    </row>
    <row r="10" customFormat="false" ht="15" hidden="false" customHeight="false" outlineLevel="0" collapsed="false">
      <c r="B10" s="49" t="s">
        <v>117</v>
      </c>
    </row>
    <row r="11" customFormat="false" ht="15" hidden="false" customHeight="false" outlineLevel="0" collapsed="false">
      <c r="B11" s="9" t="s">
        <v>118</v>
      </c>
      <c r="C11" s="47" t="n">
        <v>1450000</v>
      </c>
      <c r="D11" s="47" t="n">
        <v>1450000</v>
      </c>
      <c r="E11" s="47" t="n">
        <v>2104000</v>
      </c>
      <c r="F11" s="47" t="n">
        <v>2104000</v>
      </c>
      <c r="G11" s="47" t="n">
        <v>2104000</v>
      </c>
      <c r="H11" s="47" t="n">
        <v>2104000</v>
      </c>
      <c r="I11" s="47" t="n">
        <v>2104000</v>
      </c>
      <c r="J11" s="47" t="n">
        <v>2104000</v>
      </c>
      <c r="K11" s="47" t="n">
        <v>2104000</v>
      </c>
      <c r="L11" s="48" t="n">
        <v>1140000</v>
      </c>
      <c r="M11" s="48" t="n">
        <v>1140000</v>
      </c>
      <c r="N11" s="48" t="n">
        <v>1140000</v>
      </c>
      <c r="O11" s="10" t="n">
        <f aca="false">SUM(C11:N11)</f>
        <v>21048000</v>
      </c>
      <c r="P11" s="10" t="n">
        <f aca="false">AVERAGE(C11:H11)</f>
        <v>1886000</v>
      </c>
      <c r="Q11" s="10" t="n">
        <f aca="false">AVERAGE(I11:K11)</f>
        <v>2104000</v>
      </c>
      <c r="R11" s="10" t="n">
        <f aca="false">Q11-P11</f>
        <v>218000</v>
      </c>
    </row>
    <row r="12" customFormat="false" ht="15" hidden="false" customHeight="false" outlineLevel="0" collapsed="false">
      <c r="B12" s="9" t="s">
        <v>119</v>
      </c>
      <c r="C12" s="47" t="n">
        <v>5733907</v>
      </c>
      <c r="D12" s="47" t="n">
        <v>5680516</v>
      </c>
      <c r="E12" s="47" t="n">
        <v>5686530</v>
      </c>
      <c r="F12" s="47" t="n">
        <v>5159687</v>
      </c>
      <c r="G12" s="47" t="n">
        <v>4194202</v>
      </c>
      <c r="H12" s="47" t="n">
        <v>2811830</v>
      </c>
      <c r="I12" s="47" t="n">
        <v>2863712</v>
      </c>
      <c r="J12" s="47" t="n">
        <v>2818448</v>
      </c>
      <c r="K12" s="47" t="n">
        <v>2851646</v>
      </c>
      <c r="L12" s="48" t="n">
        <v>3360996</v>
      </c>
      <c r="M12" s="48" t="n">
        <v>3360996</v>
      </c>
      <c r="N12" s="48" t="n">
        <v>3360996</v>
      </c>
      <c r="O12" s="10" t="n">
        <f aca="false">SUM(C12:N12)</f>
        <v>47883466</v>
      </c>
      <c r="P12" s="10" t="n">
        <f aca="false">AVERAGE(C12:H12)</f>
        <v>4877778.66666667</v>
      </c>
      <c r="Q12" s="10" t="n">
        <f aca="false">AVERAGE(I12:K12)</f>
        <v>2844602</v>
      </c>
      <c r="R12" s="10" t="n">
        <f aca="false">Q12-P12</f>
        <v>-2033176.66666667</v>
      </c>
    </row>
    <row r="13" customFormat="false" ht="15" hidden="false" customHeight="false" outlineLevel="0" collapsed="false">
      <c r="B13" s="9" t="s">
        <v>120</v>
      </c>
      <c r="C13" s="47" t="n">
        <v>2678253</v>
      </c>
      <c r="D13" s="47" t="n">
        <v>2351213</v>
      </c>
      <c r="E13" s="47" t="n">
        <v>2399853</v>
      </c>
      <c r="F13" s="47" t="n">
        <v>2289298</v>
      </c>
      <c r="G13" s="47" t="n">
        <v>1935062</v>
      </c>
      <c r="H13" s="47" t="n">
        <v>206640</v>
      </c>
      <c r="I13" s="47" t="n">
        <v>203576</v>
      </c>
      <c r="J13" s="47" t="n">
        <v>177120</v>
      </c>
      <c r="K13" s="47" t="n">
        <v>213529</v>
      </c>
      <c r="L13" s="48" t="n">
        <v>300000</v>
      </c>
      <c r="M13" s="48" t="n">
        <v>300000</v>
      </c>
      <c r="N13" s="48" t="n">
        <v>300000</v>
      </c>
      <c r="O13" s="10" t="n">
        <f aca="false">SUM(C13:N13)</f>
        <v>13354544</v>
      </c>
      <c r="P13" s="10" t="n">
        <f aca="false">AVERAGE(C13:H13)</f>
        <v>1976719.83333333</v>
      </c>
      <c r="Q13" s="10" t="n">
        <f aca="false">AVERAGE(I13:K13)</f>
        <v>198075</v>
      </c>
      <c r="R13" s="10" t="n">
        <f aca="false">Q13-P13</f>
        <v>-1778644.83333333</v>
      </c>
    </row>
    <row r="14" customFormat="false" ht="15" hidden="false" customHeight="false" outlineLevel="0" collapsed="false">
      <c r="B14" s="9" t="s">
        <v>121</v>
      </c>
      <c r="C14" s="47" t="n">
        <v>932201</v>
      </c>
      <c r="D14" s="47" t="n">
        <v>691553</v>
      </c>
      <c r="E14" s="47" t="n">
        <v>306078</v>
      </c>
      <c r="F14" s="47" t="n">
        <v>504694</v>
      </c>
      <c r="G14" s="47" t="n">
        <v>261086</v>
      </c>
      <c r="H14" s="47" t="n">
        <v>270455</v>
      </c>
      <c r="I14" s="47" t="n">
        <v>1046339</v>
      </c>
      <c r="J14" s="47" t="n">
        <v>1511149</v>
      </c>
      <c r="K14" s="47" t="n">
        <v>272080</v>
      </c>
      <c r="L14" s="48" t="n">
        <v>700959</v>
      </c>
      <c r="M14" s="48" t="n">
        <v>700959</v>
      </c>
      <c r="N14" s="48" t="n">
        <v>700959</v>
      </c>
      <c r="O14" s="10" t="n">
        <f aca="false">SUM(C14:N14)</f>
        <v>7898512</v>
      </c>
      <c r="P14" s="10" t="n">
        <f aca="false">AVERAGE(C14:H14)</f>
        <v>494344.5</v>
      </c>
      <c r="Q14" s="10" t="n">
        <f aca="false">AVERAGE(I14:K14)</f>
        <v>943189.333333333</v>
      </c>
      <c r="R14" s="10" t="n">
        <f aca="false">Q14-P14</f>
        <v>448844.833333333</v>
      </c>
    </row>
    <row r="15" customFormat="false" ht="15" hidden="false" customHeight="false" outlineLevel="0" collapsed="false">
      <c r="B15" s="9" t="s">
        <v>122</v>
      </c>
      <c r="C15" s="47" t="n">
        <v>53900</v>
      </c>
      <c r="D15" s="47" t="n">
        <v>154236</v>
      </c>
      <c r="E15" s="47" t="n">
        <v>130336</v>
      </c>
      <c r="F15" s="47" t="n">
        <v>100336</v>
      </c>
      <c r="G15" s="47" t="n">
        <v>371711</v>
      </c>
      <c r="H15" s="47" t="n">
        <v>939098</v>
      </c>
      <c r="I15" s="47" t="n">
        <v>379233</v>
      </c>
      <c r="J15" s="47" t="n">
        <v>480196</v>
      </c>
      <c r="K15" s="47" t="n">
        <v>702798</v>
      </c>
      <c r="L15" s="48" t="n">
        <v>1101461</v>
      </c>
      <c r="M15" s="48" t="n">
        <v>2190787</v>
      </c>
      <c r="N15" s="48" t="n">
        <v>2207913</v>
      </c>
      <c r="O15" s="10" t="n">
        <f aca="false">SUM(C15:N15)</f>
        <v>8812005</v>
      </c>
      <c r="P15" s="10" t="n">
        <f aca="false">AVERAGE(C15:H15)</f>
        <v>291602.833333333</v>
      </c>
      <c r="Q15" s="10" t="n">
        <f aca="false">AVERAGE(I15:K15)</f>
        <v>520742.333333333</v>
      </c>
      <c r="R15" s="10" t="n">
        <f aca="false">Q15-P15</f>
        <v>229139.5</v>
      </c>
    </row>
    <row r="16" customFormat="false" ht="15" hidden="false" customHeight="false" outlineLevel="0" collapsed="false">
      <c r="B16" s="9" t="s">
        <v>123</v>
      </c>
      <c r="C16" s="47" t="n">
        <v>234134</v>
      </c>
      <c r="D16" s="47" t="n">
        <v>1115528</v>
      </c>
      <c r="E16" s="47" t="n">
        <v>1228240</v>
      </c>
      <c r="F16" s="47" t="n">
        <v>483409</v>
      </c>
      <c r="G16" s="47" t="n">
        <v>804329</v>
      </c>
      <c r="H16" s="47" t="n">
        <v>985484</v>
      </c>
      <c r="I16" s="47" t="n">
        <v>1222432</v>
      </c>
      <c r="J16" s="47" t="n">
        <v>825807</v>
      </c>
      <c r="K16" s="47" t="n">
        <v>910690</v>
      </c>
      <c r="L16" s="48" t="n">
        <v>728319</v>
      </c>
      <c r="M16" s="48" t="n">
        <v>1204454</v>
      </c>
      <c r="N16" s="48" t="n">
        <v>814324</v>
      </c>
      <c r="O16" s="10" t="n">
        <f aca="false">SUM(C16:N16)</f>
        <v>10557150</v>
      </c>
      <c r="P16" s="10" t="n">
        <f aca="false">AVERAGE(C16:H16)</f>
        <v>808520.666666667</v>
      </c>
      <c r="Q16" s="10" t="n">
        <f aca="false">AVERAGE(I16:K16)</f>
        <v>986309.666666667</v>
      </c>
      <c r="R16" s="10" t="n">
        <f aca="false">Q16-P16</f>
        <v>177789</v>
      </c>
    </row>
    <row r="17" customFormat="false" ht="15" hidden="false" customHeight="false" outlineLevel="0" collapsed="false">
      <c r="B17" s="9" t="s">
        <v>124</v>
      </c>
      <c r="C17" s="47" t="n">
        <v>2786025</v>
      </c>
      <c r="D17" s="47" t="n">
        <v>892984</v>
      </c>
      <c r="E17" s="47" t="n">
        <v>6616700</v>
      </c>
      <c r="F17" s="47" t="n">
        <v>3819686</v>
      </c>
      <c r="G17" s="47" t="n">
        <v>3382365</v>
      </c>
      <c r="H17" s="47" t="n">
        <v>7232976</v>
      </c>
      <c r="I17" s="47" t="n">
        <v>4246967</v>
      </c>
      <c r="J17" s="47" t="n">
        <v>2708814</v>
      </c>
      <c r="K17" s="47" t="n">
        <v>2821069</v>
      </c>
      <c r="L17" s="48" t="n">
        <v>1197015</v>
      </c>
      <c r="M17" s="48" t="n">
        <v>1315343</v>
      </c>
      <c r="N17" s="48" t="n">
        <v>1218389</v>
      </c>
      <c r="O17" s="10" t="n">
        <f aca="false">SUM(C17:N17)</f>
        <v>38238333</v>
      </c>
      <c r="P17" s="10" t="n">
        <f aca="false">AVERAGE(C17:H17)</f>
        <v>4121789.33333333</v>
      </c>
      <c r="Q17" s="10" t="n">
        <f aca="false">AVERAGE(I17:K17)</f>
        <v>3258950</v>
      </c>
      <c r="R17" s="10" t="n">
        <f aca="false">Q17-P17</f>
        <v>-862839.333333334</v>
      </c>
    </row>
    <row r="18" customFormat="false" ht="15" hidden="false" customHeight="false" outlineLevel="0" collapsed="false">
      <c r="B18" s="9" t="s">
        <v>125</v>
      </c>
      <c r="C18" s="47" t="n">
        <v>4193310</v>
      </c>
      <c r="D18" s="47" t="n">
        <v>4996110</v>
      </c>
      <c r="E18" s="47" t="n">
        <v>5069142</v>
      </c>
      <c r="F18" s="47" t="n">
        <v>5753005</v>
      </c>
      <c r="G18" s="47" t="n">
        <v>6089658</v>
      </c>
      <c r="H18" s="47" t="n">
        <v>3904683</v>
      </c>
      <c r="I18" s="47" t="n">
        <v>3293026</v>
      </c>
      <c r="J18" s="47" t="n">
        <v>3902041</v>
      </c>
      <c r="K18" s="47" t="n">
        <v>3970041</v>
      </c>
      <c r="L18" s="48" t="n">
        <v>1300000</v>
      </c>
      <c r="M18" s="48" t="n">
        <v>1300000</v>
      </c>
      <c r="N18" s="48" t="n">
        <v>1300000</v>
      </c>
      <c r="O18" s="10" t="n">
        <f aca="false">SUM(C18:N18)</f>
        <v>45071016</v>
      </c>
      <c r="P18" s="10" t="n">
        <f aca="false">AVERAGE(C18:H18)</f>
        <v>5000984.66666667</v>
      </c>
      <c r="Q18" s="10" t="n">
        <f aca="false">AVERAGE(I18:K18)</f>
        <v>3721702.66666667</v>
      </c>
      <c r="R18" s="10" t="n">
        <f aca="false">Q18-P18</f>
        <v>-1279282</v>
      </c>
    </row>
    <row r="19" customFormat="false" ht="15" hidden="false" customHeight="false" outlineLevel="0" collapsed="false">
      <c r="B19" s="9" t="s">
        <v>126</v>
      </c>
      <c r="C19" s="47" t="n">
        <v>298477</v>
      </c>
      <c r="D19" s="47" t="n">
        <v>502722</v>
      </c>
      <c r="E19" s="47" t="n">
        <v>616408</v>
      </c>
      <c r="F19" s="47" t="n">
        <v>275333</v>
      </c>
      <c r="G19" s="47" t="n">
        <v>458134</v>
      </c>
      <c r="H19" s="47" t="n">
        <v>252956</v>
      </c>
      <c r="I19" s="47" t="n">
        <v>125644</v>
      </c>
      <c r="J19" s="47" t="n">
        <v>272015</v>
      </c>
      <c r="K19" s="47" t="n">
        <v>802423</v>
      </c>
      <c r="L19" s="48" t="n">
        <v>172511</v>
      </c>
      <c r="M19" s="48" t="n">
        <v>172511</v>
      </c>
      <c r="N19" s="48" t="n">
        <v>172511</v>
      </c>
      <c r="O19" s="10" t="n">
        <f aca="false">SUM(C19:N19)</f>
        <v>4121645</v>
      </c>
      <c r="P19" s="10" t="n">
        <f aca="false">AVERAGE(C19:H19)</f>
        <v>400671.666666667</v>
      </c>
      <c r="Q19" s="10" t="n">
        <f aca="false">AVERAGE(I19:K19)</f>
        <v>400027.333333333</v>
      </c>
      <c r="R19" s="10" t="n">
        <f aca="false">Q19-P19</f>
        <v>-644.333333333372</v>
      </c>
    </row>
    <row r="20" customFormat="false" ht="15" hidden="false" customHeight="false" outlineLevel="0" collapsed="false">
      <c r="B20" s="9" t="s">
        <v>127</v>
      </c>
      <c r="C20" s="47" t="n">
        <v>956603</v>
      </c>
      <c r="D20" s="47" t="n">
        <v>757648</v>
      </c>
      <c r="E20" s="47" t="n">
        <v>986948</v>
      </c>
      <c r="F20" s="47" t="n">
        <v>1221393</v>
      </c>
      <c r="G20" s="47" t="n">
        <v>1130296</v>
      </c>
      <c r="H20" s="47" t="n">
        <v>792518</v>
      </c>
      <c r="I20" s="47" t="n">
        <v>751741</v>
      </c>
      <c r="J20" s="47" t="n">
        <v>903801</v>
      </c>
      <c r="K20" s="47" t="n">
        <v>406947</v>
      </c>
      <c r="L20" s="48" t="n">
        <v>400000</v>
      </c>
      <c r="M20" s="48" t="n">
        <v>400000</v>
      </c>
      <c r="N20" s="48" t="n">
        <v>400000</v>
      </c>
      <c r="O20" s="10" t="n">
        <f aca="false">SUM(C20:N20)</f>
        <v>9107895</v>
      </c>
      <c r="P20" s="10" t="n">
        <f aca="false">AVERAGE(C20:H20)</f>
        <v>974234.333333333</v>
      </c>
      <c r="Q20" s="10" t="n">
        <f aca="false">AVERAGE(I20:K20)</f>
        <v>687496.333333333</v>
      </c>
      <c r="R20" s="10" t="n">
        <f aca="false">Q20-P20</f>
        <v>-286738</v>
      </c>
    </row>
    <row r="21" customFormat="false" ht="15" hidden="false" customHeight="false" outlineLevel="0" collapsed="false">
      <c r="B21" s="9" t="s">
        <v>128</v>
      </c>
      <c r="C21" s="47" t="n">
        <v>385679</v>
      </c>
      <c r="D21" s="47" t="n">
        <v>409461</v>
      </c>
      <c r="E21" s="47" t="n">
        <v>423594</v>
      </c>
      <c r="F21" s="47" t="n">
        <v>48463</v>
      </c>
      <c r="G21" s="47" t="n">
        <v>455455</v>
      </c>
      <c r="H21" s="47" t="n">
        <v>6275</v>
      </c>
      <c r="I21" s="47" t="n">
        <v>224456</v>
      </c>
      <c r="J21" s="47" t="n">
        <v>0</v>
      </c>
      <c r="K21" s="47" t="n">
        <v>237941</v>
      </c>
      <c r="L21" s="48" t="n">
        <v>0</v>
      </c>
      <c r="M21" s="48" t="n">
        <v>0</v>
      </c>
      <c r="N21" s="48" t="n">
        <v>0</v>
      </c>
      <c r="O21" s="10" t="n">
        <f aca="false">SUM(C21:N21)</f>
        <v>2191324</v>
      </c>
      <c r="P21" s="10" t="n">
        <f aca="false">AVERAGE(C21:H21)</f>
        <v>288154.5</v>
      </c>
      <c r="Q21" s="10" t="n">
        <f aca="false">AVERAGE(I21:K21)</f>
        <v>154132.333333333</v>
      </c>
      <c r="R21" s="10" t="n">
        <f aca="false">Q21-P21</f>
        <v>-134022.166666667</v>
      </c>
    </row>
    <row r="22" customFormat="false" ht="15" hidden="false" customHeight="false" outlineLevel="0" collapsed="false">
      <c r="B22" s="9" t="s">
        <v>129</v>
      </c>
      <c r="C22" s="47" t="n">
        <v>163840</v>
      </c>
      <c r="D22" s="47" t="n">
        <v>163840</v>
      </c>
      <c r="E22" s="47" t="n">
        <v>163840</v>
      </c>
      <c r="F22" s="47" t="n">
        <v>163840</v>
      </c>
      <c r="G22" s="47" t="n">
        <v>134106</v>
      </c>
      <c r="H22" s="47" t="n">
        <v>111575</v>
      </c>
      <c r="I22" s="47" t="n">
        <v>147305</v>
      </c>
      <c r="J22" s="47" t="n">
        <v>112235</v>
      </c>
      <c r="K22" s="47" t="n">
        <v>109311</v>
      </c>
      <c r="L22" s="48" t="n">
        <v>112868</v>
      </c>
      <c r="M22" s="48" t="n">
        <v>114508</v>
      </c>
      <c r="N22" s="48" t="n">
        <v>114868</v>
      </c>
      <c r="O22" s="10" t="n">
        <f aca="false">SUM(C22:N22)</f>
        <v>1612136</v>
      </c>
      <c r="P22" s="10" t="n">
        <f aca="false">AVERAGE(C22:H22)</f>
        <v>150173.5</v>
      </c>
      <c r="Q22" s="10" t="n">
        <f aca="false">AVERAGE(I22:K22)</f>
        <v>122950.333333333</v>
      </c>
      <c r="R22" s="10" t="n">
        <f aca="false">Q22-P22</f>
        <v>-27223.1666666667</v>
      </c>
    </row>
    <row r="23" customFormat="false" ht="15" hidden="false" customHeight="false" outlineLevel="0" collapsed="false">
      <c r="B23" s="9" t="s">
        <v>130</v>
      </c>
      <c r="C23" s="47" t="n">
        <v>0</v>
      </c>
      <c r="D23" s="47" t="n">
        <v>7273</v>
      </c>
      <c r="E23" s="47" t="n">
        <v>136364</v>
      </c>
      <c r="F23" s="47" t="n">
        <v>437233</v>
      </c>
      <c r="G23" s="47" t="n">
        <v>0</v>
      </c>
      <c r="H23" s="47" t="n">
        <v>0</v>
      </c>
      <c r="I23" s="47" t="n">
        <v>0</v>
      </c>
      <c r="J23" s="47" t="n">
        <v>0</v>
      </c>
      <c r="K23" s="47" t="n">
        <v>0</v>
      </c>
      <c r="L23" s="48" t="n">
        <v>0</v>
      </c>
      <c r="M23" s="48" t="n">
        <v>0</v>
      </c>
      <c r="N23" s="48" t="n">
        <v>0</v>
      </c>
      <c r="O23" s="10" t="n">
        <f aca="false">SUM(C23:N23)</f>
        <v>580870</v>
      </c>
      <c r="P23" s="10" t="n">
        <f aca="false">AVERAGE(C23:H23)</f>
        <v>96811.6666666667</v>
      </c>
      <c r="Q23" s="10" t="n">
        <f aca="false">AVERAGE(I23:K23)</f>
        <v>0</v>
      </c>
      <c r="R23" s="10" t="n">
        <f aca="false">Q23-P23</f>
        <v>-96811.6666666667</v>
      </c>
    </row>
    <row r="24" customFormat="false" ht="15" hidden="false" customHeight="false" outlineLevel="0" collapsed="false">
      <c r="B24" s="9" t="s">
        <v>131</v>
      </c>
      <c r="C24" s="47" t="n">
        <v>208971</v>
      </c>
      <c r="D24" s="47" t="n">
        <v>541789</v>
      </c>
      <c r="E24" s="47" t="n">
        <v>1218512</v>
      </c>
      <c r="F24" s="47" t="n">
        <v>300194</v>
      </c>
      <c r="G24" s="47" t="n">
        <v>157936</v>
      </c>
      <c r="H24" s="47" t="n">
        <v>45207</v>
      </c>
      <c r="I24" s="47" t="n">
        <v>318201</v>
      </c>
      <c r="J24" s="47" t="n">
        <v>354071</v>
      </c>
      <c r="K24" s="47" t="n">
        <v>67209</v>
      </c>
      <c r="L24" s="48" t="n">
        <v>0</v>
      </c>
      <c r="M24" s="48" t="n">
        <v>0</v>
      </c>
      <c r="N24" s="48" t="n">
        <v>0</v>
      </c>
      <c r="O24" s="10" t="n">
        <f aca="false">SUM(C24:N24)</f>
        <v>3212090</v>
      </c>
      <c r="P24" s="10" t="n">
        <f aca="false">AVERAGE(C24:H24)</f>
        <v>412101.5</v>
      </c>
      <c r="Q24" s="10" t="n">
        <f aca="false">AVERAGE(I24:K24)</f>
        <v>246493.666666667</v>
      </c>
      <c r="R24" s="10" t="n">
        <f aca="false">Q24-P24</f>
        <v>-165607.833333333</v>
      </c>
    </row>
    <row r="25" customFormat="false" ht="15" hidden="false" customHeight="false" outlineLevel="0" collapsed="false">
      <c r="B25" s="9" t="s">
        <v>132</v>
      </c>
      <c r="C25" s="47" t="n">
        <v>732759</v>
      </c>
      <c r="D25" s="47" t="n">
        <v>1772849</v>
      </c>
      <c r="E25" s="47" t="n">
        <v>1593889</v>
      </c>
      <c r="F25" s="47" t="n">
        <v>1429651</v>
      </c>
      <c r="G25" s="47" t="n">
        <v>2057129</v>
      </c>
      <c r="H25" s="47" t="n">
        <v>1220565</v>
      </c>
      <c r="I25" s="47" t="n">
        <v>1330222</v>
      </c>
      <c r="J25" s="47" t="n">
        <v>781049</v>
      </c>
      <c r="K25" s="47" t="n">
        <v>1527735</v>
      </c>
      <c r="L25" s="48" t="n">
        <v>1397165</v>
      </c>
      <c r="M25" s="48" t="n">
        <v>2239059</v>
      </c>
      <c r="N25" s="48" t="n">
        <v>1549238</v>
      </c>
      <c r="O25" s="10" t="n">
        <f aca="false">SUM(C25:N25)</f>
        <v>17631310</v>
      </c>
      <c r="P25" s="10" t="n">
        <f aca="false">AVERAGE(C25:H25)</f>
        <v>1467807</v>
      </c>
      <c r="Q25" s="10" t="n">
        <f aca="false">AVERAGE(I25:K25)</f>
        <v>1213002</v>
      </c>
      <c r="R25" s="10" t="n">
        <f aca="false">Q25-P25</f>
        <v>-254805</v>
      </c>
    </row>
    <row r="26" customFormat="false" ht="15" hidden="false" customHeight="false" outlineLevel="0" collapsed="false">
      <c r="B26" s="9" t="s">
        <v>133</v>
      </c>
      <c r="C26" s="47" t="n">
        <v>216380</v>
      </c>
      <c r="D26" s="47" t="n">
        <v>187821</v>
      </c>
      <c r="E26" s="47" t="n">
        <v>353693</v>
      </c>
      <c r="F26" s="47" t="n">
        <v>190734</v>
      </c>
      <c r="G26" s="47" t="n">
        <v>146470</v>
      </c>
      <c r="H26" s="47" t="n">
        <v>0</v>
      </c>
      <c r="I26" s="47" t="n">
        <v>0</v>
      </c>
      <c r="J26" s="47" t="n">
        <v>0</v>
      </c>
      <c r="K26" s="47" t="n">
        <v>0</v>
      </c>
      <c r="L26" s="48" t="n">
        <v>0</v>
      </c>
      <c r="M26" s="48" t="n">
        <v>0</v>
      </c>
      <c r="N26" s="48" t="n">
        <v>0</v>
      </c>
      <c r="O26" s="10" t="n">
        <f aca="false">SUM(C26:N26)</f>
        <v>1095098</v>
      </c>
      <c r="P26" s="10" t="n">
        <f aca="false">AVERAGE(C26:H26)</f>
        <v>182516.333333333</v>
      </c>
      <c r="Q26" s="10" t="n">
        <f aca="false">AVERAGE(I26:K26)</f>
        <v>0</v>
      </c>
      <c r="R26" s="10" t="n">
        <f aca="false">Q26-P26</f>
        <v>-182516.333333333</v>
      </c>
    </row>
    <row r="27" customFormat="false" ht="15" hidden="false" customHeight="false" outlineLevel="0" collapsed="false">
      <c r="B27" s="9" t="s">
        <v>134</v>
      </c>
      <c r="C27" s="47" t="n">
        <v>31310</v>
      </c>
      <c r="D27" s="47" t="n">
        <v>3384111</v>
      </c>
      <c r="E27" s="47" t="n">
        <v>3979857</v>
      </c>
      <c r="F27" s="47" t="n">
        <v>3817705</v>
      </c>
      <c r="G27" s="47" t="n">
        <v>5101111</v>
      </c>
      <c r="H27" s="47" t="n">
        <v>4052047</v>
      </c>
      <c r="I27" s="47" t="n">
        <v>3451669</v>
      </c>
      <c r="J27" s="47" t="n">
        <v>3221145</v>
      </c>
      <c r="K27" s="47" t="n">
        <v>3077916</v>
      </c>
      <c r="L27" s="48" t="n">
        <v>1137091</v>
      </c>
      <c r="M27" s="48" t="n">
        <v>1137091</v>
      </c>
      <c r="N27" s="48" t="n">
        <v>1137091</v>
      </c>
      <c r="O27" s="10" t="n">
        <f aca="false">SUM(C27:N27)</f>
        <v>33528144</v>
      </c>
      <c r="P27" s="10" t="n">
        <f aca="false">AVERAGE(C27:H27)</f>
        <v>3394356.83333333</v>
      </c>
      <c r="Q27" s="10" t="n">
        <f aca="false">AVERAGE(I27:K27)</f>
        <v>3250243.33333333</v>
      </c>
      <c r="R27" s="10" t="n">
        <f aca="false">Q27-P27</f>
        <v>-144113.5</v>
      </c>
    </row>
    <row r="28" customFormat="false" ht="15" hidden="false" customHeight="false" outlineLevel="0" collapsed="false">
      <c r="B28" s="9" t="s">
        <v>135</v>
      </c>
      <c r="C28" s="47" t="n">
        <v>64335</v>
      </c>
      <c r="D28" s="47" t="n">
        <v>164394</v>
      </c>
      <c r="E28" s="47" t="n">
        <v>135411</v>
      </c>
      <c r="F28" s="47" t="n">
        <v>0</v>
      </c>
      <c r="G28" s="47" t="n">
        <v>0</v>
      </c>
      <c r="H28" s="47" t="n">
        <v>0</v>
      </c>
      <c r="I28" s="47" t="n">
        <v>6251</v>
      </c>
      <c r="J28" s="47" t="n">
        <v>86499</v>
      </c>
      <c r="K28" s="47" t="n">
        <v>56817</v>
      </c>
      <c r="L28" s="48" t="n">
        <v>0</v>
      </c>
      <c r="M28" s="48" t="n">
        <v>0</v>
      </c>
      <c r="N28" s="48" t="n">
        <v>0</v>
      </c>
      <c r="O28" s="10" t="n">
        <f aca="false">SUM(C28:N28)</f>
        <v>513707</v>
      </c>
      <c r="P28" s="10" t="n">
        <f aca="false">AVERAGE(C28:H28)</f>
        <v>60690</v>
      </c>
      <c r="Q28" s="10" t="n">
        <f aca="false">AVERAGE(I28:K28)</f>
        <v>49855.6666666667</v>
      </c>
      <c r="R28" s="10" t="n">
        <f aca="false">Q28-P28</f>
        <v>-10834.3333333333</v>
      </c>
    </row>
    <row r="29" customFormat="false" ht="15" hidden="false" customHeight="false" outlineLevel="0" collapsed="false">
      <c r="B29" s="9" t="s">
        <v>136</v>
      </c>
      <c r="C29" s="47" t="n">
        <v>10000</v>
      </c>
      <c r="D29" s="47" t="n">
        <v>10000</v>
      </c>
      <c r="E29" s="47" t="n">
        <v>10000</v>
      </c>
      <c r="F29" s="47" t="n">
        <v>10000</v>
      </c>
      <c r="G29" s="47" t="n">
        <v>10000</v>
      </c>
      <c r="H29" s="47" t="n">
        <v>10000</v>
      </c>
      <c r="I29" s="47" t="n">
        <v>10000</v>
      </c>
      <c r="J29" s="47" t="n">
        <v>10000</v>
      </c>
      <c r="K29" s="47" t="n">
        <v>0</v>
      </c>
      <c r="L29" s="48" t="n">
        <v>179847</v>
      </c>
      <c r="M29" s="48" t="n">
        <v>179847</v>
      </c>
      <c r="N29" s="48" t="n">
        <v>179847</v>
      </c>
      <c r="O29" s="10" t="n">
        <f aca="false">SUM(C29:N29)</f>
        <v>619541</v>
      </c>
      <c r="P29" s="10" t="n">
        <f aca="false">AVERAGE(C29:H29)</f>
        <v>10000</v>
      </c>
      <c r="Q29" s="10" t="n">
        <f aca="false">AVERAGE(I29:K29)</f>
        <v>6666.66666666667</v>
      </c>
      <c r="R29" s="10" t="n">
        <f aca="false">Q29-P29</f>
        <v>-3333.33333333333</v>
      </c>
    </row>
    <row r="30" customFormat="false" ht="15" hidden="false" customHeight="false" outlineLevel="0" collapsed="false">
      <c r="B30" s="9" t="s">
        <v>137</v>
      </c>
      <c r="C30" s="47" t="n">
        <v>0</v>
      </c>
      <c r="D30" s="47" t="n">
        <v>190000</v>
      </c>
      <c r="E30" s="47" t="n">
        <v>619800</v>
      </c>
      <c r="F30" s="47" t="n">
        <v>0</v>
      </c>
      <c r="G30" s="47" t="n">
        <v>593317</v>
      </c>
      <c r="H30" s="47" t="n">
        <v>0</v>
      </c>
      <c r="I30" s="47" t="n">
        <v>6180</v>
      </c>
      <c r="J30" s="47" t="n">
        <v>3400</v>
      </c>
      <c r="K30" s="47" t="n">
        <v>1174300</v>
      </c>
      <c r="L30" s="48" t="n">
        <v>0</v>
      </c>
      <c r="M30" s="48" t="n">
        <v>0</v>
      </c>
      <c r="N30" s="48" t="n">
        <v>0</v>
      </c>
      <c r="O30" s="10" t="n">
        <f aca="false">SUM(C30:N30)</f>
        <v>2586997</v>
      </c>
      <c r="P30" s="10" t="n">
        <f aca="false">AVERAGE(C30:H30)</f>
        <v>233852.833333333</v>
      </c>
      <c r="Q30" s="10" t="n">
        <f aca="false">AVERAGE(I30:K30)</f>
        <v>394626.666666667</v>
      </c>
      <c r="R30" s="10" t="n">
        <f aca="false">Q30-P30</f>
        <v>160773.833333333</v>
      </c>
    </row>
    <row r="31" customFormat="false" ht="15" hidden="false" customHeight="false" outlineLevel="0" collapsed="false">
      <c r="B31" s="9" t="s">
        <v>138</v>
      </c>
      <c r="C31" s="47" t="n">
        <v>10091</v>
      </c>
      <c r="D31" s="47" t="n">
        <v>15091</v>
      </c>
      <c r="E31" s="47" t="n">
        <v>6091</v>
      </c>
      <c r="F31" s="47" t="n">
        <v>11341</v>
      </c>
      <c r="G31" s="47" t="n">
        <v>40091</v>
      </c>
      <c r="H31" s="47" t="n">
        <v>0</v>
      </c>
      <c r="I31" s="47" t="n">
        <v>0</v>
      </c>
      <c r="J31" s="47" t="n">
        <v>0</v>
      </c>
      <c r="K31" s="47" t="n">
        <v>0</v>
      </c>
      <c r="L31" s="48" t="n">
        <v>0</v>
      </c>
      <c r="M31" s="48" t="n">
        <v>0</v>
      </c>
      <c r="N31" s="48" t="n">
        <v>0</v>
      </c>
      <c r="O31" s="10" t="n">
        <f aca="false">SUM(C31:N31)</f>
        <v>82705</v>
      </c>
      <c r="P31" s="10" t="n">
        <f aca="false">AVERAGE(C31:H31)</f>
        <v>13784.1666666667</v>
      </c>
      <c r="Q31" s="10" t="n">
        <f aca="false">AVERAGE(I31:K31)</f>
        <v>0</v>
      </c>
      <c r="R31" s="10" t="n">
        <f aca="false">Q31-P31</f>
        <v>-13784.1666666667</v>
      </c>
    </row>
    <row r="32" customFormat="false" ht="15" hidden="false" customHeight="false" outlineLevel="0" collapsed="false">
      <c r="B32" s="9" t="s">
        <v>139</v>
      </c>
      <c r="C32" s="47" t="n">
        <v>3815699</v>
      </c>
      <c r="D32" s="47" t="n">
        <v>3868032</v>
      </c>
      <c r="E32" s="47" t="n">
        <v>3961360</v>
      </c>
      <c r="F32" s="47" t="n">
        <v>3970858</v>
      </c>
      <c r="G32" s="47" t="n">
        <v>3964526</v>
      </c>
      <c r="H32" s="47" t="n">
        <v>3637873</v>
      </c>
      <c r="I32" s="47" t="n">
        <v>3637873</v>
      </c>
      <c r="J32" s="47" t="n">
        <v>3637873</v>
      </c>
      <c r="K32" s="47" t="n">
        <v>3637873</v>
      </c>
      <c r="L32" s="48" t="n">
        <v>2246731</v>
      </c>
      <c r="M32" s="48" t="n">
        <v>2246731</v>
      </c>
      <c r="N32" s="48" t="n">
        <v>2246731</v>
      </c>
      <c r="O32" s="10" t="n">
        <f aca="false">SUM(C32:N32)</f>
        <v>40872160</v>
      </c>
      <c r="P32" s="10" t="n">
        <f aca="false">AVERAGE(C32:H32)</f>
        <v>3869724.66666667</v>
      </c>
      <c r="Q32" s="10" t="n">
        <f aca="false">AVERAGE(I32:K32)</f>
        <v>3637873</v>
      </c>
      <c r="R32" s="10" t="n">
        <f aca="false">Q32-P32</f>
        <v>-231851.666666667</v>
      </c>
    </row>
    <row r="33" customFormat="false" ht="15" hidden="false" customHeight="false" outlineLevel="0" collapsed="false">
      <c r="B33" s="9" t="s">
        <v>140</v>
      </c>
      <c r="C33" s="47" t="n">
        <v>419018</v>
      </c>
      <c r="D33" s="47" t="n">
        <v>1656111</v>
      </c>
      <c r="E33" s="47" t="n">
        <v>825810</v>
      </c>
      <c r="F33" s="47" t="n">
        <v>1670919</v>
      </c>
      <c r="G33" s="47" t="n">
        <v>742917</v>
      </c>
      <c r="H33" s="47" t="n">
        <v>10153686</v>
      </c>
      <c r="I33" s="47" t="n">
        <v>515140</v>
      </c>
      <c r="J33" s="47" t="n">
        <v>619350</v>
      </c>
      <c r="K33" s="47" t="n">
        <v>-317039</v>
      </c>
      <c r="L33" s="48" t="n">
        <v>5546051</v>
      </c>
      <c r="M33" s="48" t="n">
        <v>5910511</v>
      </c>
      <c r="N33" s="48" t="n">
        <v>5571711</v>
      </c>
      <c r="O33" s="10" t="n">
        <f aca="false">SUM(C33:N33)</f>
        <v>33314185</v>
      </c>
      <c r="P33" s="10" t="n">
        <f aca="false">AVERAGE(C33:H33)</f>
        <v>2578076.83333333</v>
      </c>
      <c r="Q33" s="10" t="n">
        <f aca="false">AVERAGE(I33:K33)</f>
        <v>272483.666666667</v>
      </c>
      <c r="R33" s="10" t="n">
        <f aca="false">Q33-P33</f>
        <v>-2305593.16666667</v>
      </c>
    </row>
    <row r="34" customFormat="false" ht="15" hidden="false" customHeight="false" outlineLevel="0" collapsed="false">
      <c r="B34" s="13" t="s">
        <v>141</v>
      </c>
      <c r="C34" s="14" t="n">
        <f aca="false">SUM(C11:C33)</f>
        <v>25374892</v>
      </c>
      <c r="D34" s="14" t="n">
        <f aca="false">SUM(D11:D33)</f>
        <v>30963282</v>
      </c>
      <c r="E34" s="14" t="n">
        <f aca="false">SUM(E11:E33)</f>
        <v>38572456</v>
      </c>
      <c r="F34" s="14" t="n">
        <f aca="false">SUM(F11:F33)</f>
        <v>33761779</v>
      </c>
      <c r="G34" s="14" t="n">
        <f aca="false">SUM(G11:G33)</f>
        <v>34133901</v>
      </c>
      <c r="H34" s="14" t="n">
        <f aca="false">SUM(H11:H33)</f>
        <v>38737868</v>
      </c>
      <c r="I34" s="14" t="n">
        <f aca="false">SUM(I11:I33)</f>
        <v>25883967</v>
      </c>
      <c r="J34" s="14" t="n">
        <f aca="false">SUM(J11:J33)</f>
        <v>24529013</v>
      </c>
      <c r="K34" s="14" t="n">
        <f aca="false">SUM(K11:K33)</f>
        <v>24627286</v>
      </c>
      <c r="L34" s="14" t="n">
        <f aca="false">SUM(L11:L33)</f>
        <v>21021014</v>
      </c>
      <c r="M34" s="14" t="n">
        <f aca="false">SUM(M11:M33)</f>
        <v>23912797</v>
      </c>
      <c r="N34" s="14" t="n">
        <f aca="false">SUM(N11:N33)</f>
        <v>22414578</v>
      </c>
      <c r="O34" s="14" t="n">
        <f aca="false">SUM(C34:N34)</f>
        <v>343932833</v>
      </c>
      <c r="P34" s="14" t="n">
        <f aca="false">AVERAGE(C34:H34)</f>
        <v>33590696.3333333</v>
      </c>
      <c r="Q34" s="14" t="n">
        <f aca="false">AVERAGE(I34:K34)</f>
        <v>25013422</v>
      </c>
      <c r="R34" s="14" t="n">
        <f aca="false">Q34-P34</f>
        <v>-8577274.33333334</v>
      </c>
    </row>
    <row r="35" customFormat="false" ht="15" hidden="false" customHeight="false" outlineLevel="0" collapsed="false">
      <c r="B35" s="32" t="s">
        <v>37</v>
      </c>
      <c r="C35" s="14" t="n">
        <f aca="false">C8-C34</f>
        <v>-11088462</v>
      </c>
      <c r="D35" s="14" t="n">
        <f aca="false">D8-D34</f>
        <v>-3256174</v>
      </c>
      <c r="E35" s="14" t="n">
        <f aca="false">E8-E34</f>
        <v>-16617901</v>
      </c>
      <c r="F35" s="14" t="n">
        <f aca="false">F8-F34</f>
        <v>-17805770</v>
      </c>
      <c r="G35" s="14" t="n">
        <f aca="false">G8-G34</f>
        <v>-13913836</v>
      </c>
      <c r="H35" s="14" t="n">
        <f aca="false">H8-H34</f>
        <v>-24158947</v>
      </c>
      <c r="I35" s="14" t="n">
        <f aca="false">I8-I34</f>
        <v>-10204526</v>
      </c>
      <c r="J35" s="14" t="n">
        <f aca="false">J8-J34</f>
        <v>-6389820</v>
      </c>
      <c r="K35" s="14" t="n">
        <f aca="false">K8-K34</f>
        <v>-8295438</v>
      </c>
      <c r="L35" s="14" t="n">
        <f aca="false">L8-L34</f>
        <v>1072434</v>
      </c>
      <c r="M35" s="14" t="n">
        <f aca="false">M8-M34</f>
        <v>-9672102</v>
      </c>
      <c r="N35" s="14" t="n">
        <f aca="false">N8-N34</f>
        <v>5537114</v>
      </c>
      <c r="O35" s="14" t="n">
        <f aca="false">SUM(C35:N35)</f>
        <v>-114793428</v>
      </c>
    </row>
    <row r="37" customFormat="false" ht="15" hidden="false" customHeight="false" outlineLevel="0" collapsed="false">
      <c r="B37" s="18" t="s">
        <v>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5" min="3" style="0" width="17"/>
    <col collapsed="false" customWidth="true" hidden="false" outlineLevel="0" max="6" min="6" style="0" width="66"/>
  </cols>
  <sheetData>
    <row r="1" customFormat="false" ht="19.4" hidden="false" customHeight="false" outlineLevel="0" collapsed="false">
      <c r="B1" s="50" t="s">
        <v>143</v>
      </c>
    </row>
    <row r="2" customFormat="false" ht="15" hidden="false" customHeight="false" outlineLevel="0" collapsed="false">
      <c r="B2" s="20" t="s">
        <v>144</v>
      </c>
    </row>
    <row r="4" customFormat="false" ht="15" hidden="false" customHeight="false" outlineLevel="0" collapsed="false">
      <c r="B4" s="3" t="s">
        <v>145</v>
      </c>
      <c r="C4" s="4"/>
      <c r="D4" s="4"/>
      <c r="E4" s="4"/>
      <c r="F4" s="4"/>
      <c r="G4" s="4"/>
    </row>
    <row r="5" customFormat="false" ht="15" hidden="false" customHeight="false" outlineLevel="0" collapsed="false">
      <c r="B5" s="37" t="s">
        <v>3</v>
      </c>
      <c r="C5" s="51" t="s">
        <v>146</v>
      </c>
    </row>
    <row r="6" customFormat="false" ht="15" hidden="false" customHeight="false" outlineLevel="0" collapsed="false">
      <c r="B6" s="9" t="s">
        <v>4</v>
      </c>
      <c r="C6" s="52" t="n">
        <f aca="false">AVERAGE(④FY2026月次実績!I6:K6)</f>
        <v>32428397.3333333</v>
      </c>
      <c r="F6" s="53" t="s">
        <v>147</v>
      </c>
    </row>
    <row r="7" customFormat="false" ht="15" hidden="false" customHeight="false" outlineLevel="0" collapsed="false">
      <c r="B7" s="9" t="s">
        <v>30</v>
      </c>
      <c r="C7" s="52" t="n">
        <f aca="false">AVERAGE(④FY2026月次実績!I8:K8)</f>
        <v>16716827.3333333</v>
      </c>
    </row>
    <row r="8" customFormat="false" ht="15" hidden="false" customHeight="false" outlineLevel="0" collapsed="false">
      <c r="B8" s="9" t="s">
        <v>35</v>
      </c>
      <c r="C8" s="52" t="n">
        <f aca="false">AVERAGE(④FY2026月次実績!I34:K34)</f>
        <v>25013422</v>
      </c>
    </row>
    <row r="9" customFormat="false" ht="15" hidden="false" customHeight="false" outlineLevel="0" collapsed="false">
      <c r="B9" s="9" t="s">
        <v>148</v>
      </c>
      <c r="C9" s="54" t="n">
        <f aca="false">C7/C6</f>
        <v>0.515499645619243</v>
      </c>
    </row>
    <row r="11" customFormat="false" ht="15" hidden="false" customHeight="false" outlineLevel="0" collapsed="false">
      <c r="B11" s="3" t="s">
        <v>149</v>
      </c>
      <c r="C11" s="4"/>
      <c r="D11" s="4"/>
      <c r="E11" s="4"/>
      <c r="F11" s="4"/>
      <c r="G11" s="4"/>
    </row>
    <row r="12" customFormat="false" ht="15" hidden="false" customHeight="false" outlineLevel="0" collapsed="false">
      <c r="B12" s="37" t="s">
        <v>150</v>
      </c>
      <c r="C12" s="37" t="s">
        <v>151</v>
      </c>
      <c r="D12" s="37" t="s">
        <v>152</v>
      </c>
      <c r="E12" s="37" t="s">
        <v>153</v>
      </c>
    </row>
    <row r="13" customFormat="false" ht="15" hidden="false" customHeight="false" outlineLevel="0" collapsed="false">
      <c r="B13" s="9" t="s">
        <v>154</v>
      </c>
      <c r="C13" s="7" t="n">
        <v>80000000</v>
      </c>
      <c r="D13" s="9" t="s">
        <v>155</v>
      </c>
      <c r="E13" s="9" t="s">
        <v>156</v>
      </c>
    </row>
    <row r="14" customFormat="false" ht="15" hidden="false" customHeight="false" outlineLevel="0" collapsed="false">
      <c r="B14" s="9" t="s">
        <v>157</v>
      </c>
      <c r="C14" s="7" t="n">
        <v>2500000</v>
      </c>
      <c r="D14" s="55" t="s">
        <v>158</v>
      </c>
      <c r="E14" s="9" t="s">
        <v>156</v>
      </c>
    </row>
    <row r="15" customFormat="false" ht="15" hidden="false" customHeight="false" outlineLevel="0" collapsed="false">
      <c r="B15" s="9" t="s">
        <v>159</v>
      </c>
      <c r="C15" s="7" t="n">
        <v>0</v>
      </c>
      <c r="D15" s="9" t="s">
        <v>155</v>
      </c>
      <c r="E15" s="55" t="s">
        <v>160</v>
      </c>
    </row>
    <row r="16" customFormat="false" ht="15" hidden="false" customHeight="false" outlineLevel="0" collapsed="false">
      <c r="B16" s="55" t="s">
        <v>161</v>
      </c>
      <c r="C16" s="7" t="n">
        <v>0</v>
      </c>
      <c r="D16" s="9" t="s">
        <v>162</v>
      </c>
      <c r="E16" s="55" t="s">
        <v>160</v>
      </c>
    </row>
    <row r="17" customFormat="false" ht="15" hidden="false" customHeight="false" outlineLevel="0" collapsed="false">
      <c r="B17" s="9" t="s">
        <v>163</v>
      </c>
      <c r="C17" s="7" t="n">
        <v>10000000</v>
      </c>
      <c r="D17" s="9" t="s">
        <v>162</v>
      </c>
      <c r="E17" s="9" t="s">
        <v>164</v>
      </c>
    </row>
    <row r="18" customFormat="false" ht="15" hidden="false" customHeight="false" outlineLevel="0" collapsed="false">
      <c r="B18" s="9" t="s">
        <v>165</v>
      </c>
      <c r="C18" s="7" t="n">
        <v>10000000</v>
      </c>
      <c r="D18" s="9" t="s">
        <v>162</v>
      </c>
      <c r="E18" s="9" t="s">
        <v>164</v>
      </c>
    </row>
    <row r="19" customFormat="false" ht="15" hidden="false" customHeight="false" outlineLevel="0" collapsed="false">
      <c r="B19" s="6" t="s">
        <v>166</v>
      </c>
      <c r="C19" s="10" t="n">
        <f aca="false">SUM(C13:C18)</f>
        <v>102500000</v>
      </c>
      <c r="F19" s="18" t="s">
        <v>167</v>
      </c>
    </row>
    <row r="20" customFormat="false" ht="15" hidden="false" customHeight="false" outlineLevel="0" collapsed="false">
      <c r="B20" s="9" t="s">
        <v>168</v>
      </c>
      <c r="C20" s="19" t="n">
        <f aca="false">SUM(C13:C18)</f>
        <v>102500000</v>
      </c>
      <c r="F20" s="18" t="s">
        <v>169</v>
      </c>
    </row>
    <row r="21" customFormat="false" ht="15" hidden="false" customHeight="false" outlineLevel="0" collapsed="false">
      <c r="B21" s="9" t="s">
        <v>170</v>
      </c>
      <c r="C21" s="19" t="n">
        <v>0</v>
      </c>
      <c r="F21" s="18" t="s">
        <v>171</v>
      </c>
    </row>
    <row r="23" customFormat="false" ht="15" hidden="false" customHeight="false" outlineLevel="0" collapsed="false">
      <c r="B23" s="3" t="s">
        <v>172</v>
      </c>
      <c r="C23" s="4"/>
      <c r="D23" s="4"/>
      <c r="E23" s="4"/>
      <c r="F23" s="4"/>
      <c r="G23" s="4"/>
    </row>
    <row r="24" customFormat="false" ht="15" hidden="false" customHeight="false" outlineLevel="0" collapsed="false">
      <c r="B24" s="9" t="s">
        <v>173</v>
      </c>
      <c r="C24" s="7" t="n">
        <v>15000000</v>
      </c>
      <c r="F24" s="20" t="s">
        <v>174</v>
      </c>
    </row>
    <row r="25" customFormat="false" ht="15" hidden="false" customHeight="false" outlineLevel="0" collapsed="false">
      <c r="B25" s="55" t="s">
        <v>175</v>
      </c>
      <c r="C25" s="56" t="n">
        <v>6</v>
      </c>
      <c r="F25" s="2" t="s">
        <v>176</v>
      </c>
    </row>
    <row r="26" customFormat="false" ht="15" hidden="false" customHeight="false" outlineLevel="0" collapsed="false">
      <c r="B26" s="9" t="s">
        <v>177</v>
      </c>
      <c r="C26" s="56" t="n">
        <v>6</v>
      </c>
      <c r="F26" s="2" t="s">
        <v>176</v>
      </c>
    </row>
    <row r="27" customFormat="false" ht="15" hidden="false" customHeight="false" outlineLevel="0" collapsed="false">
      <c r="B27" s="9" t="s">
        <v>178</v>
      </c>
      <c r="C27" s="56" t="n">
        <v>12</v>
      </c>
      <c r="F27" s="2" t="s">
        <v>179</v>
      </c>
    </row>
    <row r="28" customFormat="false" ht="15" hidden="false" customHeight="false" outlineLevel="0" collapsed="false">
      <c r="B28" s="9" t="s">
        <v>180</v>
      </c>
      <c r="C28" s="7" t="n">
        <v>0</v>
      </c>
      <c r="F28" s="2" t="s">
        <v>181</v>
      </c>
    </row>
    <row r="29" customFormat="false" ht="15" hidden="false" customHeight="false" outlineLevel="0" collapsed="false">
      <c r="B29" s="9" t="s">
        <v>182</v>
      </c>
      <c r="C29" s="7" t="n">
        <v>1066000000</v>
      </c>
      <c r="F29" s="20" t="s">
        <v>183</v>
      </c>
    </row>
    <row r="30" customFormat="false" ht="15" hidden="false" customHeight="false" outlineLevel="0" collapsed="false">
      <c r="B30" s="9" t="s">
        <v>184</v>
      </c>
      <c r="C30" s="56" t="n">
        <v>2</v>
      </c>
      <c r="F30" s="20" t="s">
        <v>185</v>
      </c>
    </row>
    <row r="31" customFormat="false" ht="15" hidden="false" customHeight="false" outlineLevel="0" collapsed="false">
      <c r="B31" s="9" t="s">
        <v>186</v>
      </c>
      <c r="C31" s="56" t="n">
        <v>2</v>
      </c>
      <c r="F31" s="20" t="s">
        <v>187</v>
      </c>
    </row>
    <row r="32" customFormat="false" ht="15" hidden="false" customHeight="false" outlineLevel="0" collapsed="false">
      <c r="B32" s="55" t="s">
        <v>188</v>
      </c>
      <c r="C32" s="7" t="n">
        <v>419066414</v>
      </c>
      <c r="F32" s="20" t="s">
        <v>189</v>
      </c>
    </row>
    <row r="33" customFormat="false" ht="15" hidden="false" customHeight="false" outlineLevel="0" collapsed="false">
      <c r="B33" s="9" t="s">
        <v>190</v>
      </c>
      <c r="C33" s="52" t="n">
        <f aca="false">FY2026着地見込み!$E$26</f>
        <v>147157642</v>
      </c>
      <c r="F33" s="2" t="s">
        <v>191</v>
      </c>
    </row>
    <row r="34" customFormat="false" ht="15" hidden="false" customHeight="false" outlineLevel="0" collapsed="false">
      <c r="B34" s="9" t="s">
        <v>192</v>
      </c>
      <c r="C34" s="57" t="n">
        <v>0.34</v>
      </c>
      <c r="F34" s="20" t="s">
        <v>193</v>
      </c>
    </row>
    <row r="35" customFormat="false" ht="15" hidden="false" customHeight="false" outlineLevel="0" collapsed="false">
      <c r="B35" s="3" t="s">
        <v>194</v>
      </c>
      <c r="C35" s="4"/>
      <c r="D35" s="4"/>
      <c r="E35" s="4"/>
      <c r="F35" s="4"/>
      <c r="G35" s="4"/>
    </row>
    <row r="36" customFormat="false" ht="15" hidden="false" customHeight="false" outlineLevel="0" collapsed="false">
      <c r="B36" s="9" t="s">
        <v>195</v>
      </c>
      <c r="C36" s="57" t="n">
        <v>0.1</v>
      </c>
      <c r="F36" s="2"/>
    </row>
    <row r="37" customFormat="false" ht="15" hidden="false" customHeight="false" outlineLevel="0" collapsed="false">
      <c r="B37" s="55" t="s">
        <v>196</v>
      </c>
      <c r="C37" s="10" t="n">
        <f aca="false">FY2026着地見込み!$E$16</f>
        <v>1338205820</v>
      </c>
      <c r="F37" s="2" t="s">
        <v>197</v>
      </c>
    </row>
    <row r="38" customFormat="false" ht="15" hidden="false" customHeight="false" outlineLevel="0" collapsed="false">
      <c r="B38" s="9" t="s">
        <v>198</v>
      </c>
      <c r="C38" s="7" t="n">
        <v>525000000</v>
      </c>
      <c r="F38" s="20" t="s">
        <v>199</v>
      </c>
    </row>
    <row r="39" customFormat="false" ht="15" hidden="false" customHeight="false" outlineLevel="0" collapsed="false">
      <c r="B39" s="55" t="s">
        <v>200</v>
      </c>
      <c r="C39" s="10" t="n">
        <f aca="false">C32+C38</f>
        <v>944066414</v>
      </c>
      <c r="F39" s="20" t="s">
        <v>201</v>
      </c>
    </row>
    <row r="40" customFormat="false" ht="15" hidden="false" customHeight="false" outlineLevel="0" collapsed="false">
      <c r="B40" s="55" t="s">
        <v>202</v>
      </c>
      <c r="C40" s="7" t="n">
        <v>208594315</v>
      </c>
      <c r="F40" s="20" t="s">
        <v>203</v>
      </c>
    </row>
    <row r="41" customFormat="false" ht="15" hidden="false" customHeight="false" outlineLevel="0" collapsed="false">
      <c r="B41" s="9" t="s">
        <v>204</v>
      </c>
      <c r="C41" s="10" t="n">
        <f aca="false">C37*C36</f>
        <v>133820582</v>
      </c>
      <c r="F41" s="2"/>
    </row>
    <row r="42" customFormat="false" ht="15" hidden="false" customHeight="false" outlineLevel="0" collapsed="false">
      <c r="B42" s="9" t="s">
        <v>205</v>
      </c>
      <c r="C42" s="10" t="n">
        <f aca="false">(C39+C40)*C36</f>
        <v>115266072.9</v>
      </c>
      <c r="F42" s="2"/>
    </row>
    <row r="43" customFormat="false" ht="15" hidden="false" customHeight="false" outlineLevel="0" collapsed="false">
      <c r="B43" s="55" t="s">
        <v>206</v>
      </c>
      <c r="C43" s="23" t="n">
        <f aca="false">C41-C42</f>
        <v>18554509.1</v>
      </c>
      <c r="F43" s="20" t="s">
        <v>207</v>
      </c>
    </row>
    <row r="44" customFormat="false" ht="15" hidden="false" customHeight="false" outlineLevel="0" collapsed="false">
      <c r="B44" s="9" t="s">
        <v>208</v>
      </c>
      <c r="C44" s="7" t="n">
        <v>4500000</v>
      </c>
      <c r="F44" s="2" t="s">
        <v>209</v>
      </c>
    </row>
    <row r="45" customFormat="false" ht="15" hidden="false" customHeight="false" outlineLevel="0" collapsed="false">
      <c r="B45" s="55" t="s">
        <v>210</v>
      </c>
      <c r="C45" s="10" t="n">
        <f aca="false">C43-C44</f>
        <v>14054509.1</v>
      </c>
      <c r="F45" s="2" t="s">
        <v>211</v>
      </c>
    </row>
    <row r="46" customFormat="false" ht="15" hidden="false" customHeight="false" outlineLevel="0" collapsed="false">
      <c r="B46" s="55" t="s">
        <v>212</v>
      </c>
      <c r="C46" s="10" t="n">
        <f aca="false">C43/4</f>
        <v>4638627.275</v>
      </c>
      <c r="F46" s="20" t="s">
        <v>213</v>
      </c>
    </row>
    <row r="47" customFormat="false" ht="15" hidden="false" customHeight="false" outlineLevel="0" collapsed="false">
      <c r="F47" s="18" t="s">
        <v>214</v>
      </c>
    </row>
    <row r="49" customFormat="false" ht="15" hidden="false" customHeight="false" outlineLevel="0" collapsed="false">
      <c r="B49" s="3" t="s">
        <v>215</v>
      </c>
      <c r="C49" s="4"/>
      <c r="D49" s="4"/>
      <c r="E49" s="4"/>
      <c r="F49" s="4"/>
      <c r="G49" s="4"/>
    </row>
    <row r="50" customFormat="false" ht="15" hidden="false" customHeight="false" outlineLevel="0" collapsed="false">
      <c r="B50" s="9" t="s">
        <v>216</v>
      </c>
      <c r="C50" s="7" t="n">
        <v>730535360</v>
      </c>
      <c r="F50" s="2" t="s">
        <v>217</v>
      </c>
    </row>
    <row r="51" customFormat="false" ht="15" hidden="false" customHeight="false" outlineLevel="0" collapsed="false">
      <c r="B51" s="9" t="s">
        <v>218</v>
      </c>
      <c r="C51" s="10" t="n">
        <f aca="false">C20</f>
        <v>102500000</v>
      </c>
    </row>
    <row r="52" customFormat="false" ht="15" hidden="false" customHeight="false" outlineLevel="0" collapsed="false">
      <c r="B52" s="9" t="s">
        <v>219</v>
      </c>
      <c r="C52" s="57" t="n">
        <v>0.3</v>
      </c>
      <c r="F52" s="20" t="s">
        <v>220</v>
      </c>
    </row>
    <row r="53" customFormat="false" ht="15" hidden="false" customHeight="false" outlineLevel="0" collapsed="false">
      <c r="B53" s="9" t="s">
        <v>221</v>
      </c>
      <c r="C53" s="7" t="n">
        <v>300000000</v>
      </c>
      <c r="F53" s="2" t="s">
        <v>222</v>
      </c>
    </row>
    <row r="55" customFormat="false" ht="15" hidden="false" customHeight="false" outlineLevel="0" collapsed="false">
      <c r="B55" s="49" t="s">
        <v>223</v>
      </c>
      <c r="C55" s="58"/>
      <c r="D55" s="58"/>
      <c r="E55" s="58"/>
      <c r="F55" s="58"/>
    </row>
    <row r="56" customFormat="false" ht="15" hidden="false" customHeight="false" outlineLevel="0" collapsed="false">
      <c r="B56" s="9" t="s">
        <v>224</v>
      </c>
      <c r="C56" s="10" t="n">
        <f aca="false">C50</f>
        <v>730535360</v>
      </c>
    </row>
    <row r="57" customFormat="false" ht="15" hidden="false" customHeight="false" outlineLevel="0" collapsed="false">
      <c r="B57" s="9" t="s">
        <v>225</v>
      </c>
      <c r="C57" s="10" t="n">
        <f aca="false">C56-C6*12</f>
        <v>341394592</v>
      </c>
    </row>
    <row r="58" customFormat="false" ht="15" hidden="false" customHeight="false" outlineLevel="0" collapsed="false">
      <c r="B58" s="9" t="s">
        <v>226</v>
      </c>
      <c r="C58" s="10" t="n">
        <f aca="false">C57*C52</f>
        <v>102418377.6</v>
      </c>
    </row>
    <row r="59" customFormat="false" ht="15" hidden="false" customHeight="false" outlineLevel="0" collapsed="false">
      <c r="B59" s="9" t="s">
        <v>227</v>
      </c>
      <c r="C59" s="23" t="n">
        <f aca="false">C7*12+C58+C51</f>
        <v>405520305.6</v>
      </c>
    </row>
    <row r="60" customFormat="false" ht="15" hidden="false" customHeight="false" outlineLevel="0" collapsed="false">
      <c r="B60" s="9" t="s">
        <v>228</v>
      </c>
      <c r="C60" s="10" t="n">
        <f aca="false">C56+C51</f>
        <v>833035360</v>
      </c>
    </row>
    <row r="61" customFormat="false" ht="15" hidden="false" customHeight="false" outlineLevel="0" collapsed="false">
      <c r="B61" s="9" t="s">
        <v>229</v>
      </c>
      <c r="C61" s="59" t="n">
        <f aca="false">C59/C60</f>
        <v>0.486798430261112</v>
      </c>
    </row>
    <row r="62" customFormat="false" ht="15" hidden="false" customHeight="false" outlineLevel="0" collapsed="false">
      <c r="B62" s="49" t="s">
        <v>230</v>
      </c>
      <c r="C62" s="58"/>
      <c r="D62" s="58"/>
      <c r="E62" s="58"/>
      <c r="F62" s="58"/>
    </row>
    <row r="63" customFormat="false" ht="15" hidden="false" customHeight="false" outlineLevel="0" collapsed="false">
      <c r="B63" s="9" t="s">
        <v>224</v>
      </c>
      <c r="C63" s="10" t="n">
        <f aca="false">C50+C53</f>
        <v>1030535360</v>
      </c>
    </row>
    <row r="64" customFormat="false" ht="15" hidden="false" customHeight="false" outlineLevel="0" collapsed="false">
      <c r="B64" s="9" t="s">
        <v>225</v>
      </c>
      <c r="C64" s="10" t="n">
        <f aca="false">C63-C6*12</f>
        <v>641394592</v>
      </c>
    </row>
    <row r="65" customFormat="false" ht="15" hidden="false" customHeight="false" outlineLevel="0" collapsed="false">
      <c r="B65" s="9" t="s">
        <v>226</v>
      </c>
      <c r="C65" s="10" t="n">
        <f aca="false">C64*C52</f>
        <v>192418377.6</v>
      </c>
    </row>
    <row r="66" customFormat="false" ht="15" hidden="false" customHeight="false" outlineLevel="0" collapsed="false">
      <c r="B66" s="9" t="s">
        <v>227</v>
      </c>
      <c r="C66" s="23" t="n">
        <f aca="false">C7*12+C65+C51</f>
        <v>495520305.6</v>
      </c>
    </row>
    <row r="67" customFormat="false" ht="15" hidden="false" customHeight="false" outlineLevel="0" collapsed="false">
      <c r="B67" s="9" t="s">
        <v>228</v>
      </c>
      <c r="C67" s="10" t="n">
        <f aca="false">C63+C51</f>
        <v>1133035360</v>
      </c>
    </row>
    <row r="68" customFormat="false" ht="15" hidden="false" customHeight="false" outlineLevel="0" collapsed="false">
      <c r="B68" s="9" t="s">
        <v>229</v>
      </c>
      <c r="C68" s="59" t="n">
        <f aca="false">C66/C67</f>
        <v>0.437338783142655</v>
      </c>
    </row>
    <row r="70" customFormat="false" ht="15" hidden="false" customHeight="false" outlineLevel="0" collapsed="false">
      <c r="F70" s="53" t="s">
        <v>231</v>
      </c>
    </row>
    <row r="71" customFormat="false" ht="15" hidden="false" customHeight="false" outlineLevel="0" collapsed="false">
      <c r="F71" s="53" t="s">
        <v>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P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5"/>
    <col collapsed="false" customWidth="true" hidden="false" outlineLevel="0" max="15" min="4" style="0" width="13"/>
    <col collapsed="false" customWidth="true" hidden="false" outlineLevel="0" max="16" min="16" style="0" width="16"/>
  </cols>
  <sheetData>
    <row r="1" customFormat="false" ht="17.15" hidden="false" customHeight="false" outlineLevel="0" collapsed="false">
      <c r="B1" s="44" t="s">
        <v>233</v>
      </c>
    </row>
    <row r="2" customFormat="false" ht="15" hidden="false" customHeight="false" outlineLevel="0" collapsed="false">
      <c r="B2" s="2" t="s">
        <v>234</v>
      </c>
    </row>
    <row r="4" customFormat="false" ht="30" hidden="false" customHeight="true" outlineLevel="0" collapsed="false">
      <c r="B4" s="37" t="s">
        <v>22</v>
      </c>
      <c r="C4" s="38" t="s">
        <v>235</v>
      </c>
      <c r="D4" s="45" t="s">
        <v>236</v>
      </c>
      <c r="E4" s="45" t="s">
        <v>237</v>
      </c>
      <c r="F4" s="45" t="s">
        <v>238</v>
      </c>
      <c r="G4" s="45" t="s">
        <v>239</v>
      </c>
      <c r="H4" s="45" t="s">
        <v>240</v>
      </c>
      <c r="I4" s="45" t="s">
        <v>241</v>
      </c>
      <c r="J4" s="45" t="s">
        <v>242</v>
      </c>
      <c r="K4" s="45" t="s">
        <v>243</v>
      </c>
      <c r="L4" s="45" t="s">
        <v>244</v>
      </c>
      <c r="M4" s="45" t="s">
        <v>245</v>
      </c>
      <c r="N4" s="45" t="s">
        <v>246</v>
      </c>
      <c r="O4" s="45" t="s">
        <v>247</v>
      </c>
      <c r="P4" s="51" t="s">
        <v>248</v>
      </c>
    </row>
    <row r="5" customFormat="false" ht="15" hidden="false" customHeight="false" outlineLevel="0" collapsed="false">
      <c r="B5" s="49" t="s">
        <v>249</v>
      </c>
      <c r="C5" s="58"/>
      <c r="D5" s="58"/>
      <c r="E5" s="58"/>
      <c r="F5" s="58"/>
      <c r="G5" s="58"/>
      <c r="H5" s="58"/>
      <c r="I5" s="58"/>
      <c r="J5" s="58"/>
      <c r="K5" s="58"/>
      <c r="L5" s="58"/>
      <c r="M5" s="58"/>
      <c r="N5" s="58"/>
      <c r="O5" s="58"/>
      <c r="P5" s="58"/>
    </row>
    <row r="6" customFormat="false" ht="15" hidden="false" customHeight="false" outlineLevel="0" collapsed="false">
      <c r="B6" s="9" t="s">
        <v>68</v>
      </c>
      <c r="C6" s="60" t="n">
        <f aca="false">②前提!$C$6</f>
        <v>32428397.3333333</v>
      </c>
      <c r="D6" s="19" t="n">
        <f aca="false">$C$6</f>
        <v>32428397.3333333</v>
      </c>
      <c r="E6" s="19" t="n">
        <f aca="false">$C$6</f>
        <v>32428397.3333333</v>
      </c>
      <c r="F6" s="19" t="n">
        <f aca="false">$C$6</f>
        <v>32428397.3333333</v>
      </c>
      <c r="G6" s="19" t="n">
        <f aca="false">$C$6</f>
        <v>32428397.3333333</v>
      </c>
      <c r="H6" s="19" t="n">
        <f aca="false">$C$6</f>
        <v>32428397.3333333</v>
      </c>
      <c r="I6" s="19" t="n">
        <f aca="false">$C$6</f>
        <v>32428397.3333333</v>
      </c>
      <c r="J6" s="19" t="n">
        <f aca="false">$C$6</f>
        <v>32428397.3333333</v>
      </c>
      <c r="K6" s="19" t="n">
        <f aca="false">$C$6</f>
        <v>32428397.3333333</v>
      </c>
      <c r="L6" s="19" t="n">
        <f aca="false">$C$6</f>
        <v>32428397.3333333</v>
      </c>
      <c r="M6" s="19" t="n">
        <f aca="false">$C$6</f>
        <v>32428397.3333333</v>
      </c>
      <c r="N6" s="19" t="n">
        <f aca="false">$C$6</f>
        <v>32428397.3333333</v>
      </c>
      <c r="O6" s="19" t="n">
        <f aca="false">$C$6</f>
        <v>32428397.3333333</v>
      </c>
      <c r="P6" s="10" t="n">
        <f aca="false">SUM(D6:O6)</f>
        <v>389140768</v>
      </c>
    </row>
    <row r="7" customFormat="false" ht="15" hidden="false" customHeight="false" outlineLevel="0" collapsed="false">
      <c r="B7" s="9" t="s">
        <v>250</v>
      </c>
      <c r="C7" s="60" t="n">
        <f aca="false">IF(②前提!$C$30=3,②前提!$C$64/12,IF(②前提!$C$30=2,②前提!$C$57/12,0))</f>
        <v>28449549.3333333</v>
      </c>
      <c r="D7" s="60" t="n">
        <f aca="false">IF(②前提!$C$30=3,②前提!$C$64/12,IF(②前提!$C$30=2,②前提!$C$57/12,0))</f>
        <v>28449549.3333333</v>
      </c>
      <c r="E7" s="60" t="n">
        <f aca="false">IF(②前提!$C$30=3,②前提!$C$64/12,IF(②前提!$C$30=2,②前提!$C$57/12,0))</f>
        <v>28449549.3333333</v>
      </c>
      <c r="F7" s="60" t="n">
        <f aca="false">IF(②前提!$C$30=3,②前提!$C$64/12,IF(②前提!$C$30=2,②前提!$C$57/12,0))</f>
        <v>28449549.3333333</v>
      </c>
      <c r="G7" s="60" t="n">
        <f aca="false">IF(②前提!$C$30=3,②前提!$C$64/12,IF(②前提!$C$30=2,②前提!$C$57/12,0))</f>
        <v>28449549.3333333</v>
      </c>
      <c r="H7" s="60" t="n">
        <f aca="false">IF(②前提!$C$30=3,②前提!$C$64/12,IF(②前提!$C$30=2,②前提!$C$57/12,0))</f>
        <v>28449549.3333333</v>
      </c>
      <c r="I7" s="60" t="n">
        <f aca="false">IF(②前提!$C$30=3,②前提!$C$64/12,IF(②前提!$C$30=2,②前提!$C$57/12,0))</f>
        <v>28449549.3333333</v>
      </c>
      <c r="J7" s="60" t="n">
        <f aca="false">IF(②前提!$C$30=3,②前提!$C$64/12,IF(②前提!$C$30=2,②前提!$C$57/12,0))</f>
        <v>28449549.3333333</v>
      </c>
      <c r="K7" s="60" t="n">
        <f aca="false">IF(②前提!$C$30=3,②前提!$C$64/12,IF(②前提!$C$30=2,②前提!$C$57/12,0))</f>
        <v>28449549.3333333</v>
      </c>
      <c r="L7" s="60" t="n">
        <f aca="false">IF(②前提!$C$30=3,②前提!$C$64/12,IF(②前提!$C$30=2,②前提!$C$57/12,0))</f>
        <v>28449549.3333333</v>
      </c>
      <c r="M7" s="60" t="n">
        <f aca="false">IF(②前提!$C$30=3,②前提!$C$64/12,IF(②前提!$C$30=2,②前提!$C$57/12,0))</f>
        <v>28449549.3333333</v>
      </c>
      <c r="N7" s="60" t="n">
        <f aca="false">IF(②前提!$C$30=3,②前提!$C$64/12,IF(②前提!$C$30=2,②前提!$C$57/12,0))</f>
        <v>28449549.3333333</v>
      </c>
      <c r="O7" s="60" t="n">
        <f aca="false">IF(②前提!$C$30=3,②前提!$C$64/12,IF(②前提!$C$30=2,②前提!$C$57/12,0))</f>
        <v>28449549.3333333</v>
      </c>
      <c r="P7" s="10" t="n">
        <f aca="false">SUM(D7:O7)</f>
        <v>341394592</v>
      </c>
    </row>
    <row r="8" customFormat="false" ht="15" hidden="false" customHeight="false" outlineLevel="0" collapsed="false">
      <c r="B8" s="22" t="s">
        <v>251</v>
      </c>
      <c r="C8" s="10" t="n">
        <f aca="false">C6+C7</f>
        <v>60877946.6666667</v>
      </c>
      <c r="D8" s="10" t="n">
        <f aca="false">D6+D7</f>
        <v>60877946.6666667</v>
      </c>
      <c r="E8" s="10" t="n">
        <f aca="false">E6+E7</f>
        <v>60877946.6666667</v>
      </c>
      <c r="F8" s="10" t="n">
        <f aca="false">F6+F7</f>
        <v>60877946.6666667</v>
      </c>
      <c r="G8" s="10" t="n">
        <f aca="false">G6+G7</f>
        <v>60877946.6666667</v>
      </c>
      <c r="H8" s="10" t="n">
        <f aca="false">H6+H7</f>
        <v>60877946.6666667</v>
      </c>
      <c r="I8" s="10" t="n">
        <f aca="false">I6+I7</f>
        <v>60877946.6666667</v>
      </c>
      <c r="J8" s="10" t="n">
        <f aca="false">J6+J7</f>
        <v>60877946.6666667</v>
      </c>
      <c r="K8" s="10" t="n">
        <f aca="false">K6+K7</f>
        <v>60877946.6666667</v>
      </c>
      <c r="L8" s="10" t="n">
        <f aca="false">L6+L7</f>
        <v>60877946.6666667</v>
      </c>
      <c r="M8" s="10" t="n">
        <f aca="false">M6+M7</f>
        <v>60877946.6666667</v>
      </c>
      <c r="N8" s="10" t="n">
        <f aca="false">N6+N7</f>
        <v>60877946.6666667</v>
      </c>
      <c r="O8" s="10" t="n">
        <f aca="false">O6+O7</f>
        <v>60877946.6666667</v>
      </c>
      <c r="P8" s="10" t="n">
        <f aca="false">SUM(D8:O8)</f>
        <v>730535360</v>
      </c>
    </row>
    <row r="9" customFormat="false" ht="15" hidden="false" customHeight="false" outlineLevel="0" collapsed="false">
      <c r="B9" s="9" t="s">
        <v>252</v>
      </c>
      <c r="C9" s="60" t="n">
        <f aca="false">C8-C10-C11</f>
        <v>35626254.5333333</v>
      </c>
      <c r="D9" s="19" t="n">
        <f aca="false">D8-D10-D11</f>
        <v>35626254.5333333</v>
      </c>
      <c r="E9" s="19" t="n">
        <f aca="false">E8-E10-E11</f>
        <v>35626254.5333333</v>
      </c>
      <c r="F9" s="19" t="n">
        <f aca="false">F8-F10-F11</f>
        <v>35626254.5333333</v>
      </c>
      <c r="G9" s="19" t="n">
        <f aca="false">G8-G10-G11</f>
        <v>35626254.5333333</v>
      </c>
      <c r="H9" s="19" t="n">
        <f aca="false">H8-H10-H11</f>
        <v>35626254.5333333</v>
      </c>
      <c r="I9" s="19" t="n">
        <f aca="false">I8-I10-I11</f>
        <v>35626254.5333333</v>
      </c>
      <c r="J9" s="19" t="n">
        <f aca="false">J8-J10-J11</f>
        <v>35626254.5333333</v>
      </c>
      <c r="K9" s="19" t="n">
        <f aca="false">K8-K10-K11</f>
        <v>35626254.5333333</v>
      </c>
      <c r="L9" s="19" t="n">
        <f aca="false">L8-L10-L11</f>
        <v>35626254.5333333</v>
      </c>
      <c r="M9" s="19" t="n">
        <f aca="false">M8-M10-M11</f>
        <v>35626254.5333333</v>
      </c>
      <c r="N9" s="19" t="n">
        <f aca="false">N8-N10-N11</f>
        <v>35626254.5333333</v>
      </c>
      <c r="O9" s="19" t="n">
        <f aca="false">O8-O10-O11</f>
        <v>35626254.5333333</v>
      </c>
      <c r="P9" s="10" t="n">
        <f aca="false">SUM(D9:O9)</f>
        <v>427515054.4</v>
      </c>
    </row>
    <row r="10" customFormat="false" ht="15" hidden="false" customHeight="false" outlineLevel="0" collapsed="false">
      <c r="B10" s="9" t="s">
        <v>253</v>
      </c>
      <c r="C10" s="60" t="n">
        <f aca="false">②前提!$C$7</f>
        <v>16716827.3333333</v>
      </c>
      <c r="D10" s="19" t="n">
        <f aca="false">$C$10</f>
        <v>16716827.3333333</v>
      </c>
      <c r="E10" s="19" t="n">
        <f aca="false">$C$10</f>
        <v>16716827.3333333</v>
      </c>
      <c r="F10" s="19" t="n">
        <f aca="false">$C$10</f>
        <v>16716827.3333333</v>
      </c>
      <c r="G10" s="19" t="n">
        <f aca="false">$C$10</f>
        <v>16716827.3333333</v>
      </c>
      <c r="H10" s="19" t="n">
        <f aca="false">$C$10</f>
        <v>16716827.3333333</v>
      </c>
      <c r="I10" s="19" t="n">
        <f aca="false">$C$10</f>
        <v>16716827.3333333</v>
      </c>
      <c r="J10" s="19" t="n">
        <f aca="false">$C$10</f>
        <v>16716827.3333333</v>
      </c>
      <c r="K10" s="19" t="n">
        <f aca="false">$C$10</f>
        <v>16716827.3333333</v>
      </c>
      <c r="L10" s="19" t="n">
        <f aca="false">$C$10</f>
        <v>16716827.3333333</v>
      </c>
      <c r="M10" s="19" t="n">
        <f aca="false">$C$10</f>
        <v>16716827.3333333</v>
      </c>
      <c r="N10" s="19" t="n">
        <f aca="false">$C$10</f>
        <v>16716827.3333333</v>
      </c>
      <c r="O10" s="19" t="n">
        <f aca="false">$C$10</f>
        <v>16716827.3333333</v>
      </c>
      <c r="P10" s="10" t="n">
        <f aca="false">SUM(D10:O10)</f>
        <v>200601928</v>
      </c>
    </row>
    <row r="11" customFormat="false" ht="15" hidden="false" customHeight="false" outlineLevel="0" collapsed="false">
      <c r="B11" s="9" t="s">
        <v>254</v>
      </c>
      <c r="C11" s="60" t="n">
        <f aca="false">C7*②前提!$C$52</f>
        <v>8534864.8</v>
      </c>
      <c r="D11" s="60" t="n">
        <f aca="false">D7*②前提!$C$52</f>
        <v>8534864.8</v>
      </c>
      <c r="E11" s="60" t="n">
        <f aca="false">E7*②前提!$C$52</f>
        <v>8534864.8</v>
      </c>
      <c r="F11" s="60" t="n">
        <f aca="false">F7*②前提!$C$52</f>
        <v>8534864.8</v>
      </c>
      <c r="G11" s="60" t="n">
        <f aca="false">G7*②前提!$C$52</f>
        <v>8534864.8</v>
      </c>
      <c r="H11" s="60" t="n">
        <f aca="false">H7*②前提!$C$52</f>
        <v>8534864.8</v>
      </c>
      <c r="I11" s="60" t="n">
        <f aca="false">I7*②前提!$C$52</f>
        <v>8534864.8</v>
      </c>
      <c r="J11" s="60" t="n">
        <f aca="false">J7*②前提!$C$52</f>
        <v>8534864.8</v>
      </c>
      <c r="K11" s="60" t="n">
        <f aca="false">K7*②前提!$C$52</f>
        <v>8534864.8</v>
      </c>
      <c r="L11" s="60" t="n">
        <f aca="false">L7*②前提!$C$52</f>
        <v>8534864.8</v>
      </c>
      <c r="M11" s="60" t="n">
        <f aca="false">M7*②前提!$C$52</f>
        <v>8534864.8</v>
      </c>
      <c r="N11" s="60" t="n">
        <f aca="false">N7*②前提!$C$52</f>
        <v>8534864.8</v>
      </c>
      <c r="O11" s="60" t="n">
        <f aca="false">O7*②前提!$C$52</f>
        <v>8534864.8</v>
      </c>
      <c r="P11" s="10" t="n">
        <f aca="false">SUM(D11:O11)</f>
        <v>102418377.6</v>
      </c>
    </row>
    <row r="12" customFormat="false" ht="15" hidden="false" customHeight="false" outlineLevel="0" collapsed="false">
      <c r="B12" s="9" t="s">
        <v>255</v>
      </c>
      <c r="C12" s="60" t="n">
        <f aca="false">②前提!$C$13/12</f>
        <v>6666666.66666667</v>
      </c>
      <c r="D12" s="19" t="n">
        <f aca="false">$C$12</f>
        <v>6666666.66666667</v>
      </c>
      <c r="E12" s="19" t="n">
        <f aca="false">$C$12</f>
        <v>6666666.66666667</v>
      </c>
      <c r="F12" s="19" t="n">
        <f aca="false">$C$12</f>
        <v>6666666.66666667</v>
      </c>
      <c r="G12" s="19" t="n">
        <f aca="false">$C$12</f>
        <v>6666666.66666667</v>
      </c>
      <c r="H12" s="19" t="n">
        <f aca="false">$C$12</f>
        <v>6666666.66666667</v>
      </c>
      <c r="I12" s="19" t="n">
        <f aca="false">$C$12</f>
        <v>6666666.66666667</v>
      </c>
      <c r="J12" s="19" t="n">
        <f aca="false">$C$12</f>
        <v>6666666.66666667</v>
      </c>
      <c r="K12" s="19" t="n">
        <f aca="false">$C$12</f>
        <v>6666666.66666667</v>
      </c>
      <c r="L12" s="19" t="n">
        <f aca="false">$C$12</f>
        <v>6666666.66666667</v>
      </c>
      <c r="M12" s="19" t="n">
        <f aca="false">$C$12</f>
        <v>6666666.66666667</v>
      </c>
      <c r="N12" s="19" t="n">
        <f aca="false">$C$12</f>
        <v>6666666.66666667</v>
      </c>
      <c r="O12" s="19" t="n">
        <f aca="false">$C$12</f>
        <v>6666666.66666667</v>
      </c>
      <c r="P12" s="10" t="n">
        <f aca="false">SUM(D12:O12)</f>
        <v>80000000</v>
      </c>
    </row>
    <row r="13" customFormat="false" ht="15" hidden="false" customHeight="false" outlineLevel="0" collapsed="false">
      <c r="B13" s="9" t="s">
        <v>256</v>
      </c>
      <c r="C13" s="60" t="n">
        <f aca="false">②前提!$C$14/12</f>
        <v>208333.333333333</v>
      </c>
      <c r="D13" s="19" t="n">
        <f aca="false">$C$13</f>
        <v>208333.333333333</v>
      </c>
      <c r="E13" s="19" t="n">
        <f aca="false">$C$13</f>
        <v>208333.333333333</v>
      </c>
      <c r="F13" s="19" t="n">
        <f aca="false">$C$13</f>
        <v>208333.333333333</v>
      </c>
      <c r="G13" s="19" t="n">
        <f aca="false">$C$13</f>
        <v>208333.333333333</v>
      </c>
      <c r="H13" s="19" t="n">
        <f aca="false">$C$13</f>
        <v>208333.333333333</v>
      </c>
      <c r="I13" s="19" t="n">
        <f aca="false">$C$13</f>
        <v>208333.333333333</v>
      </c>
      <c r="J13" s="19" t="n">
        <f aca="false">$C$13</f>
        <v>208333.333333333</v>
      </c>
      <c r="K13" s="19" t="n">
        <f aca="false">$C$13</f>
        <v>208333.333333333</v>
      </c>
      <c r="L13" s="19" t="n">
        <f aca="false">$C$13</f>
        <v>208333.333333333</v>
      </c>
      <c r="M13" s="19" t="n">
        <f aca="false">$C$13</f>
        <v>208333.333333333</v>
      </c>
      <c r="N13" s="19" t="n">
        <f aca="false">$C$13</f>
        <v>208333.333333333</v>
      </c>
      <c r="O13" s="19" t="n">
        <f aca="false">$C$13</f>
        <v>208333.333333333</v>
      </c>
      <c r="P13" s="10" t="n">
        <f aca="false">SUM(D13:O13)</f>
        <v>2500000</v>
      </c>
    </row>
    <row r="14" customFormat="false" ht="15" hidden="false" customHeight="false" outlineLevel="0" collapsed="false">
      <c r="B14" s="9" t="s">
        <v>257</v>
      </c>
      <c r="C14" s="60" t="n">
        <f aca="false">②前提!$C$15/12</f>
        <v>0</v>
      </c>
      <c r="D14" s="19" t="n">
        <f aca="false">$C$14</f>
        <v>0</v>
      </c>
      <c r="E14" s="19" t="n">
        <f aca="false">$C$14</f>
        <v>0</v>
      </c>
      <c r="F14" s="19" t="n">
        <f aca="false">$C$14</f>
        <v>0</v>
      </c>
      <c r="G14" s="19" t="n">
        <f aca="false">$C$14</f>
        <v>0</v>
      </c>
      <c r="H14" s="19" t="n">
        <f aca="false">$C$14</f>
        <v>0</v>
      </c>
      <c r="I14" s="19" t="n">
        <f aca="false">$C$14</f>
        <v>0</v>
      </c>
      <c r="J14" s="19" t="n">
        <f aca="false">$C$14</f>
        <v>0</v>
      </c>
      <c r="K14" s="19" t="n">
        <f aca="false">$C$14</f>
        <v>0</v>
      </c>
      <c r="L14" s="19" t="n">
        <f aca="false">$C$14</f>
        <v>0</v>
      </c>
      <c r="M14" s="19" t="n">
        <f aca="false">$C$14</f>
        <v>0</v>
      </c>
      <c r="N14" s="19" t="n">
        <f aca="false">$C$14</f>
        <v>0</v>
      </c>
      <c r="O14" s="19" t="n">
        <f aca="false">$C$14</f>
        <v>0</v>
      </c>
      <c r="P14" s="10" t="n">
        <f aca="false">SUM(D14:O14)</f>
        <v>0</v>
      </c>
    </row>
    <row r="15" customFormat="false" ht="15" hidden="false" customHeight="false" outlineLevel="0" collapsed="false">
      <c r="B15" s="9" t="s">
        <v>258</v>
      </c>
      <c r="D15" s="19" t="n">
        <f aca="false">IF(1=②前提!$C$25,②前提!$C$16,0)</f>
        <v>0</v>
      </c>
      <c r="E15" s="19" t="n">
        <f aca="false">IF(2=②前提!$C$25,②前提!$C$16,0)</f>
        <v>0</v>
      </c>
      <c r="F15" s="19" t="n">
        <f aca="false">IF(3=②前提!$C$25,②前提!$C$16,0)</f>
        <v>0</v>
      </c>
      <c r="G15" s="19" t="n">
        <f aca="false">IF(4=②前提!$C$25,②前提!$C$16,0)</f>
        <v>0</v>
      </c>
      <c r="H15" s="19" t="n">
        <f aca="false">IF(5=②前提!$C$25,②前提!$C$16,0)</f>
        <v>0</v>
      </c>
      <c r="I15" s="19" t="n">
        <f aca="false">IF(6=②前提!$C$25,②前提!$C$16,0)</f>
        <v>0</v>
      </c>
      <c r="J15" s="19" t="n">
        <f aca="false">IF(7=②前提!$C$25,②前提!$C$16,0)</f>
        <v>0</v>
      </c>
      <c r="K15" s="19" t="n">
        <f aca="false">IF(8=②前提!$C$25,②前提!$C$16,0)</f>
        <v>0</v>
      </c>
      <c r="L15" s="19" t="n">
        <f aca="false">IF(9=②前提!$C$25,②前提!$C$16,0)</f>
        <v>0</v>
      </c>
      <c r="M15" s="19" t="n">
        <f aca="false">IF(10=②前提!$C$25,②前提!$C$16,0)</f>
        <v>0</v>
      </c>
      <c r="N15" s="19" t="n">
        <f aca="false">IF(11=②前提!$C$25,②前提!$C$16,0)</f>
        <v>0</v>
      </c>
      <c r="O15" s="19" t="n">
        <f aca="false">IF(12=②前提!$C$25,②前提!$C$16,0)</f>
        <v>0</v>
      </c>
      <c r="P15" s="10" t="n">
        <f aca="false">SUM(D15:O15)</f>
        <v>0</v>
      </c>
    </row>
    <row r="16" customFormat="false" ht="15" hidden="false" customHeight="false" outlineLevel="0" collapsed="false">
      <c r="B16" s="9" t="s">
        <v>259</v>
      </c>
      <c r="D16" s="19" t="n">
        <f aca="false">IF(1=②前提!$C$26,②前提!$C$17,0)+IF(1=②前提!$C$27,②前提!$C$18,0)</f>
        <v>0</v>
      </c>
      <c r="E16" s="19" t="n">
        <f aca="false">IF(2=②前提!$C$26,②前提!$C$17,0)+IF(2=②前提!$C$27,②前提!$C$18,0)</f>
        <v>0</v>
      </c>
      <c r="F16" s="19" t="n">
        <f aca="false">IF(3=②前提!$C$26,②前提!$C$17,0)+IF(3=②前提!$C$27,②前提!$C$18,0)</f>
        <v>0</v>
      </c>
      <c r="G16" s="19" t="n">
        <f aca="false">IF(4=②前提!$C$26,②前提!$C$17,0)+IF(4=②前提!$C$27,②前提!$C$18,0)</f>
        <v>0</v>
      </c>
      <c r="H16" s="19" t="n">
        <f aca="false">IF(5=②前提!$C$26,②前提!$C$17,0)+IF(5=②前提!$C$27,②前提!$C$18,0)</f>
        <v>0</v>
      </c>
      <c r="I16" s="19" t="n">
        <f aca="false">IF(6=②前提!$C$26,②前提!$C$17,0)+IF(6=②前提!$C$27,②前提!$C$18,0)</f>
        <v>10000000</v>
      </c>
      <c r="J16" s="19" t="n">
        <f aca="false">IF(7=②前提!$C$26,②前提!$C$17,0)+IF(7=②前提!$C$27,②前提!$C$18,0)</f>
        <v>0</v>
      </c>
      <c r="K16" s="19" t="n">
        <f aca="false">IF(8=②前提!$C$26,②前提!$C$17,0)+IF(8=②前提!$C$27,②前提!$C$18,0)</f>
        <v>0</v>
      </c>
      <c r="L16" s="19" t="n">
        <f aca="false">IF(9=②前提!$C$26,②前提!$C$17,0)+IF(9=②前提!$C$27,②前提!$C$18,0)</f>
        <v>0</v>
      </c>
      <c r="M16" s="19" t="n">
        <f aca="false">IF(10=②前提!$C$26,②前提!$C$17,0)+IF(10=②前提!$C$27,②前提!$C$18,0)</f>
        <v>0</v>
      </c>
      <c r="N16" s="19" t="n">
        <f aca="false">IF(11=②前提!$C$26,②前提!$C$17,0)+IF(11=②前提!$C$27,②前提!$C$18,0)</f>
        <v>0</v>
      </c>
      <c r="O16" s="19" t="n">
        <f aca="false">IF(12=②前提!$C$26,②前提!$C$17,0)+IF(12=②前提!$C$27,②前提!$C$18,0)</f>
        <v>10000000</v>
      </c>
      <c r="P16" s="10" t="n">
        <f aca="false">SUM(D16:O16)</f>
        <v>20000000</v>
      </c>
    </row>
    <row r="17" customFormat="false" ht="15" hidden="false" customHeight="false" outlineLevel="0" collapsed="false">
      <c r="B17" s="32" t="s">
        <v>76</v>
      </c>
      <c r="C17" s="14" t="n">
        <f aca="false">C10+C11+SUM(C12:C14)</f>
        <v>32126692.1333333</v>
      </c>
      <c r="D17" s="14" t="n">
        <f aca="false">D10+D11+SUM(D12:D16)</f>
        <v>32126692.1333333</v>
      </c>
      <c r="E17" s="14" t="n">
        <f aca="false">E10+E11+SUM(E12:E16)</f>
        <v>32126692.1333333</v>
      </c>
      <c r="F17" s="14" t="n">
        <f aca="false">F10+F11+SUM(F12:F16)</f>
        <v>32126692.1333333</v>
      </c>
      <c r="G17" s="14" t="n">
        <f aca="false">G10+G11+SUM(G12:G16)</f>
        <v>32126692.1333333</v>
      </c>
      <c r="H17" s="14" t="n">
        <f aca="false">H10+H11+SUM(H12:H16)</f>
        <v>32126692.1333333</v>
      </c>
      <c r="I17" s="14" t="n">
        <f aca="false">I10+I11+SUM(I12:I16)</f>
        <v>42126692.1333333</v>
      </c>
      <c r="J17" s="14" t="n">
        <f aca="false">J10+J11+SUM(J12:J16)</f>
        <v>32126692.1333333</v>
      </c>
      <c r="K17" s="14" t="n">
        <f aca="false">K10+K11+SUM(K12:K16)</f>
        <v>32126692.1333333</v>
      </c>
      <c r="L17" s="14" t="n">
        <f aca="false">L10+L11+SUM(L12:L16)</f>
        <v>32126692.1333333</v>
      </c>
      <c r="M17" s="14" t="n">
        <f aca="false">M10+M11+SUM(M12:M16)</f>
        <v>32126692.1333333</v>
      </c>
      <c r="N17" s="14" t="n">
        <f aca="false">N10+N11+SUM(N12:N16)</f>
        <v>32126692.1333333</v>
      </c>
      <c r="O17" s="14" t="n">
        <f aca="false">O10+O11+SUM(O12:O16)</f>
        <v>42126692.1333333</v>
      </c>
      <c r="P17" s="14" t="n">
        <f aca="false">SUM(D17:O17)</f>
        <v>405520305.6</v>
      </c>
    </row>
    <row r="19" customFormat="false" ht="15" hidden="false" customHeight="false" outlineLevel="0" collapsed="false">
      <c r="B19" s="49" t="s">
        <v>260</v>
      </c>
      <c r="C19" s="58"/>
      <c r="D19" s="58"/>
      <c r="E19" s="58"/>
      <c r="F19" s="58"/>
      <c r="G19" s="58"/>
      <c r="H19" s="58"/>
      <c r="I19" s="58"/>
      <c r="J19" s="58"/>
      <c r="K19" s="58"/>
      <c r="L19" s="58"/>
      <c r="M19" s="58"/>
      <c r="N19" s="58"/>
      <c r="O19" s="58"/>
      <c r="P19" s="58"/>
    </row>
    <row r="20" customFormat="false" ht="15" hidden="false" customHeight="false" outlineLevel="0" collapsed="false">
      <c r="B20" s="9" t="s">
        <v>118</v>
      </c>
      <c r="C20" s="60" t="n">
        <f aca="false">AVERAGE(④FY2026月次実績!I11:K11)</f>
        <v>2104000</v>
      </c>
      <c r="D20" s="19" t="n">
        <f aca="false">$C$20</f>
        <v>2104000</v>
      </c>
      <c r="E20" s="19" t="n">
        <f aca="false">$C$20</f>
        <v>2104000</v>
      </c>
      <c r="F20" s="19" t="n">
        <f aca="false">$C$20</f>
        <v>2104000</v>
      </c>
      <c r="G20" s="19" t="n">
        <f aca="false">$C$20</f>
        <v>2104000</v>
      </c>
      <c r="H20" s="19" t="n">
        <f aca="false">$C$20</f>
        <v>2104000</v>
      </c>
      <c r="I20" s="19" t="n">
        <f aca="false">$C$20</f>
        <v>2104000</v>
      </c>
      <c r="J20" s="19" t="n">
        <f aca="false">$C$20</f>
        <v>2104000</v>
      </c>
      <c r="K20" s="19" t="n">
        <f aca="false">$C$20</f>
        <v>2104000</v>
      </c>
      <c r="L20" s="19" t="n">
        <f aca="false">$C$20</f>
        <v>2104000</v>
      </c>
      <c r="M20" s="19" t="n">
        <f aca="false">$C$20</f>
        <v>2104000</v>
      </c>
      <c r="N20" s="19" t="n">
        <f aca="false">$C$20</f>
        <v>2104000</v>
      </c>
      <c r="O20" s="19" t="n">
        <f aca="false">$C$20</f>
        <v>2104000</v>
      </c>
      <c r="P20" s="10" t="n">
        <f aca="false">SUM(D20:O20)</f>
        <v>25248000</v>
      </c>
    </row>
    <row r="21" customFormat="false" ht="15" hidden="false" customHeight="false" outlineLevel="0" collapsed="false">
      <c r="B21" s="9" t="s">
        <v>119</v>
      </c>
      <c r="C21" s="60" t="n">
        <f aca="false">AVERAGE(④FY2026月次実績!I12:K12)</f>
        <v>2844602</v>
      </c>
      <c r="D21" s="19" t="n">
        <f aca="false">$C$21</f>
        <v>2844602</v>
      </c>
      <c r="E21" s="19" t="n">
        <f aca="false">$C$21</f>
        <v>2844602</v>
      </c>
      <c r="F21" s="19" t="n">
        <f aca="false">$C$21</f>
        <v>2844602</v>
      </c>
      <c r="G21" s="19" t="n">
        <f aca="false">$C$21</f>
        <v>2844602</v>
      </c>
      <c r="H21" s="19" t="n">
        <f aca="false">$C$21</f>
        <v>2844602</v>
      </c>
      <c r="I21" s="19" t="n">
        <f aca="false">$C$21</f>
        <v>2844602</v>
      </c>
      <c r="J21" s="19" t="n">
        <f aca="false">$C$21</f>
        <v>2844602</v>
      </c>
      <c r="K21" s="19" t="n">
        <f aca="false">$C$21</f>
        <v>2844602</v>
      </c>
      <c r="L21" s="19" t="n">
        <f aca="false">$C$21</f>
        <v>2844602</v>
      </c>
      <c r="M21" s="19" t="n">
        <f aca="false">$C$21</f>
        <v>2844602</v>
      </c>
      <c r="N21" s="19" t="n">
        <f aca="false">$C$21</f>
        <v>2844602</v>
      </c>
      <c r="O21" s="19" t="n">
        <f aca="false">$C$21</f>
        <v>2844602</v>
      </c>
      <c r="P21" s="10" t="n">
        <f aca="false">SUM(D21:O21)</f>
        <v>34135224</v>
      </c>
    </row>
    <row r="22" customFormat="false" ht="15" hidden="false" customHeight="false" outlineLevel="0" collapsed="false">
      <c r="B22" s="9" t="s">
        <v>120</v>
      </c>
      <c r="C22" s="60" t="n">
        <f aca="false">AVERAGE(④FY2026月次実績!I13:K13)</f>
        <v>198075</v>
      </c>
      <c r="D22" s="19" t="n">
        <f aca="false">$C$22</f>
        <v>198075</v>
      </c>
      <c r="E22" s="19" t="n">
        <f aca="false">$C$22</f>
        <v>198075</v>
      </c>
      <c r="F22" s="19" t="n">
        <f aca="false">$C$22</f>
        <v>198075</v>
      </c>
      <c r="G22" s="19" t="n">
        <f aca="false">$C$22</f>
        <v>198075</v>
      </c>
      <c r="H22" s="19" t="n">
        <f aca="false">$C$22</f>
        <v>198075</v>
      </c>
      <c r="I22" s="19" t="n">
        <f aca="false">$C$22</f>
        <v>198075</v>
      </c>
      <c r="J22" s="19" t="n">
        <f aca="false">$C$22</f>
        <v>198075</v>
      </c>
      <c r="K22" s="19" t="n">
        <f aca="false">$C$22</f>
        <v>198075</v>
      </c>
      <c r="L22" s="19" t="n">
        <f aca="false">$C$22</f>
        <v>198075</v>
      </c>
      <c r="M22" s="19" t="n">
        <f aca="false">$C$22</f>
        <v>198075</v>
      </c>
      <c r="N22" s="19" t="n">
        <f aca="false">$C$22</f>
        <v>198075</v>
      </c>
      <c r="O22" s="19" t="n">
        <f aca="false">$C$22</f>
        <v>198075</v>
      </c>
      <c r="P22" s="10" t="n">
        <f aca="false">SUM(D22:O22)</f>
        <v>2376900</v>
      </c>
    </row>
    <row r="23" customFormat="false" ht="15" hidden="false" customHeight="false" outlineLevel="0" collapsed="false">
      <c r="B23" s="9" t="s">
        <v>121</v>
      </c>
      <c r="C23" s="60" t="n">
        <f aca="false">AVERAGE(④FY2026月次実績!I14:K14)</f>
        <v>943189.333333333</v>
      </c>
      <c r="D23" s="19" t="n">
        <f aca="false">$C$23</f>
        <v>943189.333333333</v>
      </c>
      <c r="E23" s="19" t="n">
        <f aca="false">$C$23</f>
        <v>943189.333333333</v>
      </c>
      <c r="F23" s="19" t="n">
        <f aca="false">$C$23</f>
        <v>943189.333333333</v>
      </c>
      <c r="G23" s="19" t="n">
        <f aca="false">$C$23</f>
        <v>943189.333333333</v>
      </c>
      <c r="H23" s="19" t="n">
        <f aca="false">$C$23</f>
        <v>943189.333333333</v>
      </c>
      <c r="I23" s="19" t="n">
        <f aca="false">$C$23</f>
        <v>943189.333333333</v>
      </c>
      <c r="J23" s="19" t="n">
        <f aca="false">$C$23</f>
        <v>943189.333333333</v>
      </c>
      <c r="K23" s="19" t="n">
        <f aca="false">$C$23</f>
        <v>943189.333333333</v>
      </c>
      <c r="L23" s="19" t="n">
        <f aca="false">$C$23</f>
        <v>943189.333333333</v>
      </c>
      <c r="M23" s="19" t="n">
        <f aca="false">$C$23</f>
        <v>943189.333333333</v>
      </c>
      <c r="N23" s="19" t="n">
        <f aca="false">$C$23</f>
        <v>943189.333333333</v>
      </c>
      <c r="O23" s="19" t="n">
        <f aca="false">$C$23</f>
        <v>943189.333333333</v>
      </c>
      <c r="P23" s="10" t="n">
        <f aca="false">SUM(D23:O23)</f>
        <v>11318272</v>
      </c>
    </row>
    <row r="24" customFormat="false" ht="15" hidden="false" customHeight="false" outlineLevel="0" collapsed="false">
      <c r="B24" s="9" t="s">
        <v>122</v>
      </c>
      <c r="C24" s="60" t="n">
        <f aca="false">AVERAGE(④FY2026月次実績!I15:K15)</f>
        <v>520742.333333333</v>
      </c>
      <c r="D24" s="19" t="n">
        <f aca="false">$C$24</f>
        <v>520742.333333333</v>
      </c>
      <c r="E24" s="19" t="n">
        <f aca="false">$C$24</f>
        <v>520742.333333333</v>
      </c>
      <c r="F24" s="19" t="n">
        <f aca="false">$C$24</f>
        <v>520742.333333333</v>
      </c>
      <c r="G24" s="19" t="n">
        <f aca="false">$C$24</f>
        <v>520742.333333333</v>
      </c>
      <c r="H24" s="19" t="n">
        <f aca="false">$C$24</f>
        <v>520742.333333333</v>
      </c>
      <c r="I24" s="19" t="n">
        <f aca="false">$C$24</f>
        <v>520742.333333333</v>
      </c>
      <c r="J24" s="19" t="n">
        <f aca="false">$C$24</f>
        <v>520742.333333333</v>
      </c>
      <c r="K24" s="19" t="n">
        <f aca="false">$C$24</f>
        <v>520742.333333333</v>
      </c>
      <c r="L24" s="19" t="n">
        <f aca="false">$C$24</f>
        <v>520742.333333333</v>
      </c>
      <c r="M24" s="19" t="n">
        <f aca="false">$C$24</f>
        <v>520742.333333333</v>
      </c>
      <c r="N24" s="19" t="n">
        <f aca="false">$C$24</f>
        <v>520742.333333333</v>
      </c>
      <c r="O24" s="19" t="n">
        <f aca="false">$C$24</f>
        <v>520742.333333333</v>
      </c>
      <c r="P24" s="10" t="n">
        <f aca="false">SUM(D24:O24)</f>
        <v>6248908</v>
      </c>
    </row>
    <row r="25" customFormat="false" ht="15" hidden="false" customHeight="false" outlineLevel="0" collapsed="false">
      <c r="B25" s="9" t="s">
        <v>123</v>
      </c>
      <c r="C25" s="60" t="n">
        <f aca="false">AVERAGE(④FY2026月次実績!I16:K16)</f>
        <v>986309.666666667</v>
      </c>
      <c r="D25" s="19" t="n">
        <f aca="false">$C$25</f>
        <v>986309.666666667</v>
      </c>
      <c r="E25" s="19" t="n">
        <f aca="false">$C$25</f>
        <v>986309.666666667</v>
      </c>
      <c r="F25" s="19" t="n">
        <f aca="false">$C$25</f>
        <v>986309.666666667</v>
      </c>
      <c r="G25" s="19" t="n">
        <f aca="false">$C$25</f>
        <v>986309.666666667</v>
      </c>
      <c r="H25" s="19" t="n">
        <f aca="false">$C$25</f>
        <v>986309.666666667</v>
      </c>
      <c r="I25" s="19" t="n">
        <f aca="false">$C$25</f>
        <v>986309.666666667</v>
      </c>
      <c r="J25" s="19" t="n">
        <f aca="false">$C$25</f>
        <v>986309.666666667</v>
      </c>
      <c r="K25" s="19" t="n">
        <f aca="false">$C$25</f>
        <v>986309.666666667</v>
      </c>
      <c r="L25" s="19" t="n">
        <f aca="false">$C$25</f>
        <v>986309.666666667</v>
      </c>
      <c r="M25" s="19" t="n">
        <f aca="false">$C$25</f>
        <v>986309.666666667</v>
      </c>
      <c r="N25" s="19" t="n">
        <f aca="false">$C$25</f>
        <v>986309.666666667</v>
      </c>
      <c r="O25" s="19" t="n">
        <f aca="false">$C$25</f>
        <v>986309.666666667</v>
      </c>
      <c r="P25" s="10" t="n">
        <f aca="false">SUM(D25:O25)</f>
        <v>11835716</v>
      </c>
    </row>
    <row r="26" customFormat="false" ht="15" hidden="false" customHeight="false" outlineLevel="0" collapsed="false">
      <c r="B26" s="9" t="s">
        <v>124</v>
      </c>
      <c r="C26" s="60" t="n">
        <f aca="false">AVERAGE(④FY2026月次実績!I17:K17)</f>
        <v>3258950</v>
      </c>
      <c r="D26" s="19" t="n">
        <f aca="false">$C$26</f>
        <v>3258950</v>
      </c>
      <c r="E26" s="19" t="n">
        <f aca="false">$C$26</f>
        <v>3258950</v>
      </c>
      <c r="F26" s="19" t="n">
        <f aca="false">$C$26</f>
        <v>3258950</v>
      </c>
      <c r="G26" s="19" t="n">
        <f aca="false">$C$26</f>
        <v>3258950</v>
      </c>
      <c r="H26" s="19" t="n">
        <f aca="false">$C$26</f>
        <v>3258950</v>
      </c>
      <c r="I26" s="19" t="n">
        <f aca="false">$C$26</f>
        <v>3258950</v>
      </c>
      <c r="J26" s="19" t="n">
        <f aca="false">$C$26</f>
        <v>3258950</v>
      </c>
      <c r="K26" s="19" t="n">
        <f aca="false">$C$26</f>
        <v>3258950</v>
      </c>
      <c r="L26" s="19" t="n">
        <f aca="false">$C$26</f>
        <v>3258950</v>
      </c>
      <c r="M26" s="19" t="n">
        <f aca="false">$C$26</f>
        <v>3258950</v>
      </c>
      <c r="N26" s="19" t="n">
        <f aca="false">$C$26</f>
        <v>3258950</v>
      </c>
      <c r="O26" s="19" t="n">
        <f aca="false">$C$26</f>
        <v>3258950</v>
      </c>
      <c r="P26" s="10" t="n">
        <f aca="false">SUM(D26:O26)</f>
        <v>39107400</v>
      </c>
    </row>
    <row r="27" customFormat="false" ht="15" hidden="false" customHeight="false" outlineLevel="0" collapsed="false">
      <c r="B27" s="9" t="s">
        <v>125</v>
      </c>
      <c r="C27" s="60" t="n">
        <f aca="false">AVERAGE(④FY2026月次実績!I18:K18)</f>
        <v>3721702.66666667</v>
      </c>
      <c r="D27" s="19" t="n">
        <f aca="false">$C$27</f>
        <v>3721702.66666667</v>
      </c>
      <c r="E27" s="19" t="n">
        <f aca="false">$C$27</f>
        <v>3721702.66666667</v>
      </c>
      <c r="F27" s="19" t="n">
        <f aca="false">$C$27</f>
        <v>3721702.66666667</v>
      </c>
      <c r="G27" s="19" t="n">
        <f aca="false">$C$27</f>
        <v>3721702.66666667</v>
      </c>
      <c r="H27" s="19" t="n">
        <f aca="false">$C$27</f>
        <v>3721702.66666667</v>
      </c>
      <c r="I27" s="19" t="n">
        <f aca="false">$C$27</f>
        <v>3721702.66666667</v>
      </c>
      <c r="J27" s="19" t="n">
        <f aca="false">$C$27</f>
        <v>3721702.66666667</v>
      </c>
      <c r="K27" s="19" t="n">
        <f aca="false">$C$27</f>
        <v>3721702.66666667</v>
      </c>
      <c r="L27" s="19" t="n">
        <f aca="false">$C$27</f>
        <v>3721702.66666667</v>
      </c>
      <c r="M27" s="19" t="n">
        <f aca="false">$C$27</f>
        <v>3721702.66666667</v>
      </c>
      <c r="N27" s="19" t="n">
        <f aca="false">$C$27</f>
        <v>3721702.66666667</v>
      </c>
      <c r="O27" s="19" t="n">
        <f aca="false">$C$27</f>
        <v>3721702.66666667</v>
      </c>
      <c r="P27" s="10" t="n">
        <f aca="false">SUM(D27:O27)</f>
        <v>44660432</v>
      </c>
    </row>
    <row r="28" customFormat="false" ht="15" hidden="false" customHeight="false" outlineLevel="0" collapsed="false">
      <c r="B28" s="9" t="s">
        <v>126</v>
      </c>
      <c r="C28" s="60" t="n">
        <f aca="false">AVERAGE(④FY2026月次実績!I19:K19)</f>
        <v>400027.333333333</v>
      </c>
      <c r="D28" s="19" t="n">
        <f aca="false">$C$28</f>
        <v>400027.333333333</v>
      </c>
      <c r="E28" s="19" t="n">
        <f aca="false">$C$28</f>
        <v>400027.333333333</v>
      </c>
      <c r="F28" s="19" t="n">
        <f aca="false">$C$28</f>
        <v>400027.333333333</v>
      </c>
      <c r="G28" s="19" t="n">
        <f aca="false">$C$28</f>
        <v>400027.333333333</v>
      </c>
      <c r="H28" s="19" t="n">
        <f aca="false">$C$28</f>
        <v>400027.333333333</v>
      </c>
      <c r="I28" s="19" t="n">
        <f aca="false">$C$28</f>
        <v>400027.333333333</v>
      </c>
      <c r="J28" s="19" t="n">
        <f aca="false">$C$28</f>
        <v>400027.333333333</v>
      </c>
      <c r="K28" s="19" t="n">
        <f aca="false">$C$28</f>
        <v>400027.333333333</v>
      </c>
      <c r="L28" s="19" t="n">
        <f aca="false">$C$28</f>
        <v>400027.333333333</v>
      </c>
      <c r="M28" s="19" t="n">
        <f aca="false">$C$28</f>
        <v>400027.333333333</v>
      </c>
      <c r="N28" s="19" t="n">
        <f aca="false">$C$28</f>
        <v>400027.333333333</v>
      </c>
      <c r="O28" s="19" t="n">
        <f aca="false">$C$28</f>
        <v>400027.333333333</v>
      </c>
      <c r="P28" s="10" t="n">
        <f aca="false">SUM(D28:O28)</f>
        <v>4800328</v>
      </c>
    </row>
    <row r="29" customFormat="false" ht="15" hidden="false" customHeight="false" outlineLevel="0" collapsed="false">
      <c r="B29" s="9" t="s">
        <v>127</v>
      </c>
      <c r="C29" s="60" t="n">
        <f aca="false">AVERAGE(④FY2026月次実績!I20:K20)</f>
        <v>687496.333333333</v>
      </c>
      <c r="D29" s="19" t="n">
        <f aca="false">$C$29</f>
        <v>687496.333333333</v>
      </c>
      <c r="E29" s="19" t="n">
        <f aca="false">$C$29</f>
        <v>687496.333333333</v>
      </c>
      <c r="F29" s="19" t="n">
        <f aca="false">$C$29</f>
        <v>687496.333333333</v>
      </c>
      <c r="G29" s="19" t="n">
        <f aca="false">$C$29</f>
        <v>687496.333333333</v>
      </c>
      <c r="H29" s="19" t="n">
        <f aca="false">$C$29</f>
        <v>687496.333333333</v>
      </c>
      <c r="I29" s="19" t="n">
        <f aca="false">$C$29</f>
        <v>687496.333333333</v>
      </c>
      <c r="J29" s="19" t="n">
        <f aca="false">$C$29</f>
        <v>687496.333333333</v>
      </c>
      <c r="K29" s="19" t="n">
        <f aca="false">$C$29</f>
        <v>687496.333333333</v>
      </c>
      <c r="L29" s="19" t="n">
        <f aca="false">$C$29</f>
        <v>687496.333333333</v>
      </c>
      <c r="M29" s="19" t="n">
        <f aca="false">$C$29</f>
        <v>687496.333333333</v>
      </c>
      <c r="N29" s="19" t="n">
        <f aca="false">$C$29</f>
        <v>687496.333333333</v>
      </c>
      <c r="O29" s="19" t="n">
        <f aca="false">$C$29</f>
        <v>687496.333333333</v>
      </c>
      <c r="P29" s="10" t="n">
        <f aca="false">SUM(D29:O29)</f>
        <v>8249956</v>
      </c>
    </row>
    <row r="30" customFormat="false" ht="15" hidden="false" customHeight="false" outlineLevel="0" collapsed="false">
      <c r="B30" s="9" t="s">
        <v>128</v>
      </c>
      <c r="C30" s="60" t="n">
        <f aca="false">AVERAGE(④FY2026月次実績!I21:K21)</f>
        <v>154132.333333333</v>
      </c>
      <c r="D30" s="19" t="n">
        <f aca="false">$C$30</f>
        <v>154132.333333333</v>
      </c>
      <c r="E30" s="19" t="n">
        <f aca="false">$C$30</f>
        <v>154132.333333333</v>
      </c>
      <c r="F30" s="19" t="n">
        <f aca="false">$C$30</f>
        <v>154132.333333333</v>
      </c>
      <c r="G30" s="19" t="n">
        <f aca="false">$C$30</f>
        <v>154132.333333333</v>
      </c>
      <c r="H30" s="19" t="n">
        <f aca="false">$C$30</f>
        <v>154132.333333333</v>
      </c>
      <c r="I30" s="19" t="n">
        <f aca="false">$C$30</f>
        <v>154132.333333333</v>
      </c>
      <c r="J30" s="19" t="n">
        <f aca="false">$C$30</f>
        <v>154132.333333333</v>
      </c>
      <c r="K30" s="19" t="n">
        <f aca="false">$C$30</f>
        <v>154132.333333333</v>
      </c>
      <c r="L30" s="19" t="n">
        <f aca="false">$C$30</f>
        <v>154132.333333333</v>
      </c>
      <c r="M30" s="19" t="n">
        <f aca="false">$C$30</f>
        <v>154132.333333333</v>
      </c>
      <c r="N30" s="19" t="n">
        <f aca="false">$C$30</f>
        <v>154132.333333333</v>
      </c>
      <c r="O30" s="19" t="n">
        <f aca="false">$C$30</f>
        <v>154132.333333333</v>
      </c>
      <c r="P30" s="10" t="n">
        <f aca="false">SUM(D30:O30)</f>
        <v>1849588</v>
      </c>
    </row>
    <row r="31" customFormat="false" ht="15" hidden="false" customHeight="false" outlineLevel="0" collapsed="false">
      <c r="B31" s="9" t="s">
        <v>129</v>
      </c>
      <c r="C31" s="60" t="n">
        <f aca="false">AVERAGE(④FY2026月次実績!I22:K22)</f>
        <v>122950.333333333</v>
      </c>
      <c r="D31" s="19" t="n">
        <f aca="false">$C$31</f>
        <v>122950.333333333</v>
      </c>
      <c r="E31" s="19" t="n">
        <f aca="false">$C$31</f>
        <v>122950.333333333</v>
      </c>
      <c r="F31" s="19" t="n">
        <f aca="false">$C$31</f>
        <v>122950.333333333</v>
      </c>
      <c r="G31" s="19" t="n">
        <f aca="false">$C$31</f>
        <v>122950.333333333</v>
      </c>
      <c r="H31" s="19" t="n">
        <f aca="false">$C$31</f>
        <v>122950.333333333</v>
      </c>
      <c r="I31" s="19" t="n">
        <f aca="false">$C$31</f>
        <v>122950.333333333</v>
      </c>
      <c r="J31" s="19" t="n">
        <f aca="false">$C$31</f>
        <v>122950.333333333</v>
      </c>
      <c r="K31" s="19" t="n">
        <f aca="false">$C$31</f>
        <v>122950.333333333</v>
      </c>
      <c r="L31" s="19" t="n">
        <f aca="false">$C$31</f>
        <v>122950.333333333</v>
      </c>
      <c r="M31" s="19" t="n">
        <f aca="false">$C$31</f>
        <v>122950.333333333</v>
      </c>
      <c r="N31" s="19" t="n">
        <f aca="false">$C$31</f>
        <v>122950.333333333</v>
      </c>
      <c r="O31" s="19" t="n">
        <f aca="false">$C$31</f>
        <v>122950.333333333</v>
      </c>
      <c r="P31" s="10" t="n">
        <f aca="false">SUM(D31:O31)</f>
        <v>1475404</v>
      </c>
    </row>
    <row r="32" customFormat="false" ht="15" hidden="false" customHeight="false" outlineLevel="0" collapsed="false">
      <c r="B32" s="9" t="s">
        <v>130</v>
      </c>
      <c r="C32" s="60" t="n">
        <f aca="false">AVERAGE(④FY2026月次実績!I23:K23)</f>
        <v>0</v>
      </c>
      <c r="D32" s="19" t="n">
        <f aca="false">$C$32</f>
        <v>0</v>
      </c>
      <c r="E32" s="19" t="n">
        <f aca="false">$C$32</f>
        <v>0</v>
      </c>
      <c r="F32" s="19" t="n">
        <f aca="false">$C$32</f>
        <v>0</v>
      </c>
      <c r="G32" s="19" t="n">
        <f aca="false">$C$32</f>
        <v>0</v>
      </c>
      <c r="H32" s="19" t="n">
        <f aca="false">$C$32</f>
        <v>0</v>
      </c>
      <c r="I32" s="19" t="n">
        <f aca="false">$C$32</f>
        <v>0</v>
      </c>
      <c r="J32" s="19" t="n">
        <f aca="false">$C$32</f>
        <v>0</v>
      </c>
      <c r="K32" s="19" t="n">
        <f aca="false">$C$32</f>
        <v>0</v>
      </c>
      <c r="L32" s="19" t="n">
        <f aca="false">$C$32</f>
        <v>0</v>
      </c>
      <c r="M32" s="19" t="n">
        <f aca="false">$C$32</f>
        <v>0</v>
      </c>
      <c r="N32" s="19" t="n">
        <f aca="false">$C$32</f>
        <v>0</v>
      </c>
      <c r="O32" s="19" t="n">
        <f aca="false">$C$32</f>
        <v>0</v>
      </c>
      <c r="P32" s="10" t="n">
        <f aca="false">SUM(D32:O32)</f>
        <v>0</v>
      </c>
    </row>
    <row r="33" customFormat="false" ht="15" hidden="false" customHeight="false" outlineLevel="0" collapsed="false">
      <c r="B33" s="9" t="s">
        <v>131</v>
      </c>
      <c r="C33" s="60" t="n">
        <f aca="false">AVERAGE(④FY2026月次実績!I24:K24)</f>
        <v>246493.666666667</v>
      </c>
      <c r="D33" s="19" t="n">
        <f aca="false">$C$33</f>
        <v>246493.666666667</v>
      </c>
      <c r="E33" s="19" t="n">
        <f aca="false">$C$33</f>
        <v>246493.666666667</v>
      </c>
      <c r="F33" s="19" t="n">
        <f aca="false">$C$33</f>
        <v>246493.666666667</v>
      </c>
      <c r="G33" s="19" t="n">
        <f aca="false">$C$33</f>
        <v>246493.666666667</v>
      </c>
      <c r="H33" s="19" t="n">
        <f aca="false">$C$33</f>
        <v>246493.666666667</v>
      </c>
      <c r="I33" s="19" t="n">
        <f aca="false">$C$33</f>
        <v>246493.666666667</v>
      </c>
      <c r="J33" s="19" t="n">
        <f aca="false">$C$33</f>
        <v>246493.666666667</v>
      </c>
      <c r="K33" s="19" t="n">
        <f aca="false">$C$33</f>
        <v>246493.666666667</v>
      </c>
      <c r="L33" s="19" t="n">
        <f aca="false">$C$33</f>
        <v>246493.666666667</v>
      </c>
      <c r="M33" s="19" t="n">
        <f aca="false">$C$33</f>
        <v>246493.666666667</v>
      </c>
      <c r="N33" s="19" t="n">
        <f aca="false">$C$33</f>
        <v>246493.666666667</v>
      </c>
      <c r="O33" s="19" t="n">
        <f aca="false">$C$33</f>
        <v>246493.666666667</v>
      </c>
      <c r="P33" s="10" t="n">
        <f aca="false">SUM(D33:O33)</f>
        <v>2957924</v>
      </c>
    </row>
    <row r="34" customFormat="false" ht="15" hidden="false" customHeight="false" outlineLevel="0" collapsed="false">
      <c r="B34" s="9" t="s">
        <v>132</v>
      </c>
      <c r="C34" s="60" t="n">
        <f aca="false">AVERAGE(④FY2026月次実績!I25:K25)</f>
        <v>1213002</v>
      </c>
      <c r="D34" s="19" t="n">
        <f aca="false">$C$34</f>
        <v>1213002</v>
      </c>
      <c r="E34" s="19" t="n">
        <f aca="false">$C$34</f>
        <v>1213002</v>
      </c>
      <c r="F34" s="19" t="n">
        <f aca="false">$C$34</f>
        <v>1213002</v>
      </c>
      <c r="G34" s="19" t="n">
        <f aca="false">$C$34</f>
        <v>1213002</v>
      </c>
      <c r="H34" s="19" t="n">
        <f aca="false">$C$34</f>
        <v>1213002</v>
      </c>
      <c r="I34" s="19" t="n">
        <f aca="false">$C$34</f>
        <v>1213002</v>
      </c>
      <c r="J34" s="19" t="n">
        <f aca="false">$C$34</f>
        <v>1213002</v>
      </c>
      <c r="K34" s="19" t="n">
        <f aca="false">$C$34</f>
        <v>1213002</v>
      </c>
      <c r="L34" s="19" t="n">
        <f aca="false">$C$34</f>
        <v>1213002</v>
      </c>
      <c r="M34" s="19" t="n">
        <f aca="false">$C$34</f>
        <v>1213002</v>
      </c>
      <c r="N34" s="19" t="n">
        <f aca="false">$C$34</f>
        <v>1213002</v>
      </c>
      <c r="O34" s="19" t="n">
        <f aca="false">$C$34</f>
        <v>1213002</v>
      </c>
      <c r="P34" s="10" t="n">
        <f aca="false">SUM(D34:O34)</f>
        <v>14556024</v>
      </c>
    </row>
    <row r="35" customFormat="false" ht="15" hidden="false" customHeight="false" outlineLevel="0" collapsed="false">
      <c r="B35" s="9" t="s">
        <v>133</v>
      </c>
      <c r="C35" s="60" t="n">
        <f aca="false">AVERAGE(④FY2026月次実績!I26:K26)</f>
        <v>0</v>
      </c>
      <c r="D35" s="19" t="n">
        <f aca="false">$C$35</f>
        <v>0</v>
      </c>
      <c r="E35" s="19" t="n">
        <f aca="false">$C$35</f>
        <v>0</v>
      </c>
      <c r="F35" s="19" t="n">
        <f aca="false">$C$35</f>
        <v>0</v>
      </c>
      <c r="G35" s="19" t="n">
        <f aca="false">$C$35</f>
        <v>0</v>
      </c>
      <c r="H35" s="19" t="n">
        <f aca="false">$C$35</f>
        <v>0</v>
      </c>
      <c r="I35" s="19" t="n">
        <f aca="false">$C$35</f>
        <v>0</v>
      </c>
      <c r="J35" s="19" t="n">
        <f aca="false">$C$35</f>
        <v>0</v>
      </c>
      <c r="K35" s="19" t="n">
        <f aca="false">$C$35</f>
        <v>0</v>
      </c>
      <c r="L35" s="19" t="n">
        <f aca="false">$C$35</f>
        <v>0</v>
      </c>
      <c r="M35" s="19" t="n">
        <f aca="false">$C$35</f>
        <v>0</v>
      </c>
      <c r="N35" s="19" t="n">
        <f aca="false">$C$35</f>
        <v>0</v>
      </c>
      <c r="O35" s="19" t="n">
        <f aca="false">$C$35</f>
        <v>0</v>
      </c>
      <c r="P35" s="10" t="n">
        <f aca="false">SUM(D35:O35)</f>
        <v>0</v>
      </c>
    </row>
    <row r="36" customFormat="false" ht="15" hidden="false" customHeight="false" outlineLevel="0" collapsed="false">
      <c r="B36" s="9" t="s">
        <v>134</v>
      </c>
      <c r="C36" s="60" t="n">
        <f aca="false">AVERAGE(④FY2026月次実績!I27:K27)</f>
        <v>3250243.33333333</v>
      </c>
      <c r="D36" s="19" t="n">
        <f aca="false">$C$36</f>
        <v>3250243.33333333</v>
      </c>
      <c r="E36" s="19" t="n">
        <f aca="false">$C$36</f>
        <v>3250243.33333333</v>
      </c>
      <c r="F36" s="19" t="n">
        <f aca="false">$C$36</f>
        <v>3250243.33333333</v>
      </c>
      <c r="G36" s="19" t="n">
        <f aca="false">$C$36</f>
        <v>3250243.33333333</v>
      </c>
      <c r="H36" s="19" t="n">
        <f aca="false">$C$36</f>
        <v>3250243.33333333</v>
      </c>
      <c r="I36" s="19" t="n">
        <f aca="false">$C$36</f>
        <v>3250243.33333333</v>
      </c>
      <c r="J36" s="19" t="n">
        <f aca="false">$C$36</f>
        <v>3250243.33333333</v>
      </c>
      <c r="K36" s="19" t="n">
        <f aca="false">$C$36</f>
        <v>3250243.33333333</v>
      </c>
      <c r="L36" s="19" t="n">
        <f aca="false">$C$36</f>
        <v>3250243.33333333</v>
      </c>
      <c r="M36" s="19" t="n">
        <f aca="false">$C$36</f>
        <v>3250243.33333333</v>
      </c>
      <c r="N36" s="19" t="n">
        <f aca="false">$C$36</f>
        <v>3250243.33333333</v>
      </c>
      <c r="O36" s="19" t="n">
        <f aca="false">$C$36</f>
        <v>3250243.33333333</v>
      </c>
      <c r="P36" s="10" t="n">
        <f aca="false">SUM(D36:O36)</f>
        <v>39002920</v>
      </c>
    </row>
    <row r="37" customFormat="false" ht="15" hidden="false" customHeight="false" outlineLevel="0" collapsed="false">
      <c r="B37" s="9" t="s">
        <v>135</v>
      </c>
      <c r="C37" s="60" t="n">
        <f aca="false">AVERAGE(④FY2026月次実績!I28:K28)</f>
        <v>49855.6666666667</v>
      </c>
      <c r="D37" s="19" t="n">
        <f aca="false">$C$37</f>
        <v>49855.6666666667</v>
      </c>
      <c r="E37" s="19" t="n">
        <f aca="false">$C$37</f>
        <v>49855.6666666667</v>
      </c>
      <c r="F37" s="19" t="n">
        <f aca="false">$C$37</f>
        <v>49855.6666666667</v>
      </c>
      <c r="G37" s="19" t="n">
        <f aca="false">$C$37</f>
        <v>49855.6666666667</v>
      </c>
      <c r="H37" s="19" t="n">
        <f aca="false">$C$37</f>
        <v>49855.6666666667</v>
      </c>
      <c r="I37" s="19" t="n">
        <f aca="false">$C$37</f>
        <v>49855.6666666667</v>
      </c>
      <c r="J37" s="19" t="n">
        <f aca="false">$C$37</f>
        <v>49855.6666666667</v>
      </c>
      <c r="K37" s="19" t="n">
        <f aca="false">$C$37</f>
        <v>49855.6666666667</v>
      </c>
      <c r="L37" s="19" t="n">
        <f aca="false">$C$37</f>
        <v>49855.6666666667</v>
      </c>
      <c r="M37" s="19" t="n">
        <f aca="false">$C$37</f>
        <v>49855.6666666667</v>
      </c>
      <c r="N37" s="19" t="n">
        <f aca="false">$C$37</f>
        <v>49855.6666666667</v>
      </c>
      <c r="O37" s="19" t="n">
        <f aca="false">$C$37</f>
        <v>49855.6666666667</v>
      </c>
      <c r="P37" s="10" t="n">
        <f aca="false">SUM(D37:O37)</f>
        <v>598268</v>
      </c>
    </row>
    <row r="38" customFormat="false" ht="15" hidden="false" customHeight="false" outlineLevel="0" collapsed="false">
      <c r="B38" s="9" t="s">
        <v>136</v>
      </c>
      <c r="C38" s="60" t="n">
        <f aca="false">AVERAGE(④FY2026月次実績!I29:K29)</f>
        <v>6666.66666666667</v>
      </c>
      <c r="D38" s="19" t="n">
        <f aca="false">$C$38</f>
        <v>6666.66666666667</v>
      </c>
      <c r="E38" s="19" t="n">
        <f aca="false">$C$38</f>
        <v>6666.66666666667</v>
      </c>
      <c r="F38" s="19" t="n">
        <f aca="false">$C$38</f>
        <v>6666.66666666667</v>
      </c>
      <c r="G38" s="19" t="n">
        <f aca="false">$C$38</f>
        <v>6666.66666666667</v>
      </c>
      <c r="H38" s="19" t="n">
        <f aca="false">$C$38</f>
        <v>6666.66666666667</v>
      </c>
      <c r="I38" s="19" t="n">
        <f aca="false">$C$38</f>
        <v>6666.66666666667</v>
      </c>
      <c r="J38" s="19" t="n">
        <f aca="false">$C$38</f>
        <v>6666.66666666667</v>
      </c>
      <c r="K38" s="19" t="n">
        <f aca="false">$C$38</f>
        <v>6666.66666666667</v>
      </c>
      <c r="L38" s="19" t="n">
        <f aca="false">$C$38</f>
        <v>6666.66666666667</v>
      </c>
      <c r="M38" s="19" t="n">
        <f aca="false">$C$38</f>
        <v>6666.66666666667</v>
      </c>
      <c r="N38" s="19" t="n">
        <f aca="false">$C$38</f>
        <v>6666.66666666667</v>
      </c>
      <c r="O38" s="19" t="n">
        <f aca="false">$C$38</f>
        <v>6666.66666666667</v>
      </c>
      <c r="P38" s="10" t="n">
        <f aca="false">SUM(D38:O38)</f>
        <v>80000</v>
      </c>
    </row>
    <row r="39" customFormat="false" ht="15" hidden="false" customHeight="false" outlineLevel="0" collapsed="false">
      <c r="B39" s="9" t="s">
        <v>137</v>
      </c>
      <c r="C39" s="60" t="n">
        <f aca="false">AVERAGE(④FY2026月次実績!I30:K30)</f>
        <v>394626.666666667</v>
      </c>
      <c r="D39" s="19" t="n">
        <f aca="false">$C$39</f>
        <v>394626.666666667</v>
      </c>
      <c r="E39" s="19" t="n">
        <f aca="false">$C$39</f>
        <v>394626.666666667</v>
      </c>
      <c r="F39" s="19" t="n">
        <f aca="false">$C$39</f>
        <v>394626.666666667</v>
      </c>
      <c r="G39" s="19" t="n">
        <f aca="false">$C$39</f>
        <v>394626.666666667</v>
      </c>
      <c r="H39" s="19" t="n">
        <f aca="false">$C$39</f>
        <v>394626.666666667</v>
      </c>
      <c r="I39" s="19" t="n">
        <f aca="false">$C$39</f>
        <v>394626.666666667</v>
      </c>
      <c r="J39" s="19" t="n">
        <f aca="false">$C$39</f>
        <v>394626.666666667</v>
      </c>
      <c r="K39" s="19" t="n">
        <f aca="false">$C$39</f>
        <v>394626.666666667</v>
      </c>
      <c r="L39" s="19" t="n">
        <f aca="false">$C$39</f>
        <v>394626.666666667</v>
      </c>
      <c r="M39" s="19" t="n">
        <f aca="false">$C$39</f>
        <v>394626.666666667</v>
      </c>
      <c r="N39" s="19" t="n">
        <f aca="false">$C$39</f>
        <v>394626.666666667</v>
      </c>
      <c r="O39" s="19" t="n">
        <f aca="false">$C$39</f>
        <v>394626.666666667</v>
      </c>
      <c r="P39" s="10" t="n">
        <f aca="false">SUM(D39:O39)</f>
        <v>4735520</v>
      </c>
    </row>
    <row r="40" customFormat="false" ht="15" hidden="false" customHeight="false" outlineLevel="0" collapsed="false">
      <c r="B40" s="9" t="s">
        <v>138</v>
      </c>
      <c r="C40" s="60" t="n">
        <f aca="false">AVERAGE(④FY2026月次実績!I31:K31)</f>
        <v>0</v>
      </c>
      <c r="D40" s="19" t="n">
        <f aca="false">$C$40</f>
        <v>0</v>
      </c>
      <c r="E40" s="19" t="n">
        <f aca="false">$C$40</f>
        <v>0</v>
      </c>
      <c r="F40" s="19" t="n">
        <f aca="false">$C$40</f>
        <v>0</v>
      </c>
      <c r="G40" s="19" t="n">
        <f aca="false">$C$40</f>
        <v>0</v>
      </c>
      <c r="H40" s="19" t="n">
        <f aca="false">$C$40</f>
        <v>0</v>
      </c>
      <c r="I40" s="19" t="n">
        <f aca="false">$C$40</f>
        <v>0</v>
      </c>
      <c r="J40" s="19" t="n">
        <f aca="false">$C$40</f>
        <v>0</v>
      </c>
      <c r="K40" s="19" t="n">
        <f aca="false">$C$40</f>
        <v>0</v>
      </c>
      <c r="L40" s="19" t="n">
        <f aca="false">$C$40</f>
        <v>0</v>
      </c>
      <c r="M40" s="19" t="n">
        <f aca="false">$C$40</f>
        <v>0</v>
      </c>
      <c r="N40" s="19" t="n">
        <f aca="false">$C$40</f>
        <v>0</v>
      </c>
      <c r="O40" s="19" t="n">
        <f aca="false">$C$40</f>
        <v>0</v>
      </c>
      <c r="P40" s="10" t="n">
        <f aca="false">SUM(D40:O40)</f>
        <v>0</v>
      </c>
    </row>
    <row r="41" customFormat="false" ht="15" hidden="false" customHeight="false" outlineLevel="0" collapsed="false">
      <c r="B41" s="9" t="s">
        <v>139</v>
      </c>
      <c r="C41" s="60" t="n">
        <f aca="false">AVERAGE(④FY2026月次実績!I32:K32)</f>
        <v>3637873</v>
      </c>
      <c r="D41" s="19" t="n">
        <f aca="false">$C$41</f>
        <v>3637873</v>
      </c>
      <c r="E41" s="19" t="n">
        <f aca="false">$C$41</f>
        <v>3637873</v>
      </c>
      <c r="F41" s="19" t="n">
        <f aca="false">$C$41</f>
        <v>3637873</v>
      </c>
      <c r="G41" s="19" t="n">
        <f aca="false">$C$41</f>
        <v>3637873</v>
      </c>
      <c r="H41" s="19" t="n">
        <f aca="false">$C$41</f>
        <v>3637873</v>
      </c>
      <c r="I41" s="19" t="n">
        <f aca="false">$C$41</f>
        <v>3637873</v>
      </c>
      <c r="J41" s="19" t="n">
        <f aca="false">$C$41</f>
        <v>3637873</v>
      </c>
      <c r="K41" s="19" t="n">
        <f aca="false">$C$41</f>
        <v>3637873</v>
      </c>
      <c r="L41" s="19" t="n">
        <f aca="false">$C$41</f>
        <v>3637873</v>
      </c>
      <c r="M41" s="19" t="n">
        <f aca="false">$C$41</f>
        <v>3637873</v>
      </c>
      <c r="N41" s="19" t="n">
        <f aca="false">$C$41</f>
        <v>3637873</v>
      </c>
      <c r="O41" s="19" t="n">
        <f aca="false">$C$41</f>
        <v>3637873</v>
      </c>
      <c r="P41" s="10" t="n">
        <f aca="false">SUM(D41:O41)</f>
        <v>43654476</v>
      </c>
    </row>
    <row r="42" customFormat="false" ht="15" hidden="false" customHeight="false" outlineLevel="0" collapsed="false">
      <c r="B42" s="9" t="s">
        <v>140</v>
      </c>
      <c r="C42" s="60" t="n">
        <f aca="false">AVERAGE(④FY2026月次実績!I33:K33)</f>
        <v>272483.666666667</v>
      </c>
      <c r="D42" s="19" t="n">
        <f aca="false">$C$42</f>
        <v>272483.666666667</v>
      </c>
      <c r="E42" s="19" t="n">
        <f aca="false">$C$42</f>
        <v>272483.666666667</v>
      </c>
      <c r="F42" s="19" t="n">
        <f aca="false">$C$42</f>
        <v>272483.666666667</v>
      </c>
      <c r="G42" s="19" t="n">
        <f aca="false">$C$42</f>
        <v>272483.666666667</v>
      </c>
      <c r="H42" s="19" t="n">
        <f aca="false">$C$42</f>
        <v>272483.666666667</v>
      </c>
      <c r="I42" s="19" t="n">
        <f aca="false">$C$42</f>
        <v>272483.666666667</v>
      </c>
      <c r="J42" s="19" t="n">
        <f aca="false">$C$42</f>
        <v>272483.666666667</v>
      </c>
      <c r="K42" s="19" t="n">
        <f aca="false">$C$42</f>
        <v>272483.666666667</v>
      </c>
      <c r="L42" s="19" t="n">
        <f aca="false">$C$42</f>
        <v>272483.666666667</v>
      </c>
      <c r="M42" s="19" t="n">
        <f aca="false">$C$42</f>
        <v>272483.666666667</v>
      </c>
      <c r="N42" s="19" t="n">
        <f aca="false">$C$42</f>
        <v>272483.666666667</v>
      </c>
      <c r="O42" s="19" t="n">
        <f aca="false">$C$42</f>
        <v>272483.666666667</v>
      </c>
      <c r="P42" s="10" t="n">
        <f aca="false">SUM(D42:O42)</f>
        <v>3269804</v>
      </c>
    </row>
    <row r="43" customFormat="false" ht="15" hidden="false" customHeight="false" outlineLevel="0" collapsed="false">
      <c r="B43" s="32" t="s">
        <v>141</v>
      </c>
      <c r="C43" s="14" t="n">
        <f aca="false">SUM(C20:C42)</f>
        <v>25013422</v>
      </c>
      <c r="D43" s="14" t="n">
        <f aca="false">SUM(D20:D42)</f>
        <v>25013422</v>
      </c>
      <c r="E43" s="14" t="n">
        <f aca="false">SUM(E20:E42)</f>
        <v>25013422</v>
      </c>
      <c r="F43" s="14" t="n">
        <f aca="false">SUM(F20:F42)</f>
        <v>25013422</v>
      </c>
      <c r="G43" s="14" t="n">
        <f aca="false">SUM(G20:G42)</f>
        <v>25013422</v>
      </c>
      <c r="H43" s="14" t="n">
        <f aca="false">SUM(H20:H42)</f>
        <v>25013422</v>
      </c>
      <c r="I43" s="14" t="n">
        <f aca="false">SUM(I20:I42)</f>
        <v>25013422</v>
      </c>
      <c r="J43" s="14" t="n">
        <f aca="false">SUM(J20:J42)</f>
        <v>25013422</v>
      </c>
      <c r="K43" s="14" t="n">
        <f aca="false">SUM(K20:K42)</f>
        <v>25013422</v>
      </c>
      <c r="L43" s="14" t="n">
        <f aca="false">SUM(L20:L42)</f>
        <v>25013422</v>
      </c>
      <c r="M43" s="14" t="n">
        <f aca="false">SUM(M20:M42)</f>
        <v>25013422</v>
      </c>
      <c r="N43" s="14" t="n">
        <f aca="false">SUM(N20:N42)</f>
        <v>25013422</v>
      </c>
      <c r="O43" s="14" t="n">
        <f aca="false">SUM(O20:O42)</f>
        <v>25013422</v>
      </c>
      <c r="P43" s="14" t="n">
        <f aca="false">SUM(D43:O43)</f>
        <v>300161064</v>
      </c>
    </row>
    <row r="45" customFormat="false" ht="15" hidden="false" customHeight="false" outlineLevel="0" collapsed="false">
      <c r="B45" s="49" t="s">
        <v>261</v>
      </c>
      <c r="C45" s="58"/>
      <c r="D45" s="58"/>
      <c r="E45" s="58"/>
      <c r="F45" s="58"/>
      <c r="G45" s="58"/>
      <c r="H45" s="58"/>
      <c r="I45" s="58"/>
      <c r="J45" s="58"/>
      <c r="K45" s="58"/>
      <c r="L45" s="58"/>
      <c r="M45" s="58"/>
      <c r="N45" s="58"/>
      <c r="O45" s="58"/>
      <c r="P45" s="58"/>
    </row>
    <row r="46" customFormat="false" ht="15" hidden="false" customHeight="false" outlineLevel="0" collapsed="false">
      <c r="B46" s="32" t="s">
        <v>37</v>
      </c>
      <c r="C46" s="14" t="n">
        <f aca="false">C17-C43</f>
        <v>7113270.13333333</v>
      </c>
      <c r="D46" s="14" t="n">
        <f aca="false">D17-D43</f>
        <v>7113270.13333333</v>
      </c>
      <c r="E46" s="14" t="n">
        <f aca="false">E17-E43</f>
        <v>7113270.13333333</v>
      </c>
      <c r="F46" s="14" t="n">
        <f aca="false">F17-F43</f>
        <v>7113270.13333333</v>
      </c>
      <c r="G46" s="14" t="n">
        <f aca="false">G17-G43</f>
        <v>7113270.13333333</v>
      </c>
      <c r="H46" s="14" t="n">
        <f aca="false">H17-H43</f>
        <v>7113270.13333333</v>
      </c>
      <c r="I46" s="14" t="n">
        <f aca="false">I17-I43</f>
        <v>17113270.1333333</v>
      </c>
      <c r="J46" s="14" t="n">
        <f aca="false">J17-J43</f>
        <v>7113270.13333333</v>
      </c>
      <c r="K46" s="14" t="n">
        <f aca="false">K17-K43</f>
        <v>7113270.13333333</v>
      </c>
      <c r="L46" s="14" t="n">
        <f aca="false">L17-L43</f>
        <v>7113270.13333333</v>
      </c>
      <c r="M46" s="14" t="n">
        <f aca="false">M17-M43</f>
        <v>7113270.13333333</v>
      </c>
      <c r="N46" s="14" t="n">
        <f aca="false">N17-N43</f>
        <v>7113270.13333333</v>
      </c>
      <c r="O46" s="14" t="n">
        <f aca="false">O17-O43</f>
        <v>17113270.1333333</v>
      </c>
      <c r="P46" s="14" t="n">
        <f aca="false">SUM(D46:O46)</f>
        <v>105359241.6</v>
      </c>
    </row>
    <row r="47" customFormat="false" ht="15" hidden="false" customHeight="false" outlineLevel="0" collapsed="false">
      <c r="B47" s="9" t="s">
        <v>78</v>
      </c>
      <c r="D47" s="19" t="n">
        <f aca="false">0</f>
        <v>0</v>
      </c>
      <c r="E47" s="19" t="n">
        <f aca="false">0</f>
        <v>0</v>
      </c>
      <c r="F47" s="19" t="n">
        <f aca="false">0</f>
        <v>0</v>
      </c>
      <c r="G47" s="19" t="n">
        <f aca="false">0</f>
        <v>0</v>
      </c>
      <c r="H47" s="19" t="n">
        <f aca="false">0</f>
        <v>0</v>
      </c>
      <c r="I47" s="19" t="n">
        <f aca="false">0</f>
        <v>0</v>
      </c>
      <c r="J47" s="19" t="n">
        <f aca="false">0</f>
        <v>0</v>
      </c>
      <c r="K47" s="19" t="n">
        <f aca="false">0</f>
        <v>0</v>
      </c>
      <c r="L47" s="19" t="n">
        <f aca="false">0</f>
        <v>0</v>
      </c>
      <c r="M47" s="19" t="n">
        <f aca="false">0</f>
        <v>0</v>
      </c>
      <c r="N47" s="19" t="n">
        <f aca="false">0</f>
        <v>0</v>
      </c>
      <c r="O47" s="19" t="n">
        <f aca="false">0</f>
        <v>0</v>
      </c>
      <c r="P47" s="10" t="n">
        <f aca="false">SUM(D47:O47)</f>
        <v>0</v>
      </c>
    </row>
    <row r="48" customFormat="false" ht="15" hidden="false" customHeight="false" outlineLevel="0" collapsed="false">
      <c r="B48" s="9" t="s">
        <v>262</v>
      </c>
      <c r="C48" s="60" t="n">
        <f aca="false">②前提!$C$24/12</f>
        <v>1250000</v>
      </c>
      <c r="D48" s="19" t="n">
        <f aca="false">$C$48</f>
        <v>1250000</v>
      </c>
      <c r="E48" s="19" t="n">
        <f aca="false">$C$48</f>
        <v>1250000</v>
      </c>
      <c r="F48" s="19" t="n">
        <f aca="false">$C$48</f>
        <v>1250000</v>
      </c>
      <c r="G48" s="19" t="n">
        <f aca="false">$C$48</f>
        <v>1250000</v>
      </c>
      <c r="H48" s="19" t="n">
        <f aca="false">$C$48</f>
        <v>1250000</v>
      </c>
      <c r="I48" s="19" t="n">
        <f aca="false">$C$48</f>
        <v>1250000</v>
      </c>
      <c r="J48" s="19" t="n">
        <f aca="false">$C$48</f>
        <v>1250000</v>
      </c>
      <c r="K48" s="19" t="n">
        <f aca="false">$C$48</f>
        <v>1250000</v>
      </c>
      <c r="L48" s="19" t="n">
        <f aca="false">$C$48</f>
        <v>1250000</v>
      </c>
      <c r="M48" s="19" t="n">
        <f aca="false">$C$48</f>
        <v>1250000</v>
      </c>
      <c r="N48" s="19" t="n">
        <f aca="false">$C$48</f>
        <v>1250000</v>
      </c>
      <c r="O48" s="19" t="n">
        <f aca="false">$C$48</f>
        <v>1250000</v>
      </c>
      <c r="P48" s="10" t="n">
        <f aca="false">SUM(D48:O48)</f>
        <v>15000000</v>
      </c>
    </row>
    <row r="49" customFormat="false" ht="15" hidden="false" customHeight="false" outlineLevel="0" collapsed="false">
      <c r="B49" s="34" t="s">
        <v>39</v>
      </c>
      <c r="C49" s="17" t="n">
        <f aca="false">C46+C47-C48</f>
        <v>5863270.13333333</v>
      </c>
      <c r="D49" s="17" t="n">
        <f aca="false">D46+D47-D48</f>
        <v>5863270.13333333</v>
      </c>
      <c r="E49" s="17" t="n">
        <f aca="false">E46+E47-E48</f>
        <v>5863270.13333333</v>
      </c>
      <c r="F49" s="17" t="n">
        <f aca="false">F46+F47-F48</f>
        <v>5863270.13333333</v>
      </c>
      <c r="G49" s="17" t="n">
        <f aca="false">G46+G47-G48</f>
        <v>5863270.13333333</v>
      </c>
      <c r="H49" s="17" t="n">
        <f aca="false">H46+H47-H48</f>
        <v>5863270.13333333</v>
      </c>
      <c r="I49" s="17" t="n">
        <f aca="false">I46+I47-I48</f>
        <v>15863270.1333333</v>
      </c>
      <c r="J49" s="17" t="n">
        <f aca="false">J46+J47-J48</f>
        <v>5863270.13333333</v>
      </c>
      <c r="K49" s="17" t="n">
        <f aca="false">K46+K47-K48</f>
        <v>5863270.13333333</v>
      </c>
      <c r="L49" s="17" t="n">
        <f aca="false">L46+L47-L48</f>
        <v>5863270.13333333</v>
      </c>
      <c r="M49" s="17" t="n">
        <f aca="false">M46+M47-M48</f>
        <v>5863270.13333333</v>
      </c>
      <c r="N49" s="17" t="n">
        <f aca="false">N46+N47-N48</f>
        <v>5863270.13333333</v>
      </c>
      <c r="O49" s="17" t="n">
        <f aca="false">O46+O47-O48</f>
        <v>15863270.1333333</v>
      </c>
      <c r="P49" s="17" t="n">
        <f aca="false">SUM(D49:O49)</f>
        <v>90359241.6</v>
      </c>
    </row>
    <row r="50" customFormat="false" ht="15" hidden="false" customHeight="false" outlineLevel="0" collapsed="false">
      <c r="B50" s="6" t="s">
        <v>263</v>
      </c>
      <c r="D50" s="23" t="n">
        <f aca="false">D49</f>
        <v>5863270.13333333</v>
      </c>
      <c r="E50" s="23" t="n">
        <f aca="false">D50+E49</f>
        <v>11726540.2666667</v>
      </c>
      <c r="F50" s="23" t="n">
        <f aca="false">E50+F49</f>
        <v>17589810.4</v>
      </c>
      <c r="G50" s="23" t="n">
        <f aca="false">F50+G49</f>
        <v>23453080.5333333</v>
      </c>
      <c r="H50" s="23" t="n">
        <f aca="false">G50+H49</f>
        <v>29316350.6666667</v>
      </c>
      <c r="I50" s="23" t="n">
        <f aca="false">H50+I49</f>
        <v>45179620.8</v>
      </c>
      <c r="J50" s="23" t="n">
        <f aca="false">I50+J49</f>
        <v>51042890.9333333</v>
      </c>
      <c r="K50" s="23" t="n">
        <f aca="false">J50+K49</f>
        <v>56906161.0666667</v>
      </c>
      <c r="L50" s="23" t="n">
        <f aca="false">K50+L49</f>
        <v>62769431.2</v>
      </c>
      <c r="M50" s="23" t="n">
        <f aca="false">L50+M49</f>
        <v>68632701.3333333</v>
      </c>
      <c r="N50" s="23" t="n">
        <f aca="false">M50+N49</f>
        <v>74495971.4666667</v>
      </c>
      <c r="O50" s="23" t="n">
        <f aca="false">N50+O49</f>
        <v>90359241.6</v>
      </c>
    </row>
    <row r="52" customFormat="false" ht="15" hidden="false" customHeight="false" outlineLevel="0" collapsed="false">
      <c r="B52" s="20" t="s">
        <v>264</v>
      </c>
    </row>
    <row r="53" customFormat="false" ht="15" hidden="false" customHeight="false" outlineLevel="0" collapsed="false">
      <c r="B53" s="20" t="s">
        <v>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8"/>
    <col collapsed="false" customWidth="true" hidden="false" outlineLevel="0" max="4" min="3" style="0" width="20"/>
    <col collapsed="false" customWidth="true" hidden="false" outlineLevel="0" max="5" min="5" style="0" width="58"/>
  </cols>
  <sheetData>
    <row r="1" customFormat="false" ht="19.4" hidden="false" customHeight="false" outlineLevel="0" collapsed="false">
      <c r="B1" s="50" t="s">
        <v>266</v>
      </c>
    </row>
    <row r="2" customFormat="false" ht="15" hidden="false" customHeight="false" outlineLevel="0" collapsed="false">
      <c r="B2" s="20" t="s">
        <v>267</v>
      </c>
    </row>
    <row r="4" customFormat="false" ht="15" hidden="false" customHeight="false" outlineLevel="0" collapsed="false">
      <c r="B4" s="3" t="s">
        <v>3</v>
      </c>
      <c r="C4" s="3" t="s">
        <v>268</v>
      </c>
      <c r="D4" s="3" t="s">
        <v>269</v>
      </c>
      <c r="E4" s="3" t="s">
        <v>7</v>
      </c>
    </row>
    <row r="5" customFormat="false" ht="15" hidden="false" customHeight="false" outlineLevel="0" collapsed="false">
      <c r="B5" s="25" t="s">
        <v>270</v>
      </c>
      <c r="C5" s="61" t="n">
        <f aca="false">FY2026着地見込み!$E$22</f>
        <v>-9793430</v>
      </c>
      <c r="D5" s="10" t="n">
        <f aca="false">C5</f>
        <v>-9793430</v>
      </c>
      <c r="E5" s="2" t="s">
        <v>271</v>
      </c>
    </row>
    <row r="6" customFormat="false" ht="15" hidden="false" customHeight="false" outlineLevel="0" collapsed="false">
      <c r="B6" s="9" t="s">
        <v>272</v>
      </c>
      <c r="C6" s="19" t="n">
        <f aca="false">-(FY2026着地見込み!$D$7+FY2026着地見込み!$D$8)</f>
        <v>-75000000</v>
      </c>
      <c r="D6" s="10" t="n">
        <f aca="false">D5+C6</f>
        <v>-84793430</v>
      </c>
      <c r="E6" s="2" t="s">
        <v>273</v>
      </c>
    </row>
    <row r="7" customFormat="false" ht="15" hidden="false" customHeight="false" outlineLevel="0" collapsed="false">
      <c r="B7" s="9" t="s">
        <v>274</v>
      </c>
      <c r="C7" s="19" t="n">
        <f aca="false">②前提!$C$7*12-229139405</f>
        <v>-28537477</v>
      </c>
      <c r="D7" s="10" t="n">
        <f aca="false">D6+C7</f>
        <v>-113330907</v>
      </c>
      <c r="E7" s="2" t="s">
        <v>275</v>
      </c>
    </row>
    <row r="8" customFormat="false" ht="15" hidden="false" customHeight="false" outlineLevel="0" collapsed="false">
      <c r="B8" s="9" t="s">
        <v>276</v>
      </c>
      <c r="C8" s="19" t="n">
        <f aca="false">②前提!$C$58</f>
        <v>102418377.6</v>
      </c>
      <c r="D8" s="10" t="n">
        <f aca="false">D7+C8</f>
        <v>-10912529.4</v>
      </c>
      <c r="E8" s="20" t="s">
        <v>277</v>
      </c>
    </row>
    <row r="9" customFormat="false" ht="15" hidden="false" customHeight="false" outlineLevel="0" collapsed="false">
      <c r="B9" s="9" t="s">
        <v>278</v>
      </c>
      <c r="C9" s="19" t="n">
        <f aca="false">343932836-②前提!$C$8*12</f>
        <v>43771772</v>
      </c>
      <c r="D9" s="10" t="n">
        <f aca="false">D8+C9</f>
        <v>32859242.6</v>
      </c>
      <c r="E9" s="20" t="s">
        <v>279</v>
      </c>
    </row>
    <row r="10" customFormat="false" ht="15" hidden="false" customHeight="false" outlineLevel="0" collapsed="false">
      <c r="B10" s="9" t="s">
        <v>280</v>
      </c>
      <c r="C10" s="19" t="n">
        <f aca="false">②前提!$C$20-FY2026着地見込み!$E$20</f>
        <v>72500000</v>
      </c>
      <c r="D10" s="10" t="n">
        <f aca="false">D9+C10</f>
        <v>105359242.6</v>
      </c>
      <c r="E10" s="2" t="s">
        <v>281</v>
      </c>
    </row>
    <row r="11" customFormat="false" ht="15" hidden="false" customHeight="false" outlineLevel="0" collapsed="false">
      <c r="B11" s="62" t="s">
        <v>282</v>
      </c>
      <c r="D11" s="14" t="n">
        <f aca="false">D10</f>
        <v>105359242.6</v>
      </c>
      <c r="E11" s="20" t="s">
        <v>283</v>
      </c>
    </row>
    <row r="13" customFormat="false" ht="15" hidden="false" customHeight="false" outlineLevel="0" collapsed="false">
      <c r="B13" s="9" t="s">
        <v>284</v>
      </c>
      <c r="C13" s="19" t="n">
        <f aca="false">②前提!$C$65-②前提!$C$58</f>
        <v>90000000</v>
      </c>
      <c r="D13" s="23" t="n">
        <f aca="false">D11+C13</f>
        <v>195359242.6</v>
      </c>
      <c r="E13" s="20" t="s">
        <v>285</v>
      </c>
    </row>
    <row r="14" customFormat="false" ht="15" hidden="false" customHeight="false" outlineLevel="0" collapsed="false">
      <c r="B14" s="27" t="s">
        <v>286</v>
      </c>
      <c r="D14" s="17" t="n">
        <f aca="false">D13</f>
        <v>195359242.6</v>
      </c>
    </row>
    <row r="16" customFormat="false" ht="15" hidden="false" customHeight="false" outlineLevel="0" collapsed="false">
      <c r="B16" s="36" t="s">
        <v>83</v>
      </c>
    </row>
    <row r="17" customFormat="false" ht="15" hidden="false" customHeight="false" outlineLevel="0" collapsed="false">
      <c r="B17" s="9" t="s">
        <v>287</v>
      </c>
      <c r="C17" s="39" t="n">
        <f aca="false">①サマリー!C23</f>
        <v>341394592</v>
      </c>
      <c r="D17" s="63" t="n">
        <f aca="false">①サマリー!D23</f>
        <v>0.320257590994371</v>
      </c>
      <c r="E17" s="20" t="s">
        <v>288</v>
      </c>
    </row>
    <row r="18" customFormat="false" ht="15" hidden="false" customHeight="false" outlineLevel="0" collapsed="false">
      <c r="B18" s="9" t="s">
        <v>289</v>
      </c>
      <c r="C18" s="39" t="n">
        <f aca="false">①サマリー!C24</f>
        <v>641394592</v>
      </c>
      <c r="D18" s="63" t="n">
        <f aca="false">①サマリー!D24</f>
        <v>0.60168348217636</v>
      </c>
      <c r="E18" s="20" t="s">
        <v>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5"/>
    <col collapsed="false" customWidth="true" hidden="false" outlineLevel="0" max="15" min="4" style="0" width="13"/>
    <col collapsed="false" customWidth="true" hidden="false" outlineLevel="0" max="16" min="16" style="0" width="16"/>
    <col collapsed="false" customWidth="true" hidden="false" outlineLevel="0" max="17" min="17" style="0" width="52"/>
  </cols>
  <sheetData>
    <row r="1" customFormat="false" ht="19.4" hidden="false" customHeight="false" outlineLevel="0" collapsed="false">
      <c r="B1" s="64" t="s">
        <v>290</v>
      </c>
    </row>
    <row r="2" customFormat="false" ht="15" hidden="false" customHeight="false" outlineLevel="0" collapsed="false">
      <c r="B2" s="18" t="s">
        <v>291</v>
      </c>
    </row>
    <row r="4" customFormat="false" ht="15" hidden="false" customHeight="false" outlineLevel="0" collapsed="false">
      <c r="B4" s="3" t="s">
        <v>292</v>
      </c>
      <c r="C4" s="4"/>
      <c r="D4" s="4"/>
      <c r="E4" s="4"/>
      <c r="F4" s="4"/>
      <c r="G4" s="4"/>
      <c r="H4" s="4"/>
    </row>
    <row r="5" customFormat="false" ht="15" hidden="false" customHeight="false" outlineLevel="0" collapsed="false">
      <c r="B5" s="37" t="s">
        <v>293</v>
      </c>
      <c r="C5" s="45" t="s">
        <v>294</v>
      </c>
      <c r="D5" s="45" t="s">
        <v>295</v>
      </c>
      <c r="E5" s="45" t="s">
        <v>296</v>
      </c>
      <c r="F5" s="45" t="s">
        <v>297</v>
      </c>
      <c r="G5" s="45" t="s">
        <v>298</v>
      </c>
    </row>
    <row r="6" customFormat="false" ht="15" hidden="false" customHeight="false" outlineLevel="0" collapsed="false">
      <c r="B6" s="9" t="s">
        <v>299</v>
      </c>
      <c r="C6" s="65" t="n">
        <v>560</v>
      </c>
      <c r="D6" s="65" t="n">
        <v>470</v>
      </c>
      <c r="E6" s="65" t="n">
        <v>480</v>
      </c>
      <c r="F6" s="65" t="n">
        <v>530</v>
      </c>
      <c r="G6" s="65" t="n">
        <v>620</v>
      </c>
    </row>
    <row r="7" customFormat="false" ht="15" hidden="false" customHeight="false" outlineLevel="0" collapsed="false">
      <c r="B7" s="25" t="s">
        <v>300</v>
      </c>
      <c r="C7" s="66" t="n">
        <f aca="false">G6-E6</f>
        <v>140</v>
      </c>
      <c r="D7" s="20" t="s">
        <v>301</v>
      </c>
      <c r="E7" s="67" t="n">
        <f aca="false">C7/6</f>
        <v>23.3333333333333</v>
      </c>
      <c r="F7" s="18" t="s">
        <v>302</v>
      </c>
    </row>
    <row r="8" customFormat="false" ht="15" hidden="false" customHeight="false" outlineLevel="0" collapsed="false">
      <c r="B8" s="20" t="s">
        <v>303</v>
      </c>
    </row>
    <row r="10" customFormat="false" ht="15" hidden="false" customHeight="false" outlineLevel="0" collapsed="false">
      <c r="B10" s="3" t="s">
        <v>304</v>
      </c>
      <c r="C10" s="4"/>
      <c r="D10" s="4"/>
      <c r="E10" s="4"/>
      <c r="F10" s="4"/>
      <c r="G10" s="4"/>
      <c r="H10" s="4"/>
      <c r="I10" s="4"/>
      <c r="J10" s="4"/>
      <c r="K10" s="4"/>
      <c r="L10" s="4"/>
      <c r="M10" s="4"/>
      <c r="N10" s="4"/>
      <c r="O10" s="4"/>
      <c r="P10" s="4"/>
      <c r="Q10" s="4"/>
    </row>
    <row r="11" customFormat="false" ht="15" hidden="false" customHeight="false" outlineLevel="0" collapsed="false">
      <c r="B11" s="37" t="s">
        <v>22</v>
      </c>
      <c r="C11" s="51" t="s">
        <v>305</v>
      </c>
      <c r="D11" s="45" t="s">
        <v>236</v>
      </c>
      <c r="E11" s="45" t="s">
        <v>237</v>
      </c>
      <c r="F11" s="45" t="s">
        <v>238</v>
      </c>
      <c r="G11" s="45" t="s">
        <v>239</v>
      </c>
      <c r="H11" s="45" t="s">
        <v>240</v>
      </c>
      <c r="I11" s="45" t="s">
        <v>241</v>
      </c>
      <c r="J11" s="45" t="s">
        <v>242</v>
      </c>
      <c r="K11" s="45" t="s">
        <v>243</v>
      </c>
      <c r="L11" s="45" t="s">
        <v>244</v>
      </c>
      <c r="M11" s="45" t="s">
        <v>245</v>
      </c>
      <c r="N11" s="45" t="s">
        <v>246</v>
      </c>
      <c r="O11" s="45" t="s">
        <v>247</v>
      </c>
      <c r="P11" s="51" t="s">
        <v>113</v>
      </c>
    </row>
    <row r="12" customFormat="false" ht="15" hidden="false" customHeight="false" outlineLevel="0" collapsed="false">
      <c r="B12" s="9" t="s">
        <v>306</v>
      </c>
      <c r="C12" s="7" t="n">
        <v>420000000</v>
      </c>
      <c r="Q12" s="53" t="s">
        <v>307</v>
      </c>
    </row>
    <row r="13" customFormat="false" ht="15" hidden="false" customHeight="false" outlineLevel="0" collapsed="false">
      <c r="B13" s="9" t="s">
        <v>308</v>
      </c>
      <c r="C13" s="7" t="n">
        <v>0</v>
      </c>
      <c r="Q13" s="2" t="s">
        <v>309</v>
      </c>
    </row>
    <row r="14" customFormat="false" ht="15" hidden="false" customHeight="false" outlineLevel="0" collapsed="false">
      <c r="B14" s="9" t="s">
        <v>310</v>
      </c>
      <c r="D14" s="7" t="n">
        <v>0</v>
      </c>
      <c r="E14" s="7" t="n">
        <v>0</v>
      </c>
      <c r="F14" s="7" t="n">
        <v>0</v>
      </c>
      <c r="G14" s="7" t="n">
        <v>0</v>
      </c>
      <c r="H14" s="7" t="n">
        <v>0</v>
      </c>
      <c r="I14" s="7" t="n">
        <v>0</v>
      </c>
      <c r="J14" s="7" t="n">
        <v>0</v>
      </c>
      <c r="K14" s="7" t="n">
        <v>0</v>
      </c>
      <c r="L14" s="7" t="n">
        <v>0</v>
      </c>
      <c r="M14" s="7" t="n">
        <v>0</v>
      </c>
      <c r="N14" s="7" t="n">
        <v>0</v>
      </c>
      <c r="O14" s="7" t="n">
        <v>0</v>
      </c>
      <c r="P14" s="10" t="n">
        <f aca="false">SUM(D14:O14)</f>
        <v>0</v>
      </c>
      <c r="Q14" s="20" t="s">
        <v>311</v>
      </c>
    </row>
    <row r="15" customFormat="false" ht="15" hidden="false" customHeight="false" outlineLevel="0" collapsed="false">
      <c r="B15" s="9" t="s">
        <v>312</v>
      </c>
      <c r="D15" s="7" t="n">
        <v>0</v>
      </c>
      <c r="E15" s="7" t="n">
        <v>0</v>
      </c>
      <c r="F15" s="7" t="n">
        <v>0</v>
      </c>
      <c r="G15" s="7" t="n">
        <v>0</v>
      </c>
      <c r="H15" s="7" t="n">
        <v>0</v>
      </c>
      <c r="I15" s="7" t="n">
        <v>0</v>
      </c>
      <c r="J15" s="7" t="n">
        <v>0</v>
      </c>
      <c r="K15" s="7" t="n">
        <v>0</v>
      </c>
      <c r="L15" s="7" t="n">
        <v>0</v>
      </c>
      <c r="M15" s="7" t="n">
        <v>0</v>
      </c>
      <c r="N15" s="7" t="n">
        <v>0</v>
      </c>
      <c r="O15" s="7" t="n">
        <v>0</v>
      </c>
      <c r="P15" s="10" t="n">
        <f aca="false">SUM(D15:O15)</f>
        <v>0</v>
      </c>
      <c r="Q15" s="20" t="s">
        <v>313</v>
      </c>
    </row>
    <row r="16" customFormat="false" ht="15" hidden="false" customHeight="false" outlineLevel="0" collapsed="false">
      <c r="B16" s="9" t="s">
        <v>314</v>
      </c>
      <c r="D16" s="19" t="n">
        <f aca="false">IF(②前提!$C$31=2,②前提!$C$32/12,D18)</f>
        <v>34922201.1666667</v>
      </c>
      <c r="E16" s="19" t="n">
        <f aca="false">IF(②前提!$C$31=2,②前提!$C$32/12,E18)</f>
        <v>34922201.1666667</v>
      </c>
      <c r="F16" s="19" t="n">
        <f aca="false">IF(②前提!$C$31=2,②前提!$C$32/12,F18)</f>
        <v>34922201.1666667</v>
      </c>
      <c r="G16" s="19" t="n">
        <f aca="false">IF(②前提!$C$31=2,②前提!$C$32/12,G18)</f>
        <v>34922201.1666667</v>
      </c>
      <c r="H16" s="19" t="n">
        <f aca="false">IF(②前提!$C$31=2,②前提!$C$32/12,H18)</f>
        <v>34922201.1666667</v>
      </c>
      <c r="I16" s="19" t="n">
        <f aca="false">IF(②前提!$C$31=2,②前提!$C$32/12,I18)</f>
        <v>34922201.1666667</v>
      </c>
      <c r="J16" s="19" t="n">
        <f aca="false">IF(②前提!$C$31=2,②前提!$C$32/12,J18)</f>
        <v>34922201.1666667</v>
      </c>
      <c r="K16" s="19" t="n">
        <f aca="false">IF(②前提!$C$31=2,②前提!$C$32/12,K18)</f>
        <v>34922201.1666667</v>
      </c>
      <c r="L16" s="19" t="n">
        <f aca="false">IF(②前提!$C$31=2,②前提!$C$32/12,L18)</f>
        <v>34922201.1666667</v>
      </c>
      <c r="M16" s="19" t="n">
        <f aca="false">IF(②前提!$C$31=2,②前提!$C$32/12,M18)</f>
        <v>34922201.1666667</v>
      </c>
      <c r="N16" s="19" t="n">
        <f aca="false">IF(②前提!$C$31=2,②前提!$C$32/12,N18)</f>
        <v>34922201.1666667</v>
      </c>
      <c r="O16" s="19" t="n">
        <f aca="false">IF(②前提!$C$31=2,②前提!$C$32/12,O18)</f>
        <v>34922201.1666667</v>
      </c>
      <c r="P16" s="10" t="n">
        <f aca="false">SUM(D16:O16)</f>
        <v>419066414</v>
      </c>
      <c r="Q16" s="20" t="s">
        <v>315</v>
      </c>
    </row>
    <row r="17" customFormat="false" ht="15" hidden="false" customHeight="false" outlineLevel="0" collapsed="false">
      <c r="B17" s="13" t="s">
        <v>316</v>
      </c>
      <c r="D17" s="14" t="n">
        <f aca="false">D16+$C$13+D14+D15</f>
        <v>34922201.1666667</v>
      </c>
      <c r="E17" s="14" t="n">
        <f aca="false">E16+$C$13+E14+E15</f>
        <v>34922201.1666667</v>
      </c>
      <c r="F17" s="14" t="n">
        <f aca="false">F16+$C$13+F14+F15</f>
        <v>34922201.1666667</v>
      </c>
      <c r="G17" s="14" t="n">
        <f aca="false">G16+$C$13+G14+G15</f>
        <v>34922201.1666667</v>
      </c>
      <c r="H17" s="14" t="n">
        <f aca="false">H16+$C$13+H14+H15</f>
        <v>34922201.1666667</v>
      </c>
      <c r="I17" s="14" t="n">
        <f aca="false">I16+$C$13+I14+I15</f>
        <v>34922201.1666667</v>
      </c>
      <c r="J17" s="14" t="n">
        <f aca="false">J16+$C$13+J14+J15</f>
        <v>34922201.1666667</v>
      </c>
      <c r="K17" s="14" t="n">
        <f aca="false">K16+$C$13+K14+K15</f>
        <v>34922201.1666667</v>
      </c>
      <c r="L17" s="14" t="n">
        <f aca="false">L16+$C$13+L14+L15</f>
        <v>34922201.1666667</v>
      </c>
      <c r="M17" s="14" t="n">
        <f aca="false">M16+$C$13+M14+M15</f>
        <v>34922201.1666667</v>
      </c>
      <c r="N17" s="14" t="n">
        <f aca="false">N16+$C$13+N14+N15</f>
        <v>34922201.1666667</v>
      </c>
      <c r="O17" s="14" t="n">
        <f aca="false">O16+$C$13+O14+O15</f>
        <v>34922201.1666667</v>
      </c>
      <c r="P17" s="10" t="n">
        <f aca="false">SUM(D17:O17)</f>
        <v>419066414</v>
      </c>
    </row>
    <row r="18" customFormat="false" ht="15" hidden="false" customHeight="false" outlineLevel="0" collapsed="false">
      <c r="B18" s="9" t="s">
        <v>317</v>
      </c>
      <c r="D18" s="60" t="n">
        <f aca="false">③FY2027月次推移!D9</f>
        <v>35626254.5333333</v>
      </c>
      <c r="E18" s="60" t="n">
        <f aca="false">③FY2027月次推移!E9</f>
        <v>35626254.5333333</v>
      </c>
      <c r="F18" s="60" t="n">
        <f aca="false">③FY2027月次推移!F9</f>
        <v>35626254.5333333</v>
      </c>
      <c r="G18" s="60" t="n">
        <f aca="false">③FY2027月次推移!G9</f>
        <v>35626254.5333333</v>
      </c>
      <c r="H18" s="60" t="n">
        <f aca="false">③FY2027月次推移!H9</f>
        <v>35626254.5333333</v>
      </c>
      <c r="I18" s="60" t="n">
        <f aca="false">③FY2027月次推移!I9</f>
        <v>35626254.5333333</v>
      </c>
      <c r="J18" s="60" t="n">
        <f aca="false">③FY2027月次推移!J9</f>
        <v>35626254.5333333</v>
      </c>
      <c r="K18" s="60" t="n">
        <f aca="false">③FY2027月次推移!K9</f>
        <v>35626254.5333333</v>
      </c>
      <c r="L18" s="60" t="n">
        <f aca="false">③FY2027月次推移!L9</f>
        <v>35626254.5333333</v>
      </c>
      <c r="M18" s="60" t="n">
        <f aca="false">③FY2027月次推移!M9</f>
        <v>35626254.5333333</v>
      </c>
      <c r="N18" s="60" t="n">
        <f aca="false">③FY2027月次推移!N9</f>
        <v>35626254.5333333</v>
      </c>
      <c r="O18" s="60" t="n">
        <f aca="false">③FY2027月次推移!O9</f>
        <v>35626254.5333333</v>
      </c>
      <c r="P18" s="10" t="n">
        <f aca="false">SUM(D18:O18)</f>
        <v>427515054.4</v>
      </c>
    </row>
    <row r="19" customFormat="false" ht="15" hidden="false" customHeight="false" outlineLevel="0" collapsed="false">
      <c r="B19" s="13" t="s">
        <v>318</v>
      </c>
      <c r="D19" s="68" t="n">
        <f aca="false">$C$12+D17-D18</f>
        <v>419295946.633333</v>
      </c>
      <c r="E19" s="68" t="n">
        <f aca="false">D19+E17-E18</f>
        <v>418591893.266667</v>
      </c>
      <c r="F19" s="68" t="n">
        <f aca="false">E19+F17-F18</f>
        <v>417887839.9</v>
      </c>
      <c r="G19" s="68" t="n">
        <f aca="false">F19+G17-G18</f>
        <v>417183786.533333</v>
      </c>
      <c r="H19" s="68" t="n">
        <f aca="false">G19+H17-H18</f>
        <v>416479733.166667</v>
      </c>
      <c r="I19" s="68" t="n">
        <f aca="false">H19+I17-I18</f>
        <v>415775679.8</v>
      </c>
      <c r="J19" s="68" t="n">
        <f aca="false">I19+J17-J18</f>
        <v>415071626.433333</v>
      </c>
      <c r="K19" s="68" t="n">
        <f aca="false">J19+K17-K18</f>
        <v>414367573.066667</v>
      </c>
      <c r="L19" s="68" t="n">
        <f aca="false">K19+L17-L18</f>
        <v>413663519.7</v>
      </c>
      <c r="M19" s="68" t="n">
        <f aca="false">L19+M17-M18</f>
        <v>412959466.333333</v>
      </c>
      <c r="N19" s="68" t="n">
        <f aca="false">M19+N17-N18</f>
        <v>412255412.966667</v>
      </c>
      <c r="O19" s="68" t="n">
        <f aca="false">N19+O17-O18</f>
        <v>411551359.6</v>
      </c>
      <c r="P19" s="69" t="n">
        <f aca="false">O19</f>
        <v>411551359.6</v>
      </c>
    </row>
    <row r="21" customFormat="false" ht="15" hidden="false" customHeight="false" outlineLevel="0" collapsed="false">
      <c r="B21" s="18" t="s">
        <v>319</v>
      </c>
    </row>
    <row r="22" customFormat="false" ht="15" hidden="false" customHeight="false" outlineLevel="0" collapsed="false">
      <c r="B22" s="18" t="s">
        <v>320</v>
      </c>
    </row>
    <row r="23" customFormat="false" ht="15" hidden="false" customHeight="false" outlineLevel="0" collapsed="false">
      <c r="B23" s="53" t="s">
        <v>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2" topLeftCell="D13" activePane="bottomRight" state="frozen"/>
      <selection pane="topLeft" activeCell="A1" activeCellId="0" sqref="A1"/>
      <selection pane="topRight" activeCell="D1" activeCellId="0" sqref="D1"/>
      <selection pane="bottomLeft" activeCell="A13" activeCellId="0" sqref="A13"/>
      <selection pane="bottomRigh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4"/>
    <col collapsed="false" customWidth="true" hidden="false" outlineLevel="0" max="15" min="4" style="0" width="12.5"/>
    <col collapsed="false" customWidth="true" hidden="false" outlineLevel="0" max="16" min="16" style="0" width="15"/>
    <col collapsed="false" customWidth="true" hidden="false" outlineLevel="0" max="17" min="17" style="0" width="46"/>
  </cols>
  <sheetData>
    <row r="1" customFormat="false" ht="19.4" hidden="false" customHeight="false" outlineLevel="0" collapsed="false">
      <c r="B1" s="50" t="s">
        <v>322</v>
      </c>
    </row>
    <row r="2" customFormat="false" ht="15" hidden="false" customHeight="false" outlineLevel="0" collapsed="false">
      <c r="B2" s="20" t="s">
        <v>323</v>
      </c>
    </row>
    <row r="4" customFormat="false" ht="15" hidden="false" customHeight="false" outlineLevel="0" collapsed="false">
      <c r="B4" s="3" t="s">
        <v>324</v>
      </c>
      <c r="C4" s="4"/>
      <c r="D4" s="4"/>
      <c r="E4" s="4"/>
      <c r="F4" s="4"/>
      <c r="G4" s="4"/>
      <c r="H4" s="4"/>
      <c r="I4" s="4"/>
      <c r="J4" s="4"/>
      <c r="K4" s="4"/>
      <c r="L4" s="4"/>
      <c r="M4" s="4"/>
      <c r="N4" s="4"/>
      <c r="O4" s="4"/>
      <c r="P4" s="4"/>
      <c r="Q4" s="4"/>
    </row>
    <row r="5" customFormat="false" ht="15" hidden="false" customHeight="false" outlineLevel="0" collapsed="false">
      <c r="B5" s="9" t="s">
        <v>325</v>
      </c>
      <c r="C5" s="7" t="n">
        <v>30000000</v>
      </c>
      <c r="D5" s="53" t="s">
        <v>326</v>
      </c>
    </row>
    <row r="6" customFormat="false" ht="15" hidden="false" customHeight="false" outlineLevel="0" collapsed="false">
      <c r="B6" s="9" t="s">
        <v>195</v>
      </c>
      <c r="C6" s="70" t="n">
        <f aca="false">②前提!$C$36</f>
        <v>0.1</v>
      </c>
      <c r="D6" s="20" t="s">
        <v>327</v>
      </c>
    </row>
    <row r="7" customFormat="false" ht="15" hidden="false" customHeight="false" outlineLevel="0" collapsed="false">
      <c r="B7" s="9" t="s">
        <v>328</v>
      </c>
      <c r="C7" s="71" t="n">
        <v>1</v>
      </c>
      <c r="D7" s="20" t="s">
        <v>329</v>
      </c>
    </row>
    <row r="8" customFormat="false" ht="15" hidden="false" customHeight="false" outlineLevel="0" collapsed="false">
      <c r="B8" s="9" t="s">
        <v>330</v>
      </c>
      <c r="C8" s="71" t="n">
        <v>1</v>
      </c>
      <c r="D8" s="20" t="s">
        <v>331</v>
      </c>
    </row>
    <row r="9" customFormat="false" ht="15" hidden="false" customHeight="false" outlineLevel="0" collapsed="false">
      <c r="B9" s="9" t="s">
        <v>332</v>
      </c>
      <c r="C9" s="7" t="n">
        <v>2662179</v>
      </c>
      <c r="D9" s="18" t="s">
        <v>333</v>
      </c>
    </row>
    <row r="10" customFormat="false" ht="15" hidden="false" customHeight="false" outlineLevel="0" collapsed="false">
      <c r="B10" s="9" t="s">
        <v>334</v>
      </c>
      <c r="C10" s="47" t="n">
        <v>0</v>
      </c>
      <c r="D10" s="20" t="s">
        <v>335</v>
      </c>
    </row>
    <row r="12" customFormat="false" ht="15" hidden="false" customHeight="false" outlineLevel="0" collapsed="false">
      <c r="B12" s="37" t="s">
        <v>22</v>
      </c>
      <c r="C12" s="51" t="s">
        <v>305</v>
      </c>
      <c r="D12" s="45" t="s">
        <v>236</v>
      </c>
      <c r="E12" s="45" t="s">
        <v>237</v>
      </c>
      <c r="F12" s="45" t="s">
        <v>238</v>
      </c>
      <c r="G12" s="45" t="s">
        <v>239</v>
      </c>
      <c r="H12" s="45" t="s">
        <v>240</v>
      </c>
      <c r="I12" s="45" t="s">
        <v>241</v>
      </c>
      <c r="J12" s="45" t="s">
        <v>242</v>
      </c>
      <c r="K12" s="45" t="s">
        <v>243</v>
      </c>
      <c r="L12" s="45" t="s">
        <v>244</v>
      </c>
      <c r="M12" s="45" t="s">
        <v>245</v>
      </c>
      <c r="N12" s="45" t="s">
        <v>246</v>
      </c>
      <c r="O12" s="45" t="s">
        <v>247</v>
      </c>
      <c r="P12" s="51" t="s">
        <v>113</v>
      </c>
    </row>
    <row r="13" customFormat="false" ht="15" hidden="false" customHeight="false" outlineLevel="0" collapsed="false">
      <c r="B13" s="49" t="s">
        <v>336</v>
      </c>
      <c r="C13" s="58"/>
      <c r="D13" s="58"/>
      <c r="E13" s="58"/>
      <c r="F13" s="58"/>
      <c r="G13" s="58"/>
      <c r="H13" s="58"/>
      <c r="I13" s="58"/>
      <c r="J13" s="58"/>
      <c r="K13" s="58"/>
      <c r="L13" s="58"/>
      <c r="M13" s="58"/>
      <c r="N13" s="58"/>
      <c r="O13" s="58"/>
      <c r="P13" s="58"/>
    </row>
    <row r="14" customFormat="false" ht="15" hidden="false" customHeight="false" outlineLevel="0" collapsed="false">
      <c r="B14" s="72" t="s">
        <v>337</v>
      </c>
      <c r="D14" s="60" t="n">
        <f aca="false">③FY2027月次推移!D8*(1+$C$6)</f>
        <v>66965741.3333333</v>
      </c>
      <c r="E14" s="60" t="n">
        <f aca="false">③FY2027月次推移!E8*(1+$C$6)</f>
        <v>66965741.3333333</v>
      </c>
      <c r="F14" s="60" t="n">
        <f aca="false">③FY2027月次推移!F8*(1+$C$6)</f>
        <v>66965741.3333333</v>
      </c>
      <c r="G14" s="60" t="n">
        <f aca="false">③FY2027月次推移!G8*(1+$C$6)</f>
        <v>66965741.3333333</v>
      </c>
      <c r="H14" s="60" t="n">
        <f aca="false">③FY2027月次推移!H8*(1+$C$6)</f>
        <v>66965741.3333333</v>
      </c>
      <c r="I14" s="60" t="n">
        <f aca="false">③FY2027月次推移!I8*(1+$C$6)</f>
        <v>66965741.3333333</v>
      </c>
      <c r="J14" s="60" t="n">
        <f aca="false">③FY2027月次推移!J8*(1+$C$6)</f>
        <v>66965741.3333333</v>
      </c>
      <c r="K14" s="60" t="n">
        <f aca="false">③FY2027月次推移!K8*(1+$C$6)</f>
        <v>66965741.3333333</v>
      </c>
      <c r="L14" s="60" t="n">
        <f aca="false">③FY2027月次推移!L8*(1+$C$6)</f>
        <v>66965741.3333333</v>
      </c>
      <c r="M14" s="60" t="n">
        <f aca="false">③FY2027月次推移!M8*(1+$C$6)</f>
        <v>66965741.3333333</v>
      </c>
      <c r="N14" s="60" t="n">
        <f aca="false">③FY2027月次推移!N8*(1+$C$6)</f>
        <v>66965741.3333333</v>
      </c>
      <c r="O14" s="60" t="n">
        <f aca="false">③FY2027月次推移!O8*(1+$C$6)</f>
        <v>66965741.3333333</v>
      </c>
      <c r="P14" s="10" t="n">
        <f aca="false">SUM(D14:O14)</f>
        <v>803588896</v>
      </c>
    </row>
    <row r="15" customFormat="false" ht="15" hidden="false" customHeight="false" outlineLevel="0" collapsed="false">
      <c r="B15" s="72" t="s">
        <v>338</v>
      </c>
      <c r="D15" s="60" t="n">
        <f aca="false">SUM(③FY2027月次推移!D12:D14)*(1+$C$6)</f>
        <v>7562500</v>
      </c>
      <c r="E15" s="60" t="n">
        <f aca="false">SUM(③FY2027月次推移!E12:E14)*(1+$C$6)</f>
        <v>7562500</v>
      </c>
      <c r="F15" s="60" t="n">
        <f aca="false">SUM(③FY2027月次推移!F12:F14)*(1+$C$6)</f>
        <v>7562500</v>
      </c>
      <c r="G15" s="60" t="n">
        <f aca="false">SUM(③FY2027月次推移!G12:G14)*(1+$C$6)</f>
        <v>7562500</v>
      </c>
      <c r="H15" s="60" t="n">
        <f aca="false">SUM(③FY2027月次推移!H12:H14)*(1+$C$6)</f>
        <v>7562500</v>
      </c>
      <c r="I15" s="60" t="n">
        <f aca="false">SUM(③FY2027月次推移!I12:I14)*(1+$C$6)</f>
        <v>7562500</v>
      </c>
      <c r="J15" s="60" t="n">
        <f aca="false">SUM(③FY2027月次推移!J12:J14)*(1+$C$6)</f>
        <v>7562500</v>
      </c>
      <c r="K15" s="60" t="n">
        <f aca="false">SUM(③FY2027月次推移!K12:K14)*(1+$C$6)</f>
        <v>7562500</v>
      </c>
      <c r="L15" s="60" t="n">
        <f aca="false">SUM(③FY2027月次推移!L12:L14)*(1+$C$6)</f>
        <v>7562500</v>
      </c>
      <c r="M15" s="60" t="n">
        <f aca="false">SUM(③FY2027月次推移!M12:M14)*(1+$C$6)</f>
        <v>7562500</v>
      </c>
      <c r="N15" s="60" t="n">
        <f aca="false">SUM(③FY2027月次推移!N12:N14)*(1+$C$6)</f>
        <v>7562500</v>
      </c>
      <c r="O15" s="60" t="n">
        <f aca="false">SUM(③FY2027月次推移!O12:O14)*(1+$C$6)</f>
        <v>7562500</v>
      </c>
      <c r="P15" s="10" t="n">
        <f aca="false">SUM(D15:O15)</f>
        <v>90750000</v>
      </c>
    </row>
    <row r="16" customFormat="false" ht="15" hidden="false" customHeight="false" outlineLevel="0" collapsed="false">
      <c r="B16" s="73" t="s">
        <v>339</v>
      </c>
      <c r="D16" s="60" t="n">
        <f aca="false">③FY2027月次推移!D15*(1+$C$6)</f>
        <v>0</v>
      </c>
      <c r="E16" s="60" t="n">
        <f aca="false">③FY2027月次推移!E15*(1+$C$6)</f>
        <v>0</v>
      </c>
      <c r="F16" s="60" t="n">
        <f aca="false">③FY2027月次推移!F15*(1+$C$6)</f>
        <v>0</v>
      </c>
      <c r="G16" s="60" t="n">
        <f aca="false">③FY2027月次推移!G15*(1+$C$6)</f>
        <v>0</v>
      </c>
      <c r="H16" s="60" t="n">
        <f aca="false">③FY2027月次推移!H15*(1+$C$6)</f>
        <v>0</v>
      </c>
      <c r="I16" s="60" t="n">
        <f aca="false">③FY2027月次推移!I15*(1+$C$6)</f>
        <v>0</v>
      </c>
      <c r="J16" s="60" t="n">
        <f aca="false">③FY2027月次推移!J15*(1+$C$6)</f>
        <v>0</v>
      </c>
      <c r="K16" s="60" t="n">
        <f aca="false">③FY2027月次推移!K15*(1+$C$6)</f>
        <v>0</v>
      </c>
      <c r="L16" s="60" t="n">
        <f aca="false">③FY2027月次推移!L15*(1+$C$6)</f>
        <v>0</v>
      </c>
      <c r="M16" s="60" t="n">
        <f aca="false">③FY2027月次推移!M15*(1+$C$6)</f>
        <v>0</v>
      </c>
      <c r="N16" s="60" t="n">
        <f aca="false">③FY2027月次推移!N15*(1+$C$6)</f>
        <v>0</v>
      </c>
      <c r="O16" s="60" t="n">
        <f aca="false">③FY2027月次推移!O15*(1+$C$6)</f>
        <v>0</v>
      </c>
      <c r="P16" s="10" t="n">
        <f aca="false">SUM(D16:O16)</f>
        <v>0</v>
      </c>
    </row>
    <row r="17" customFormat="false" ht="15" hidden="false" customHeight="false" outlineLevel="0" collapsed="false">
      <c r="B17" s="9" t="s">
        <v>340</v>
      </c>
      <c r="D17" s="7" t="n">
        <v>0</v>
      </c>
      <c r="E17" s="7" t="n">
        <v>0</v>
      </c>
      <c r="F17" s="7" t="n">
        <v>0</v>
      </c>
      <c r="G17" s="7" t="n">
        <v>0</v>
      </c>
      <c r="H17" s="7" t="n">
        <v>0</v>
      </c>
      <c r="I17" s="7" t="n">
        <v>0</v>
      </c>
      <c r="J17" s="7" t="n">
        <v>0</v>
      </c>
      <c r="K17" s="7" t="n">
        <v>0</v>
      </c>
      <c r="L17" s="7" t="n">
        <v>0</v>
      </c>
      <c r="M17" s="7" t="n">
        <v>0</v>
      </c>
      <c r="N17" s="7" t="n">
        <v>0</v>
      </c>
      <c r="O17" s="7" t="n">
        <v>0</v>
      </c>
      <c r="P17" s="10" t="n">
        <f aca="false">SUM(D17:O17)</f>
        <v>0</v>
      </c>
      <c r="Q17" s="53" t="s">
        <v>341</v>
      </c>
    </row>
    <row r="18" customFormat="false" ht="15" hidden="false" customHeight="false" outlineLevel="0" collapsed="false">
      <c r="B18" s="72" t="s">
        <v>342</v>
      </c>
      <c r="D18" s="60" t="n">
        <f aca="false">③FY2027月次推移!D16*(1+$C$6)</f>
        <v>0</v>
      </c>
      <c r="E18" s="60" t="n">
        <f aca="false">③FY2027月次推移!E16*(1+$C$6)</f>
        <v>0</v>
      </c>
      <c r="F18" s="60" t="n">
        <f aca="false">③FY2027月次推移!F16*(1+$C$6)</f>
        <v>0</v>
      </c>
      <c r="G18" s="60" t="n">
        <f aca="false">③FY2027月次推移!G16*(1+$C$6)</f>
        <v>0</v>
      </c>
      <c r="H18" s="60" t="n">
        <f aca="false">③FY2027月次推移!H16*(1+$C$6)</f>
        <v>0</v>
      </c>
      <c r="I18" s="60" t="n">
        <f aca="false">③FY2027月次推移!I16*(1+$C$6)</f>
        <v>11000000</v>
      </c>
      <c r="J18" s="60" t="n">
        <f aca="false">③FY2027月次推移!J16*(1+$C$6)</f>
        <v>0</v>
      </c>
      <c r="K18" s="60" t="n">
        <f aca="false">③FY2027月次推移!K16*(1+$C$6)</f>
        <v>0</v>
      </c>
      <c r="L18" s="60" t="n">
        <f aca="false">③FY2027月次推移!L16*(1+$C$6)</f>
        <v>0</v>
      </c>
      <c r="M18" s="60" t="n">
        <f aca="false">③FY2027月次推移!M16*(1+$C$6)</f>
        <v>0</v>
      </c>
      <c r="N18" s="60" t="n">
        <f aca="false">③FY2027月次推移!N16*(1+$C$6)</f>
        <v>0</v>
      </c>
      <c r="O18" s="60" t="n">
        <f aca="false">③FY2027月次推移!O16*(1+$C$6)</f>
        <v>11000000</v>
      </c>
      <c r="P18" s="10" t="n">
        <f aca="false">SUM(D18:O18)</f>
        <v>22000000</v>
      </c>
      <c r="Q18" s="20" t="s">
        <v>343</v>
      </c>
    </row>
    <row r="19" customFormat="false" ht="15" hidden="false" customHeight="false" outlineLevel="0" collapsed="false">
      <c r="B19" s="32" t="s">
        <v>344</v>
      </c>
      <c r="D19" s="14" t="n">
        <f aca="false">SUM(D14:D18)</f>
        <v>74528241.3333333</v>
      </c>
      <c r="E19" s="14" t="n">
        <f aca="false">SUM(E14:E18)</f>
        <v>74528241.3333333</v>
      </c>
      <c r="F19" s="14" t="n">
        <f aca="false">SUM(F14:F18)</f>
        <v>74528241.3333333</v>
      </c>
      <c r="G19" s="14" t="n">
        <f aca="false">SUM(G14:G18)</f>
        <v>74528241.3333333</v>
      </c>
      <c r="H19" s="14" t="n">
        <f aca="false">SUM(H14:H18)</f>
        <v>74528241.3333333</v>
      </c>
      <c r="I19" s="14" t="n">
        <f aca="false">SUM(I14:I18)</f>
        <v>85528241.3333333</v>
      </c>
      <c r="J19" s="14" t="n">
        <f aca="false">SUM(J14:J18)</f>
        <v>74528241.3333333</v>
      </c>
      <c r="K19" s="14" t="n">
        <f aca="false">SUM(K14:K18)</f>
        <v>74528241.3333333</v>
      </c>
      <c r="L19" s="14" t="n">
        <f aca="false">SUM(L14:L18)</f>
        <v>74528241.3333333</v>
      </c>
      <c r="M19" s="14" t="n">
        <f aca="false">SUM(M14:M18)</f>
        <v>74528241.3333333</v>
      </c>
      <c r="N19" s="14" t="n">
        <f aca="false">SUM(N14:N18)</f>
        <v>74528241.3333333</v>
      </c>
      <c r="O19" s="14" t="n">
        <f aca="false">SUM(O14:O18)</f>
        <v>85528241.3333333</v>
      </c>
      <c r="P19" s="14" t="n">
        <f aca="false">SUM(D19:O19)</f>
        <v>916338896</v>
      </c>
    </row>
    <row r="21" customFormat="false" ht="15" hidden="false" customHeight="false" outlineLevel="0" collapsed="false">
      <c r="B21" s="49" t="s">
        <v>345</v>
      </c>
      <c r="C21" s="58"/>
      <c r="D21" s="58"/>
      <c r="E21" s="58"/>
      <c r="F21" s="58"/>
      <c r="G21" s="58"/>
      <c r="H21" s="58"/>
      <c r="I21" s="58"/>
      <c r="J21" s="58"/>
      <c r="K21" s="58"/>
      <c r="L21" s="58"/>
      <c r="M21" s="58"/>
      <c r="N21" s="58"/>
      <c r="O21" s="58"/>
      <c r="P21" s="58"/>
    </row>
    <row r="22" customFormat="false" ht="15" hidden="false" customHeight="false" outlineLevel="0" collapsed="false">
      <c r="B22" s="72" t="s">
        <v>346</v>
      </c>
      <c r="D22" s="60" t="n">
        <f aca="false">⑥ワイン仕入・在庫計画!D17*(1+$C$6)</f>
        <v>38414421.2833333</v>
      </c>
      <c r="E22" s="60" t="n">
        <f aca="false">⑥ワイン仕入・在庫計画!D17*(1+$C$6)</f>
        <v>38414421.2833333</v>
      </c>
      <c r="F22" s="60" t="n">
        <f aca="false">⑥ワイン仕入・在庫計画!E17*(1+$C$6)</f>
        <v>38414421.2833333</v>
      </c>
      <c r="G22" s="60" t="n">
        <f aca="false">⑥ワイン仕入・在庫計画!F17*(1+$C$6)</f>
        <v>38414421.2833333</v>
      </c>
      <c r="H22" s="60" t="n">
        <f aca="false">⑥ワイン仕入・在庫計画!G17*(1+$C$6)</f>
        <v>38414421.2833333</v>
      </c>
      <c r="I22" s="60" t="n">
        <f aca="false">⑥ワイン仕入・在庫計画!H17*(1+$C$6)</f>
        <v>38414421.2833333</v>
      </c>
      <c r="J22" s="60" t="n">
        <f aca="false">⑥ワイン仕入・在庫計画!I17*(1+$C$6)</f>
        <v>38414421.2833333</v>
      </c>
      <c r="K22" s="60" t="n">
        <f aca="false">⑥ワイン仕入・在庫計画!J17*(1+$C$6)</f>
        <v>38414421.2833333</v>
      </c>
      <c r="L22" s="60" t="n">
        <f aca="false">⑥ワイン仕入・在庫計画!K17*(1+$C$6)</f>
        <v>38414421.2833333</v>
      </c>
      <c r="M22" s="60" t="n">
        <f aca="false">⑥ワイン仕入・在庫計画!L17*(1+$C$6)</f>
        <v>38414421.2833333</v>
      </c>
      <c r="N22" s="60" t="n">
        <f aca="false">⑥ワイン仕入・在庫計画!M17*(1+$C$6)</f>
        <v>38414421.2833333</v>
      </c>
      <c r="O22" s="60" t="n">
        <f aca="false">⑥ワイン仕入・在庫計画!N17*(1+$C$6)</f>
        <v>38414421.2833333</v>
      </c>
      <c r="P22" s="10" t="n">
        <f aca="false">SUM(D22:O22)</f>
        <v>460973055.4</v>
      </c>
    </row>
    <row r="23" customFormat="false" ht="15" hidden="false" customHeight="false" outlineLevel="0" collapsed="false">
      <c r="B23" s="72" t="s">
        <v>347</v>
      </c>
      <c r="D23" s="60" t="n">
        <f aca="false">AVERAGE(④FY2026月次実績!I11:K11)+AVERAGE(④FY2026月次実績!I12:K12)+AVERAGE(④FY2026月次実績!I13:K13)+AVERAGE(④FY2026月次実績!I14:K14)</f>
        <v>6089866.33333333</v>
      </c>
      <c r="E23" s="60" t="n">
        <f aca="false">AVERAGE(④FY2026月次実績!I11:K11)+AVERAGE(④FY2026月次実績!I12:K12)+AVERAGE(④FY2026月次実績!I13:K13)+AVERAGE(④FY2026月次実績!I14:K14)</f>
        <v>6089866.33333333</v>
      </c>
      <c r="F23" s="60" t="n">
        <f aca="false">AVERAGE(④FY2026月次実績!I11:K11)+AVERAGE(④FY2026月次実績!I12:K12)+AVERAGE(④FY2026月次実績!I13:K13)+AVERAGE(④FY2026月次実績!I14:K14)</f>
        <v>6089866.33333333</v>
      </c>
      <c r="G23" s="60" t="n">
        <f aca="false">AVERAGE(④FY2026月次実績!I11:K11)+AVERAGE(④FY2026月次実績!I12:K12)+AVERAGE(④FY2026月次実績!I13:K13)+AVERAGE(④FY2026月次実績!I14:K14)</f>
        <v>6089866.33333333</v>
      </c>
      <c r="H23" s="60" t="n">
        <f aca="false">AVERAGE(④FY2026月次実績!I11:K11)+AVERAGE(④FY2026月次実績!I12:K12)+AVERAGE(④FY2026月次実績!I13:K13)+AVERAGE(④FY2026月次実績!I14:K14)</f>
        <v>6089866.33333333</v>
      </c>
      <c r="I23" s="60" t="n">
        <f aca="false">AVERAGE(④FY2026月次実績!I11:K11)+AVERAGE(④FY2026月次実績!I12:K12)+AVERAGE(④FY2026月次実績!I13:K13)+AVERAGE(④FY2026月次実績!I14:K14)</f>
        <v>6089866.33333333</v>
      </c>
      <c r="J23" s="60" t="n">
        <f aca="false">AVERAGE(④FY2026月次実績!I11:K11)+AVERAGE(④FY2026月次実績!I12:K12)+AVERAGE(④FY2026月次実績!I13:K13)+AVERAGE(④FY2026月次実績!I14:K14)</f>
        <v>6089866.33333333</v>
      </c>
      <c r="K23" s="60" t="n">
        <f aca="false">AVERAGE(④FY2026月次実績!I11:K11)+AVERAGE(④FY2026月次実績!I12:K12)+AVERAGE(④FY2026月次実績!I13:K13)+AVERAGE(④FY2026月次実績!I14:K14)</f>
        <v>6089866.33333333</v>
      </c>
      <c r="L23" s="60" t="n">
        <f aca="false">AVERAGE(④FY2026月次実績!I11:K11)+AVERAGE(④FY2026月次実績!I12:K12)+AVERAGE(④FY2026月次実績!I13:K13)+AVERAGE(④FY2026月次実績!I14:K14)</f>
        <v>6089866.33333333</v>
      </c>
      <c r="M23" s="60" t="n">
        <f aca="false">AVERAGE(④FY2026月次実績!I11:K11)+AVERAGE(④FY2026月次実績!I12:K12)+AVERAGE(④FY2026月次実績!I13:K13)+AVERAGE(④FY2026月次実績!I14:K14)</f>
        <v>6089866.33333333</v>
      </c>
      <c r="N23" s="60" t="n">
        <f aca="false">AVERAGE(④FY2026月次実績!I11:K11)+AVERAGE(④FY2026月次実績!I12:K12)+AVERAGE(④FY2026月次実績!I13:K13)+AVERAGE(④FY2026月次実績!I14:K14)</f>
        <v>6089866.33333333</v>
      </c>
      <c r="O23" s="60" t="n">
        <f aca="false">AVERAGE(④FY2026月次実績!I11:K11)+AVERAGE(④FY2026月次実績!I12:K12)+AVERAGE(④FY2026月次実績!I13:K13)+AVERAGE(④FY2026月次実績!I14:K14)</f>
        <v>6089866.33333333</v>
      </c>
      <c r="P23" s="10" t="n">
        <f aca="false">SUM(D23:O23)</f>
        <v>73078396</v>
      </c>
    </row>
    <row r="24" customFormat="false" ht="15" hidden="false" customHeight="false" outlineLevel="0" collapsed="false">
      <c r="B24" s="72" t="s">
        <v>348</v>
      </c>
      <c r="D24" s="60" t="n">
        <f aca="false">((③FY2027月次推移!D43-AVERAGE(④FY2026月次実績!I32:K32)-(AVERAGE(④FY2026月次実績!I11:K11)+AVERAGE(④FY2026月次実績!I12:K12)+AVERAGE(④FY2026月次実績!I13:K13)+AVERAGE(④FY2026月次実績!I14:K14))-(AVERAGE(④FY2026月次実績!I30:K30)+AVERAGE(④FY2026月次実績!I22:K22)))*(1+$C$6))+(AVERAGE(④FY2026月次実績!I30:K30)+AVERAGE(④FY2026月次実績!I22:K22))</f>
        <v>16762493.2333333</v>
      </c>
      <c r="E24" s="60" t="n">
        <f aca="false">((③FY2027月次推移!E43-AVERAGE(④FY2026月次実績!I32:K32)-(AVERAGE(④FY2026月次実績!I11:K11)+AVERAGE(④FY2026月次実績!I12:K12)+AVERAGE(④FY2026月次実績!I13:K13)+AVERAGE(④FY2026月次実績!I14:K14))-(AVERAGE(④FY2026月次実績!I30:K30)+AVERAGE(④FY2026月次実績!I22:K22)))*(1+$C$6))+(AVERAGE(④FY2026月次実績!I30:K30)+AVERAGE(④FY2026月次実績!I22:K22))</f>
        <v>16762493.2333333</v>
      </c>
      <c r="F24" s="60" t="n">
        <f aca="false">((③FY2027月次推移!F43-AVERAGE(④FY2026月次実績!I32:K32)-(AVERAGE(④FY2026月次実績!I11:K11)+AVERAGE(④FY2026月次実績!I12:K12)+AVERAGE(④FY2026月次実績!I13:K13)+AVERAGE(④FY2026月次実績!I14:K14))-(AVERAGE(④FY2026月次実績!I30:K30)+AVERAGE(④FY2026月次実績!I22:K22)))*(1+$C$6))+(AVERAGE(④FY2026月次実績!I30:K30)+AVERAGE(④FY2026月次実績!I22:K22))</f>
        <v>16762493.2333333</v>
      </c>
      <c r="G24" s="60" t="n">
        <f aca="false">((③FY2027月次推移!G43-AVERAGE(④FY2026月次実績!I32:K32)-(AVERAGE(④FY2026月次実績!I11:K11)+AVERAGE(④FY2026月次実績!I12:K12)+AVERAGE(④FY2026月次実績!I13:K13)+AVERAGE(④FY2026月次実績!I14:K14))-(AVERAGE(④FY2026月次実績!I30:K30)+AVERAGE(④FY2026月次実績!I22:K22)))*(1+$C$6))+(AVERAGE(④FY2026月次実績!I30:K30)+AVERAGE(④FY2026月次実績!I22:K22))</f>
        <v>16762493.2333333</v>
      </c>
      <c r="H24" s="60" t="n">
        <f aca="false">((③FY2027月次推移!H43-AVERAGE(④FY2026月次実績!I32:K32)-(AVERAGE(④FY2026月次実績!I11:K11)+AVERAGE(④FY2026月次実績!I12:K12)+AVERAGE(④FY2026月次実績!I13:K13)+AVERAGE(④FY2026月次実績!I14:K14))-(AVERAGE(④FY2026月次実績!I30:K30)+AVERAGE(④FY2026月次実績!I22:K22)))*(1+$C$6))+(AVERAGE(④FY2026月次実績!I30:K30)+AVERAGE(④FY2026月次実績!I22:K22))</f>
        <v>16762493.2333333</v>
      </c>
      <c r="I24" s="60" t="n">
        <f aca="false">((③FY2027月次推移!I43-AVERAGE(④FY2026月次実績!I32:K32)-(AVERAGE(④FY2026月次実績!I11:K11)+AVERAGE(④FY2026月次実績!I12:K12)+AVERAGE(④FY2026月次実績!I13:K13)+AVERAGE(④FY2026月次実績!I14:K14))-(AVERAGE(④FY2026月次実績!I30:K30)+AVERAGE(④FY2026月次実績!I22:K22)))*(1+$C$6))+(AVERAGE(④FY2026月次実績!I30:K30)+AVERAGE(④FY2026月次実績!I22:K22))</f>
        <v>16762493.2333333</v>
      </c>
      <c r="J24" s="60" t="n">
        <f aca="false">((③FY2027月次推移!J43-AVERAGE(④FY2026月次実績!I32:K32)-(AVERAGE(④FY2026月次実績!I11:K11)+AVERAGE(④FY2026月次実績!I12:K12)+AVERAGE(④FY2026月次実績!I13:K13)+AVERAGE(④FY2026月次実績!I14:K14))-(AVERAGE(④FY2026月次実績!I30:K30)+AVERAGE(④FY2026月次実績!I22:K22)))*(1+$C$6))+(AVERAGE(④FY2026月次実績!I30:K30)+AVERAGE(④FY2026月次実績!I22:K22))</f>
        <v>16762493.2333333</v>
      </c>
      <c r="K24" s="60" t="n">
        <f aca="false">((③FY2027月次推移!K43-AVERAGE(④FY2026月次実績!I32:K32)-(AVERAGE(④FY2026月次実績!I11:K11)+AVERAGE(④FY2026月次実績!I12:K12)+AVERAGE(④FY2026月次実績!I13:K13)+AVERAGE(④FY2026月次実績!I14:K14))-(AVERAGE(④FY2026月次実績!I30:K30)+AVERAGE(④FY2026月次実績!I22:K22)))*(1+$C$6))+(AVERAGE(④FY2026月次実績!I30:K30)+AVERAGE(④FY2026月次実績!I22:K22))</f>
        <v>16762493.2333333</v>
      </c>
      <c r="L24" s="60" t="n">
        <f aca="false">((③FY2027月次推移!L43-AVERAGE(④FY2026月次実績!I32:K32)-(AVERAGE(④FY2026月次実績!I11:K11)+AVERAGE(④FY2026月次実績!I12:K12)+AVERAGE(④FY2026月次実績!I13:K13)+AVERAGE(④FY2026月次実績!I14:K14))-(AVERAGE(④FY2026月次実績!I30:K30)+AVERAGE(④FY2026月次実績!I22:K22)))*(1+$C$6))+(AVERAGE(④FY2026月次実績!I30:K30)+AVERAGE(④FY2026月次実績!I22:K22))</f>
        <v>16762493.2333333</v>
      </c>
      <c r="M24" s="60" t="n">
        <f aca="false">((③FY2027月次推移!M43-AVERAGE(④FY2026月次実績!I32:K32)-(AVERAGE(④FY2026月次実績!I11:K11)+AVERAGE(④FY2026月次実績!I12:K12)+AVERAGE(④FY2026月次実績!I13:K13)+AVERAGE(④FY2026月次実績!I14:K14))-(AVERAGE(④FY2026月次実績!I30:K30)+AVERAGE(④FY2026月次実績!I22:K22)))*(1+$C$6))+(AVERAGE(④FY2026月次実績!I30:K30)+AVERAGE(④FY2026月次実績!I22:K22))</f>
        <v>16762493.2333333</v>
      </c>
      <c r="N24" s="60" t="n">
        <f aca="false">((③FY2027月次推移!N43-AVERAGE(④FY2026月次実績!I32:K32)-(AVERAGE(④FY2026月次実績!I11:K11)+AVERAGE(④FY2026月次実績!I12:K12)+AVERAGE(④FY2026月次実績!I13:K13)+AVERAGE(④FY2026月次実績!I14:K14))-(AVERAGE(④FY2026月次実績!I30:K30)+AVERAGE(④FY2026月次実績!I22:K22)))*(1+$C$6))+(AVERAGE(④FY2026月次実績!I30:K30)+AVERAGE(④FY2026月次実績!I22:K22))</f>
        <v>16762493.2333333</v>
      </c>
      <c r="O24" s="60" t="n">
        <f aca="false">((③FY2027月次推移!O43-AVERAGE(④FY2026月次実績!I32:K32)-(AVERAGE(④FY2026月次実績!I11:K11)+AVERAGE(④FY2026月次実績!I12:K12)+AVERAGE(④FY2026月次実績!I13:K13)+AVERAGE(④FY2026月次実績!I14:K14))-(AVERAGE(④FY2026月次実績!I30:K30)+AVERAGE(④FY2026月次実績!I22:K22)))*(1+$C$6))+(AVERAGE(④FY2026月次実績!I30:K30)+AVERAGE(④FY2026月次実績!I22:K22))</f>
        <v>16762493.2333333</v>
      </c>
      <c r="P24" s="10" t="n">
        <f aca="false">SUM(D24:O24)</f>
        <v>201149918.8</v>
      </c>
    </row>
    <row r="25" customFormat="false" ht="15" hidden="false" customHeight="false" outlineLevel="0" collapsed="false">
      <c r="B25" s="72" t="s">
        <v>349</v>
      </c>
      <c r="D25" s="60" t="n">
        <f aca="false">③FY2027月次推移!D48</f>
        <v>1250000</v>
      </c>
      <c r="E25" s="60" t="n">
        <f aca="false">③FY2027月次推移!E48</f>
        <v>1250000</v>
      </c>
      <c r="F25" s="60" t="n">
        <f aca="false">③FY2027月次推移!F48</f>
        <v>1250000</v>
      </c>
      <c r="G25" s="60" t="n">
        <f aca="false">③FY2027月次推移!G48</f>
        <v>1250000</v>
      </c>
      <c r="H25" s="60" t="n">
        <f aca="false">③FY2027月次推移!H48</f>
        <v>1250000</v>
      </c>
      <c r="I25" s="60" t="n">
        <f aca="false">③FY2027月次推移!I48</f>
        <v>1250000</v>
      </c>
      <c r="J25" s="60" t="n">
        <f aca="false">③FY2027月次推移!J48</f>
        <v>1250000</v>
      </c>
      <c r="K25" s="60" t="n">
        <f aca="false">③FY2027月次推移!K48</f>
        <v>1250000</v>
      </c>
      <c r="L25" s="60" t="n">
        <f aca="false">③FY2027月次推移!L48</f>
        <v>1250000</v>
      </c>
      <c r="M25" s="60" t="n">
        <f aca="false">③FY2027月次推移!M48</f>
        <v>1250000</v>
      </c>
      <c r="N25" s="60" t="n">
        <f aca="false">③FY2027月次推移!N48</f>
        <v>1250000</v>
      </c>
      <c r="O25" s="60" t="n">
        <f aca="false">③FY2027月次推移!O48</f>
        <v>1250000</v>
      </c>
      <c r="P25" s="10" t="n">
        <f aca="false">SUM(D25:O25)</f>
        <v>15000000</v>
      </c>
    </row>
    <row r="26" customFormat="false" ht="15" hidden="false" customHeight="false" outlineLevel="0" collapsed="false">
      <c r="B26" s="72" t="s">
        <v>350</v>
      </c>
      <c r="D26" s="60" t="n">
        <v>0</v>
      </c>
      <c r="E26" s="60" t="n">
        <f aca="false">②前提!$C$45</f>
        <v>14054509.1</v>
      </c>
      <c r="F26" s="60" t="n">
        <v>0</v>
      </c>
      <c r="G26" s="60" t="n">
        <v>0</v>
      </c>
      <c r="H26" s="60" t="n">
        <f aca="false">②前提!$C$46</f>
        <v>4638627.275</v>
      </c>
      <c r="I26" s="60" t="n">
        <v>0</v>
      </c>
      <c r="J26" s="60" t="n">
        <v>0</v>
      </c>
      <c r="K26" s="60" t="n">
        <f aca="false">②前提!$C$46</f>
        <v>4638627.275</v>
      </c>
      <c r="L26" s="60" t="n">
        <v>0</v>
      </c>
      <c r="M26" s="60" t="n">
        <v>0</v>
      </c>
      <c r="N26" s="60" t="n">
        <f aca="false">②前提!$C$46</f>
        <v>4638627.275</v>
      </c>
      <c r="O26" s="60" t="n">
        <v>0</v>
      </c>
      <c r="P26" s="10" t="n">
        <f aca="false">SUM(D26:O26)</f>
        <v>27970390.925</v>
      </c>
      <c r="Q26" s="18" t="s">
        <v>351</v>
      </c>
    </row>
    <row r="27" customFormat="false" ht="15" hidden="false" customHeight="false" outlineLevel="0" collapsed="false">
      <c r="B27" s="9" t="s">
        <v>352</v>
      </c>
      <c r="D27" s="7" t="n">
        <v>0</v>
      </c>
      <c r="E27" s="7" t="n">
        <v>463105</v>
      </c>
      <c r="F27" s="7" t="n">
        <v>0</v>
      </c>
      <c r="G27" s="7" t="n">
        <v>0</v>
      </c>
      <c r="H27" s="7" t="n">
        <v>0</v>
      </c>
      <c r="I27" s="7" t="n">
        <v>0</v>
      </c>
      <c r="J27" s="7" t="n">
        <v>0</v>
      </c>
      <c r="K27" s="7" t="n">
        <v>0</v>
      </c>
      <c r="L27" s="7" t="n">
        <v>0</v>
      </c>
      <c r="M27" s="7" t="n">
        <v>0</v>
      </c>
      <c r="N27" s="7" t="n">
        <v>0</v>
      </c>
      <c r="O27" s="7" t="n">
        <v>0</v>
      </c>
      <c r="P27" s="10" t="n">
        <f aca="false">SUM(D27:O27)</f>
        <v>463105</v>
      </c>
    </row>
    <row r="28" customFormat="false" ht="15" hidden="false" customHeight="false" outlineLevel="0" collapsed="false">
      <c r="B28" s="32" t="s">
        <v>353</v>
      </c>
      <c r="D28" s="14" t="n">
        <f aca="false">SUM(D22:D27)</f>
        <v>62516780.85</v>
      </c>
      <c r="E28" s="14" t="n">
        <f aca="false">SUM(E22:E27)</f>
        <v>77034394.95</v>
      </c>
      <c r="F28" s="14" t="n">
        <f aca="false">SUM(F22:F27)</f>
        <v>62516780.85</v>
      </c>
      <c r="G28" s="14" t="n">
        <f aca="false">SUM(G22:G27)</f>
        <v>62516780.85</v>
      </c>
      <c r="H28" s="14" t="n">
        <f aca="false">SUM(H22:H27)</f>
        <v>67155408.125</v>
      </c>
      <c r="I28" s="14" t="n">
        <f aca="false">SUM(I22:I27)</f>
        <v>62516780.85</v>
      </c>
      <c r="J28" s="14" t="n">
        <f aca="false">SUM(J22:J27)</f>
        <v>62516780.85</v>
      </c>
      <c r="K28" s="14" t="n">
        <f aca="false">SUM(K22:K27)</f>
        <v>67155408.125</v>
      </c>
      <c r="L28" s="14" t="n">
        <f aca="false">SUM(L22:L27)</f>
        <v>62516780.85</v>
      </c>
      <c r="M28" s="14" t="n">
        <f aca="false">SUM(M22:M27)</f>
        <v>62516780.85</v>
      </c>
      <c r="N28" s="14" t="n">
        <f aca="false">SUM(N22:N27)</f>
        <v>67155408.125</v>
      </c>
      <c r="O28" s="14" t="n">
        <f aca="false">SUM(O22:O27)</f>
        <v>62516780.85</v>
      </c>
      <c r="P28" s="14" t="n">
        <f aca="false">SUM(D28:O28)</f>
        <v>778634866.125</v>
      </c>
    </row>
    <row r="29" customFormat="false" ht="15" hidden="false" customHeight="false" outlineLevel="0" collapsed="false">
      <c r="B29" s="32" t="s">
        <v>354</v>
      </c>
      <c r="D29" s="14" t="n">
        <f aca="false">D19-D28</f>
        <v>12011460.4833333</v>
      </c>
      <c r="E29" s="14" t="n">
        <f aca="false">E19-E28</f>
        <v>-2506153.61666665</v>
      </c>
      <c r="F29" s="14" t="n">
        <f aca="false">F19-F28</f>
        <v>12011460.4833333</v>
      </c>
      <c r="G29" s="14" t="n">
        <f aca="false">G19-G28</f>
        <v>12011460.4833333</v>
      </c>
      <c r="H29" s="14" t="n">
        <f aca="false">H19-H28</f>
        <v>7372833.20833334</v>
      </c>
      <c r="I29" s="14" t="n">
        <f aca="false">I19-I28</f>
        <v>23011460.4833333</v>
      </c>
      <c r="J29" s="14" t="n">
        <f aca="false">J19-J28</f>
        <v>12011460.4833333</v>
      </c>
      <c r="K29" s="14" t="n">
        <f aca="false">K19-K28</f>
        <v>7372833.20833334</v>
      </c>
      <c r="L29" s="14" t="n">
        <f aca="false">L19-L28</f>
        <v>12011460.4833333</v>
      </c>
      <c r="M29" s="14" t="n">
        <f aca="false">M19-M28</f>
        <v>12011460.4833333</v>
      </c>
      <c r="N29" s="14" t="n">
        <f aca="false">N19-N28</f>
        <v>7372833.20833334</v>
      </c>
      <c r="O29" s="14" t="n">
        <f aca="false">O19-O28</f>
        <v>23011460.4833333</v>
      </c>
      <c r="P29" s="14" t="n">
        <f aca="false">SUM(D29:O29)</f>
        <v>137704029.875</v>
      </c>
    </row>
    <row r="31" customFormat="false" ht="15" hidden="false" customHeight="false" outlineLevel="0" collapsed="false">
      <c r="B31" s="49" t="s">
        <v>355</v>
      </c>
      <c r="C31" s="58"/>
      <c r="D31" s="58"/>
      <c r="E31" s="58"/>
      <c r="F31" s="58"/>
      <c r="G31" s="58"/>
      <c r="H31" s="58"/>
      <c r="I31" s="58"/>
      <c r="J31" s="58"/>
      <c r="K31" s="58"/>
      <c r="L31" s="58"/>
      <c r="M31" s="58"/>
      <c r="N31" s="58"/>
      <c r="O31" s="58"/>
      <c r="P31" s="58"/>
    </row>
    <row r="32" customFormat="false" ht="15" hidden="false" customHeight="false" outlineLevel="0" collapsed="false">
      <c r="B32" s="72" t="s">
        <v>356</v>
      </c>
      <c r="D32" s="60" t="n">
        <f aca="false">-$C$9</f>
        <v>-2662179</v>
      </c>
      <c r="E32" s="60" t="n">
        <f aca="false">-$C$9</f>
        <v>-2662179</v>
      </c>
      <c r="F32" s="60" t="n">
        <f aca="false">-$C$9</f>
        <v>-2662179</v>
      </c>
      <c r="G32" s="60" t="n">
        <f aca="false">-$C$9</f>
        <v>-2662179</v>
      </c>
      <c r="H32" s="60" t="n">
        <f aca="false">-$C$9</f>
        <v>-2662179</v>
      </c>
      <c r="I32" s="60" t="n">
        <f aca="false">-$C$9</f>
        <v>-2662179</v>
      </c>
      <c r="J32" s="60" t="n">
        <f aca="false">-$C$9</f>
        <v>-2662179</v>
      </c>
      <c r="K32" s="60" t="n">
        <f aca="false">-$C$9</f>
        <v>-2662179</v>
      </c>
      <c r="L32" s="60" t="n">
        <f aca="false">-$C$9</f>
        <v>-2662179</v>
      </c>
      <c r="M32" s="60" t="n">
        <f aca="false">-$C$9</f>
        <v>-2662179</v>
      </c>
      <c r="N32" s="60" t="n">
        <f aca="false">-$C$9</f>
        <v>-2662179</v>
      </c>
      <c r="O32" s="60" t="n">
        <f aca="false">-$C$9</f>
        <v>-2662179</v>
      </c>
      <c r="P32" s="10" t="n">
        <f aca="false">SUM(D32:O32)</f>
        <v>-31946148</v>
      </c>
    </row>
    <row r="33" customFormat="false" ht="15" hidden="false" customHeight="false" outlineLevel="0" collapsed="false">
      <c r="B33" s="72" t="s">
        <v>357</v>
      </c>
      <c r="D33" s="60" t="n">
        <f aca="false">$C$10</f>
        <v>0</v>
      </c>
      <c r="E33" s="60" t="n">
        <f aca="false">$C$10</f>
        <v>0</v>
      </c>
      <c r="F33" s="60" t="n">
        <f aca="false">$C$10</f>
        <v>0</v>
      </c>
      <c r="G33" s="60" t="n">
        <f aca="false">$C$10</f>
        <v>0</v>
      </c>
      <c r="H33" s="60" t="n">
        <f aca="false">$C$10</f>
        <v>0</v>
      </c>
      <c r="I33" s="60" t="n">
        <f aca="false">$C$10</f>
        <v>0</v>
      </c>
      <c r="J33" s="60" t="n">
        <f aca="false">$C$10</f>
        <v>0</v>
      </c>
      <c r="K33" s="60" t="n">
        <f aca="false">$C$10</f>
        <v>0</v>
      </c>
      <c r="L33" s="60" t="n">
        <f aca="false">$C$10</f>
        <v>0</v>
      </c>
      <c r="M33" s="60" t="n">
        <f aca="false">$C$10</f>
        <v>0</v>
      </c>
      <c r="N33" s="60" t="n">
        <f aca="false">$C$10</f>
        <v>0</v>
      </c>
      <c r="O33" s="60" t="n">
        <f aca="false">$C$10</f>
        <v>0</v>
      </c>
      <c r="P33" s="10" t="n">
        <f aca="false">SUM(D33:O33)</f>
        <v>0</v>
      </c>
    </row>
    <row r="34" customFormat="false" ht="15" hidden="false" customHeight="false" outlineLevel="0" collapsed="false">
      <c r="B34" s="9" t="s">
        <v>358</v>
      </c>
      <c r="D34" s="7" t="n">
        <v>0</v>
      </c>
      <c r="E34" s="7" t="n">
        <v>0</v>
      </c>
      <c r="F34" s="7" t="n">
        <v>0</v>
      </c>
      <c r="G34" s="7" t="n">
        <v>0</v>
      </c>
      <c r="H34" s="7" t="n">
        <v>0</v>
      </c>
      <c r="I34" s="7" t="n">
        <v>0</v>
      </c>
      <c r="J34" s="7" t="n">
        <v>0</v>
      </c>
      <c r="K34" s="7" t="n">
        <v>0</v>
      </c>
      <c r="L34" s="7" t="n">
        <v>0</v>
      </c>
      <c r="M34" s="7" t="n">
        <v>0</v>
      </c>
      <c r="N34" s="7" t="n">
        <v>0</v>
      </c>
      <c r="O34" s="7" t="n">
        <v>0</v>
      </c>
      <c r="P34" s="10" t="n">
        <f aca="false">SUM(D34:O34)</f>
        <v>0</v>
      </c>
    </row>
    <row r="35" customFormat="false" ht="15" hidden="false" customHeight="false" outlineLevel="0" collapsed="false">
      <c r="B35" s="9" t="s">
        <v>359</v>
      </c>
      <c r="D35" s="7" t="n">
        <v>0</v>
      </c>
      <c r="E35" s="7" t="n">
        <v>0</v>
      </c>
      <c r="F35" s="7" t="n">
        <v>0</v>
      </c>
      <c r="G35" s="7" t="n">
        <v>0</v>
      </c>
      <c r="H35" s="7" t="n">
        <v>0</v>
      </c>
      <c r="I35" s="7" t="n">
        <v>0</v>
      </c>
      <c r="J35" s="7" t="n">
        <v>0</v>
      </c>
      <c r="K35" s="7" t="n">
        <v>0</v>
      </c>
      <c r="L35" s="7" t="n">
        <v>0</v>
      </c>
      <c r="M35" s="7" t="n">
        <v>0</v>
      </c>
      <c r="N35" s="7" t="n">
        <v>0</v>
      </c>
      <c r="O35" s="7" t="n">
        <v>0</v>
      </c>
      <c r="P35" s="10" t="n">
        <f aca="false">SUM(D35:O35)</f>
        <v>0</v>
      </c>
      <c r="Q35" s="53" t="s">
        <v>360</v>
      </c>
    </row>
    <row r="36" customFormat="false" ht="15" hidden="false" customHeight="false" outlineLevel="0" collapsed="false">
      <c r="B36" s="32" t="s">
        <v>361</v>
      </c>
      <c r="D36" s="14" t="n">
        <f aca="false">SUM(D32:D35)</f>
        <v>-2662179</v>
      </c>
      <c r="E36" s="14" t="n">
        <f aca="false">SUM(E32:E35)</f>
        <v>-2662179</v>
      </c>
      <c r="F36" s="14" t="n">
        <f aca="false">SUM(F32:F35)</f>
        <v>-2662179</v>
      </c>
      <c r="G36" s="14" t="n">
        <f aca="false">SUM(G32:G35)</f>
        <v>-2662179</v>
      </c>
      <c r="H36" s="14" t="n">
        <f aca="false">SUM(H32:H35)</f>
        <v>-2662179</v>
      </c>
      <c r="I36" s="14" t="n">
        <f aca="false">SUM(I32:I35)</f>
        <v>-2662179</v>
      </c>
      <c r="J36" s="14" t="n">
        <f aca="false">SUM(J32:J35)</f>
        <v>-2662179</v>
      </c>
      <c r="K36" s="14" t="n">
        <f aca="false">SUM(K32:K35)</f>
        <v>-2662179</v>
      </c>
      <c r="L36" s="14" t="n">
        <f aca="false">SUM(L32:L35)</f>
        <v>-2662179</v>
      </c>
      <c r="M36" s="14" t="n">
        <f aca="false">SUM(M32:M35)</f>
        <v>-2662179</v>
      </c>
      <c r="N36" s="14" t="n">
        <f aca="false">SUM(N32:N35)</f>
        <v>-2662179</v>
      </c>
      <c r="O36" s="14" t="n">
        <f aca="false">SUM(O32:O35)</f>
        <v>-2662179</v>
      </c>
      <c r="P36" s="14" t="n">
        <f aca="false">SUM(D36:O36)</f>
        <v>-31946148</v>
      </c>
    </row>
    <row r="38" customFormat="false" ht="15" hidden="false" customHeight="false" outlineLevel="0" collapsed="false">
      <c r="B38" s="32" t="s">
        <v>362</v>
      </c>
      <c r="D38" s="14" t="n">
        <f aca="false">D29+D36</f>
        <v>9349281.48333334</v>
      </c>
      <c r="E38" s="14" t="n">
        <f aca="false">E29+E36</f>
        <v>-5168332.61666665</v>
      </c>
      <c r="F38" s="14" t="n">
        <f aca="false">F29+F36</f>
        <v>9349281.48333334</v>
      </c>
      <c r="G38" s="14" t="n">
        <f aca="false">G29+G36</f>
        <v>9349281.48333334</v>
      </c>
      <c r="H38" s="14" t="n">
        <f aca="false">H29+H36</f>
        <v>4710654.20833334</v>
      </c>
      <c r="I38" s="14" t="n">
        <f aca="false">I29+I36</f>
        <v>20349281.4833333</v>
      </c>
      <c r="J38" s="14" t="n">
        <f aca="false">J29+J36</f>
        <v>9349281.48333334</v>
      </c>
      <c r="K38" s="14" t="n">
        <f aca="false">K29+K36</f>
        <v>4710654.20833334</v>
      </c>
      <c r="L38" s="14" t="n">
        <f aca="false">L29+L36</f>
        <v>9349281.48333334</v>
      </c>
      <c r="M38" s="14" t="n">
        <f aca="false">M29+M36</f>
        <v>9349281.48333334</v>
      </c>
      <c r="N38" s="14" t="n">
        <f aca="false">N29+N36</f>
        <v>4710654.20833334</v>
      </c>
      <c r="O38" s="14" t="n">
        <f aca="false">O29+O36</f>
        <v>20349281.4833333</v>
      </c>
      <c r="P38" s="14" t="n">
        <f aca="false">SUM(D38:O38)</f>
        <v>105757881.875</v>
      </c>
    </row>
    <row r="39" customFormat="false" ht="15" hidden="false" customHeight="false" outlineLevel="0" collapsed="false">
      <c r="B39" s="9" t="s">
        <v>363</v>
      </c>
      <c r="D39" s="19" t="n">
        <f aca="false">$C$5</f>
        <v>30000000</v>
      </c>
      <c r="E39" s="19" t="n">
        <f aca="false">D40</f>
        <v>39349281.4833333</v>
      </c>
      <c r="F39" s="19" t="n">
        <f aca="false">E40</f>
        <v>34180948.8666667</v>
      </c>
      <c r="G39" s="19" t="n">
        <f aca="false">F40</f>
        <v>43530230.35</v>
      </c>
      <c r="H39" s="19" t="n">
        <f aca="false">G40</f>
        <v>52879511.8333334</v>
      </c>
      <c r="I39" s="19" t="n">
        <f aca="false">H40</f>
        <v>57590166.0416667</v>
      </c>
      <c r="J39" s="19" t="n">
        <f aca="false">I40</f>
        <v>77939447.5250001</v>
      </c>
      <c r="K39" s="19" t="n">
        <f aca="false">J40</f>
        <v>87288729.0083334</v>
      </c>
      <c r="L39" s="19" t="n">
        <f aca="false">K40</f>
        <v>91999383.2166668</v>
      </c>
      <c r="M39" s="19" t="n">
        <f aca="false">L40</f>
        <v>101348664.7</v>
      </c>
      <c r="N39" s="19" t="n">
        <f aca="false">M40</f>
        <v>110697946.183333</v>
      </c>
      <c r="O39" s="19" t="n">
        <f aca="false">N40</f>
        <v>115408600.391667</v>
      </c>
    </row>
    <row r="40" customFormat="false" ht="15" hidden="false" customHeight="false" outlineLevel="0" collapsed="false">
      <c r="B40" s="34" t="s">
        <v>364</v>
      </c>
      <c r="D40" s="17" t="n">
        <f aca="false">D39+D38</f>
        <v>39349281.4833333</v>
      </c>
      <c r="E40" s="17" t="n">
        <f aca="false">E39+E38</f>
        <v>34180948.8666667</v>
      </c>
      <c r="F40" s="17" t="n">
        <f aca="false">F39+F38</f>
        <v>43530230.35</v>
      </c>
      <c r="G40" s="17" t="n">
        <f aca="false">G39+G38</f>
        <v>52879511.8333334</v>
      </c>
      <c r="H40" s="17" t="n">
        <f aca="false">H39+H38</f>
        <v>57590166.0416667</v>
      </c>
      <c r="I40" s="17" t="n">
        <f aca="false">I39+I38</f>
        <v>77939447.5250001</v>
      </c>
      <c r="J40" s="17" t="n">
        <f aca="false">J39+J38</f>
        <v>87288729.0083334</v>
      </c>
      <c r="K40" s="17" t="n">
        <f aca="false">K39+K38</f>
        <v>91999383.2166668</v>
      </c>
      <c r="L40" s="17" t="n">
        <f aca="false">L39+L38</f>
        <v>101348664.7</v>
      </c>
      <c r="M40" s="17" t="n">
        <f aca="false">M39+M38</f>
        <v>110697946.183333</v>
      </c>
      <c r="N40" s="17" t="n">
        <f aca="false">N39+N38</f>
        <v>115408600.391667</v>
      </c>
      <c r="O40" s="17" t="n">
        <f aca="false">O39+O38</f>
        <v>135757881.875</v>
      </c>
      <c r="P40" s="23" t="n">
        <f aca="false">O40</f>
        <v>135757881.875</v>
      </c>
    </row>
    <row r="41" customFormat="false" ht="15" hidden="false" customHeight="false" outlineLevel="0" collapsed="false">
      <c r="B41" s="74" t="s">
        <v>365</v>
      </c>
      <c r="D41" s="75" t="n">
        <f aca="false">IF(D40&lt;0,D40,0)</f>
        <v>0</v>
      </c>
      <c r="E41" s="75" t="n">
        <f aca="false">IF(E40&lt;0,E40,0)</f>
        <v>0</v>
      </c>
      <c r="F41" s="75" t="n">
        <f aca="false">IF(F40&lt;0,F40,0)</f>
        <v>0</v>
      </c>
      <c r="G41" s="75" t="n">
        <f aca="false">IF(G40&lt;0,G40,0)</f>
        <v>0</v>
      </c>
      <c r="H41" s="75" t="n">
        <f aca="false">IF(H40&lt;0,H40,0)</f>
        <v>0</v>
      </c>
      <c r="I41" s="75" t="n">
        <f aca="false">IF(I40&lt;0,I40,0)</f>
        <v>0</v>
      </c>
      <c r="J41" s="75" t="n">
        <f aca="false">IF(J40&lt;0,J40,0)</f>
        <v>0</v>
      </c>
      <c r="K41" s="75" t="n">
        <f aca="false">IF(K40&lt;0,K40,0)</f>
        <v>0</v>
      </c>
      <c r="L41" s="75" t="n">
        <f aca="false">IF(L40&lt;0,L40,0)</f>
        <v>0</v>
      </c>
      <c r="M41" s="75" t="n">
        <f aca="false">IF(M40&lt;0,M40,0)</f>
        <v>0</v>
      </c>
      <c r="N41" s="75" t="n">
        <f aca="false">IF(N40&lt;0,N40,0)</f>
        <v>0</v>
      </c>
      <c r="O41" s="75" t="n">
        <f aca="false">IF(O40&lt;0,O40,0)</f>
        <v>0</v>
      </c>
      <c r="P41" s="75" t="n">
        <f aca="false">MIN(D41:O41)</f>
        <v>0</v>
      </c>
      <c r="Q41" s="18" t="s">
        <v>366</v>
      </c>
    </row>
    <row r="43" customFormat="false" ht="15" hidden="false" customHeight="false" outlineLevel="0" collapsed="false">
      <c r="B43" s="20" t="s">
        <v>367</v>
      </c>
    </row>
    <row r="44" customFormat="false" ht="15" hidden="false" customHeight="false" outlineLevel="0" collapsed="false">
      <c r="B44" s="20" t="s">
        <v>368</v>
      </c>
    </row>
    <row r="45" customFormat="false" ht="15" hidden="false" customHeight="false" outlineLevel="0" collapsed="false">
      <c r="B45" s="20" t="s">
        <v>369</v>
      </c>
    </row>
    <row r="46" customFormat="false" ht="15" hidden="false" customHeight="false" outlineLevel="0" collapsed="false">
      <c r="B46" s="18" t="s">
        <v>370</v>
      </c>
    </row>
    <row r="47" customFormat="false" ht="15" hidden="false" customHeight="false" outlineLevel="0" collapsed="false">
      <c r="B47" s="18" t="s">
        <v>371</v>
      </c>
    </row>
    <row r="49" customFormat="false" ht="15" hidden="false" customHeight="false" outlineLevel="0" collapsed="false">
      <c r="B49" s="3" t="s">
        <v>372</v>
      </c>
      <c r="C49" s="4"/>
      <c r="D49" s="4"/>
      <c r="E49" s="4"/>
      <c r="F49" s="4"/>
      <c r="G49" s="4"/>
      <c r="H49" s="4"/>
      <c r="I49" s="4"/>
      <c r="J49" s="4"/>
      <c r="K49" s="4"/>
      <c r="L49" s="4"/>
      <c r="M49" s="4"/>
      <c r="N49" s="4"/>
      <c r="O49" s="4"/>
      <c r="P49" s="4"/>
      <c r="Q49" s="4"/>
    </row>
    <row r="50" customFormat="false" ht="15" hidden="false" customHeight="false" outlineLevel="0" collapsed="false">
      <c r="B50" s="37" t="s">
        <v>373</v>
      </c>
      <c r="C50" s="38" t="s">
        <v>374</v>
      </c>
      <c r="D50" s="38" t="s">
        <v>375</v>
      </c>
      <c r="E50" s="38" t="s">
        <v>376</v>
      </c>
      <c r="F50" s="37" t="s">
        <v>377</v>
      </c>
    </row>
    <row r="51" customFormat="false" ht="15" hidden="false" customHeight="false" outlineLevel="0" collapsed="false">
      <c r="B51" s="25" t="s">
        <v>378</v>
      </c>
      <c r="C51" s="10" t="n">
        <f aca="false">O40</f>
        <v>135757881.875</v>
      </c>
      <c r="D51" s="10" t="n">
        <f aca="false">MIN(D40:O40)</f>
        <v>34180948.8666667</v>
      </c>
      <c r="E51" s="39" t="n">
        <f aca="false">IF(C51&lt;0,-MIN(C51,D51)+$C$57,MAX(0,-D51+$C$57))</f>
        <v>32784792.4666666</v>
      </c>
      <c r="F51" s="20" t="s">
        <v>379</v>
      </c>
    </row>
    <row r="52" customFormat="false" ht="15" hidden="false" customHeight="false" outlineLevel="0" collapsed="false">
      <c r="B52" s="55" t="s">
        <v>380</v>
      </c>
      <c r="C52" s="75" t="n">
        <f aca="false">C51+(②前提!$C$32-③FY2027月次推移!$P$9)*(1+$C$6)</f>
        <v>126464377.435</v>
      </c>
      <c r="D52" s="75" t="n">
        <f aca="false">D51+(②前提!$C$32-③FY2027月次推移!$P$9)*(1+$C$6)</f>
        <v>24887444.4266667</v>
      </c>
      <c r="E52" s="39" t="n">
        <f aca="false">IF(C52&lt;0,-MIN(C52,D52)+$C$57,MAX(0,-D52+$C$57))</f>
        <v>42078296.9066666</v>
      </c>
      <c r="F52" s="20" t="s">
        <v>381</v>
      </c>
    </row>
    <row r="53" customFormat="false" ht="15" hidden="false" customHeight="false" outlineLevel="0" collapsed="false">
      <c r="B53" s="55" t="s">
        <v>382</v>
      </c>
      <c r="C53" s="75" t="n">
        <f aca="false">C51-(P16+P18)</f>
        <v>113757881.875</v>
      </c>
      <c r="D53" s="75" t="n">
        <f aca="false">D51-(P16+P18)</f>
        <v>12180948.8666667</v>
      </c>
      <c r="E53" s="39" t="n">
        <f aca="false">IF(C53&lt;0,-MIN(C53,D53)+$C$57,MAX(0,-D53+$C$57))</f>
        <v>54784792.4666666</v>
      </c>
      <c r="F53" s="20" t="s">
        <v>383</v>
      </c>
    </row>
    <row r="54" customFormat="false" ht="15" hidden="false" customHeight="false" outlineLevel="0" collapsed="false">
      <c r="B54" s="55" t="s">
        <v>384</v>
      </c>
      <c r="C54" s="75" t="n">
        <f aca="false">C51-①サマリー!$C$23*(1+$C$6)</f>
        <v>-239776169.325</v>
      </c>
      <c r="D54" s="75" t="n">
        <f aca="false">D51-①サマリー!$C$23*(1+$C$6)</f>
        <v>-341353102.333333</v>
      </c>
      <c r="E54" s="39" t="n">
        <f aca="false">IF(C54&lt;0,-MIN(C54,D54)+$C$57,MAX(0,-D54+$C$57))</f>
        <v>408318843.666667</v>
      </c>
      <c r="F54" s="20" t="s">
        <v>385</v>
      </c>
    </row>
    <row r="55" customFormat="false" ht="15" hidden="false" customHeight="false" outlineLevel="0" collapsed="false">
      <c r="B55" s="55" t="s">
        <v>386</v>
      </c>
      <c r="C55" s="75" t="n">
        <f aca="false">C51+300000000*(1+$C$6)</f>
        <v>465757881.875</v>
      </c>
      <c r="D55" s="75" t="n">
        <f aca="false">D51+300000000*(1+$C$6)</f>
        <v>364180948.866667</v>
      </c>
      <c r="E55" s="39" t="n">
        <f aca="false">IF(C55&lt;0,-MIN(C55,D55)+$C$57,MAX(0,-D55+$C$57))</f>
        <v>0</v>
      </c>
      <c r="F55" s="20" t="s">
        <v>387</v>
      </c>
    </row>
    <row r="57" customFormat="false" ht="15" hidden="false" customHeight="false" outlineLevel="0" collapsed="false">
      <c r="B57" s="9" t="s">
        <v>388</v>
      </c>
      <c r="C57" s="60" t="n">
        <f aca="false">③FY2027月次推移!$C$8*(1+$C$6)</f>
        <v>66965741.3333333</v>
      </c>
      <c r="F57" s="20" t="s">
        <v>389</v>
      </c>
    </row>
    <row r="59" customFormat="false" ht="15" hidden="false" customHeight="false" outlineLevel="0" collapsed="false">
      <c r="B59" s="18" t="s">
        <v>390</v>
      </c>
    </row>
    <row r="60" customFormat="false" ht="15" hidden="false" customHeight="false" outlineLevel="0" collapsed="false">
      <c r="B60" s="18" t="s">
        <v>391</v>
      </c>
    </row>
    <row r="81" customFormat="false" ht="15" hidden="false" customHeight="false" outlineLevel="0" collapsed="false">
      <c r="B81" s="3" t="s">
        <v>392</v>
      </c>
      <c r="C81" s="4"/>
      <c r="D81" s="4"/>
      <c r="E81" s="4"/>
      <c r="F81" s="4"/>
      <c r="G81" s="4"/>
      <c r="H81" s="4"/>
      <c r="I81" s="4"/>
      <c r="J81" s="4"/>
      <c r="K81" s="4"/>
      <c r="L81" s="4"/>
      <c r="M81" s="4"/>
      <c r="N81" s="4"/>
      <c r="O81" s="4"/>
      <c r="P81" s="4"/>
      <c r="Q81" s="4"/>
    </row>
    <row r="82" customFormat="false" ht="15" hidden="false" customHeight="false" outlineLevel="0" collapsed="false">
      <c r="B82" s="9" t="s">
        <v>393</v>
      </c>
      <c r="C82" s="7" t="n">
        <v>0</v>
      </c>
      <c r="F82" s="2" t="s">
        <v>394</v>
      </c>
    </row>
    <row r="83" customFormat="false" ht="15" hidden="false" customHeight="false" outlineLevel="0" collapsed="false">
      <c r="B83" s="9" t="s">
        <v>395</v>
      </c>
      <c r="C83" s="10" t="n">
        <f aca="false">②前提!$C$6*(1+$C$6)+SUM(②前提!$C$13:$C$15)/12*(1+$C$6)-②前提!$C$32/12*(1+$C$6)-(AVERAGE(④FY2026月次実績!I11:K11)+AVERAGE(④FY2026月次実績!I12:K12)+AVERAGE(④FY2026月次実績!I13:K13)+AVERAGE(④FY2026月次実績!I14:K14))-(((②前提!$C$8-AVERAGE(④FY2026月次実績!I32:K32)-(AVERAGE(④FY2026月次実績!I11:K11)+AVERAGE(④FY2026月次実績!I12:K12)+AVERAGE(④FY2026月次実績!I13:K13)+AVERAGE(④FY2026月次実績!I14:K14))-(AVERAGE(④FY2026月次実績!I30:K30)+AVERAGE(④FY2026月次実績!I22:K22)))*(1+$C$6))+(AVERAGE(④FY2026月次実績!I30:K30)+AVERAGE(④FY2026月次実績!I22:K22)))-②前提!$C$24/12-$C$9</f>
        <v>-21945222.7833333</v>
      </c>
      <c r="F83" s="20" t="s">
        <v>396</v>
      </c>
    </row>
    <row r="85" customFormat="false" ht="15" hidden="false" customHeight="false" outlineLevel="0" collapsed="false">
      <c r="B85" s="37" t="s">
        <v>397</v>
      </c>
      <c r="D85" s="51" t="n">
        <v>1</v>
      </c>
      <c r="E85" s="51" t="n">
        <v>2</v>
      </c>
      <c r="F85" s="51" t="n">
        <v>3</v>
      </c>
      <c r="G85" s="51" t="n">
        <v>4</v>
      </c>
      <c r="H85" s="51" t="n">
        <v>5</v>
      </c>
      <c r="I85" s="51" t="n">
        <v>6</v>
      </c>
      <c r="J85" s="51" t="n">
        <v>7</v>
      </c>
      <c r="K85" s="51" t="n">
        <v>8</v>
      </c>
      <c r="L85" s="51" t="n">
        <v>9</v>
      </c>
      <c r="M85" s="51" t="n">
        <v>10</v>
      </c>
      <c r="N85" s="51" t="n">
        <v>11</v>
      </c>
      <c r="O85" s="51" t="n">
        <v>12</v>
      </c>
    </row>
    <row r="86" customFormat="false" ht="15" hidden="false" customHeight="false" outlineLevel="0" collapsed="false">
      <c r="D86" s="76" t="s">
        <v>236</v>
      </c>
      <c r="E86" s="76" t="s">
        <v>237</v>
      </c>
      <c r="F86" s="76" t="s">
        <v>238</v>
      </c>
      <c r="G86" s="76" t="s">
        <v>239</v>
      </c>
      <c r="H86" s="76" t="s">
        <v>240</v>
      </c>
      <c r="I86" s="76" t="s">
        <v>241</v>
      </c>
      <c r="J86" s="76" t="s">
        <v>242</v>
      </c>
      <c r="K86" s="76" t="s">
        <v>243</v>
      </c>
      <c r="L86" s="76" t="s">
        <v>244</v>
      </c>
      <c r="M86" s="76" t="s">
        <v>245</v>
      </c>
      <c r="N86" s="76" t="s">
        <v>246</v>
      </c>
      <c r="O86" s="76" t="s">
        <v>247</v>
      </c>
    </row>
    <row r="87" customFormat="false" ht="15" hidden="false" customHeight="false" outlineLevel="0" collapsed="false">
      <c r="B87" s="9" t="s">
        <v>398</v>
      </c>
      <c r="D87" s="19" t="n">
        <f aca="false">$C$5+D$85*$C$83+(SUM($D$16:D16)+SUM($D$18:D18))-(SUM($D$26:D26)+SUM($D$27:D27))</f>
        <v>8054777.21666667</v>
      </c>
      <c r="E87" s="19" t="n">
        <f aca="false">$C$5+E$85*$C$83+(SUM($D$16:E16)+SUM($D$18:E18))-(SUM($D$26:E26)+SUM($D$27:E27))</f>
        <v>-28408059.6666667</v>
      </c>
      <c r="F87" s="19" t="n">
        <f aca="false">$C$5+F$85*$C$83+(SUM($D$16:F16)+SUM($D$18:F18))-(SUM($D$26:F26)+SUM($D$27:F27))</f>
        <v>-50353282.45</v>
      </c>
      <c r="G87" s="19" t="n">
        <f aca="false">$C$5+G$85*$C$83+(SUM($D$16:G16)+SUM($D$18:G18))-(SUM($D$26:G26)+SUM($D$27:G27))</f>
        <v>-72298505.2333333</v>
      </c>
      <c r="H87" s="19" t="n">
        <f aca="false">$C$5+H$85*$C$83+(SUM($D$16:H16)+SUM($D$18:H18))-(SUM($D$26:H26)+SUM($D$27:H27))</f>
        <v>-98882355.2916667</v>
      </c>
      <c r="I87" s="19" t="n">
        <f aca="false">$C$5+I$85*$C$83+(SUM($D$16:I16)+SUM($D$18:I18))-(SUM($D$26:I26)+SUM($D$27:I27))</f>
        <v>-109827578.075</v>
      </c>
      <c r="J87" s="19" t="n">
        <f aca="false">$C$5+J$85*$C$83+(SUM($D$16:J16)+SUM($D$18:J18))-(SUM($D$26:J26)+SUM($D$27:J27))</f>
        <v>-131772800.858333</v>
      </c>
      <c r="K87" s="19" t="n">
        <f aca="false">$C$5+K$85*$C$83+(SUM($D$16:K16)+SUM($D$18:K18))-(SUM($D$26:K26)+SUM($D$27:K27))</f>
        <v>-158356650.916667</v>
      </c>
      <c r="L87" s="19" t="n">
        <f aca="false">$C$5+L$85*$C$83+(SUM($D$16:L16)+SUM($D$18:L18))-(SUM($D$26:L26)+SUM($D$27:L27))</f>
        <v>-180301873.7</v>
      </c>
      <c r="M87" s="19" t="n">
        <f aca="false">$C$5+M$85*$C$83+(SUM($D$16:M16)+SUM($D$18:M18))-(SUM($D$26:M26)+SUM($D$27:M27))</f>
        <v>-202247096.483333</v>
      </c>
      <c r="N87" s="19" t="n">
        <f aca="false">$C$5+N$85*$C$83+(SUM($D$16:N16)+SUM($D$18:N18))-(SUM($D$26:N26)+SUM($D$27:N27))</f>
        <v>-228830946.541667</v>
      </c>
      <c r="O87" s="19" t="n">
        <f aca="false">$C$5+O$85*$C$83+(SUM($D$16:O16)+SUM($D$18:O18))-(SUM($D$26:O26)+SUM($D$27:O27))</f>
        <v>-239776169.325</v>
      </c>
    </row>
    <row r="88" customFormat="false" ht="15" hidden="false" customHeight="false" outlineLevel="0" collapsed="false">
      <c r="B88" s="9" t="s">
        <v>399</v>
      </c>
      <c r="D88" s="19" t="n">
        <f aca="false">MAX(0,($C$82-D87)*12/((1+$C$6)*D$85))</f>
        <v>0</v>
      </c>
      <c r="E88" s="19" t="n">
        <f aca="false">MAX(0,($C$82-E87)*12/((1+$C$6)*E$85))</f>
        <v>154953052.727273</v>
      </c>
      <c r="F88" s="19" t="n">
        <f aca="false">MAX(0,($C$82-F87)*12/((1+$C$6)*F$85))</f>
        <v>183102845.272727</v>
      </c>
      <c r="G88" s="19" t="n">
        <f aca="false">MAX(0,($C$82-G87)*12/((1+$C$6)*G$85))</f>
        <v>197177741.545455</v>
      </c>
      <c r="H88" s="19" t="n">
        <f aca="false">MAX(0,($C$82-H87)*12/((1+$C$6)*H$85))</f>
        <v>215743320.636364</v>
      </c>
      <c r="I88" s="19" t="n">
        <f aca="false">MAX(0,($C$82-I87)*12/((1+$C$6)*I$85))</f>
        <v>199686505.590909</v>
      </c>
      <c r="J88" s="19" t="n">
        <f aca="false">MAX(0,($C$82-J87)*12/((1+$C$6)*J$85))</f>
        <v>205360209.12987</v>
      </c>
      <c r="K88" s="19" t="n">
        <f aca="false">MAX(0,($C$82-K87)*12/((1+$C$6)*K$85))</f>
        <v>215940887.613636</v>
      </c>
      <c r="L88" s="19" t="n">
        <f aca="false">MAX(0,($C$82-L87)*12/((1+$C$6)*L$85))</f>
        <v>218547725.69697</v>
      </c>
      <c r="M88" s="19" t="n">
        <f aca="false">MAX(0,($C$82-M87)*12/((1+$C$6)*M$85))</f>
        <v>220633196.163636</v>
      </c>
      <c r="N88" s="19" t="n">
        <f aca="false">MAX(0,($C$82-N87)*12/((1+$C$6)*N$85))</f>
        <v>226939781.694215</v>
      </c>
      <c r="O88" s="19" t="n">
        <f aca="false">MAX(0,($C$82-O87)*12/((1+$C$6)*O$85))</f>
        <v>217978335.75</v>
      </c>
    </row>
    <row r="90" customFormat="false" ht="15" hidden="false" customHeight="false" outlineLevel="0" collapsed="false">
      <c r="B90" s="6" t="s">
        <v>400</v>
      </c>
      <c r="C90" s="39" t="n">
        <f aca="false">MAX(D88:O88)</f>
        <v>226939781.694215</v>
      </c>
    </row>
    <row r="91" customFormat="false" ht="15" hidden="false" customHeight="false" outlineLevel="0" collapsed="false">
      <c r="B91" s="6" t="s">
        <v>401</v>
      </c>
      <c r="C91" s="39" t="n">
        <f aca="false">②前提!$C$6*12+C90</f>
        <v>616080549.694215</v>
      </c>
    </row>
    <row r="92" customFormat="false" ht="15" hidden="false" customHeight="false" outlineLevel="0" collapsed="false">
      <c r="B92" s="9" t="s">
        <v>402</v>
      </c>
      <c r="C92" s="6" t="str">
        <f aca="false">INDEX(D86:O86,MATCH(C90,D88:O88,0))</f>
        <v>2027/08</v>
      </c>
      <c r="F92" s="20" t="s">
        <v>403</v>
      </c>
    </row>
    <row r="94" customFormat="false" ht="15" hidden="false" customHeight="false" outlineLevel="0" collapsed="false">
      <c r="B94" s="18" t="s">
        <v>404</v>
      </c>
    </row>
    <row r="95" customFormat="false" ht="15" hidden="false" customHeight="false" outlineLevel="0" collapsed="false">
      <c r="B95" s="18" t="s">
        <v>405</v>
      </c>
    </row>
    <row r="96" customFormat="false" ht="15" hidden="false" customHeight="false" outlineLevel="0" collapsed="false">
      <c r="B96" s="18" t="s">
        <v>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2026-09-16T02:33:26Z</dcterms:created>
  <dc:creator>openpyxl</dc:creator>
  <dc:description/>
  <dc:language>en-US</dc:language>
  <cp:lastModifiedBy/>
  <dcterms:modified xsi:type="dcterms:W3CDTF">2026-09-16T02:33:28Z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