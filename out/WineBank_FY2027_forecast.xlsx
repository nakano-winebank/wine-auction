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①サマリー" sheetId="1" state="visible" r:id="rId3"/>
    <sheet name="④FY2026月次実績" sheetId="2" state="visible" r:id="rId4"/>
    <sheet name="②前提" sheetId="3" state="visible" r:id="rId5"/>
    <sheet name="③FY2027月次推移" sheetId="4" state="visible" r:id="rId6"/>
    <sheet name="⑤利益ブリッジ" sheetId="5" state="visible" r:id="rId7"/>
    <sheet name="⑥ワイン仕入・在庫計画" sheetId="6" state="visible" r:id="rId8"/>
    <sheet name="⑦FY2027資金繰り表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<sst xmlns="http://schemas.openxmlformats.org/spreadsheetml/2006/main" count="351" uniqueCount="277">
  <si>
    <r>
      <rPr>
        <b val="true"/>
        <sz val="15"/>
        <rFont val="Arial"/>
        <family val="0"/>
        <charset val="1"/>
      </rPr>
      <t xml:space="preserve">FY2027</t>
    </r>
    <r>
      <rPr>
        <b val="true"/>
        <sz val="15"/>
        <rFont val="WenQuanYi Zen Hei"/>
        <family val="2"/>
      </rPr>
      <t xml:space="preserve">（</t>
    </r>
    <r>
      <rPr>
        <b val="true"/>
        <sz val="15"/>
        <rFont val="Arial"/>
        <family val="0"/>
        <charset val="1"/>
      </rPr>
      <t xml:space="preserve">2027</t>
    </r>
    <r>
      <rPr>
        <b val="true"/>
        <sz val="15"/>
        <rFont val="WenQuanYi Zen Hei"/>
        <family val="2"/>
      </rPr>
      <t xml:space="preserve">年</t>
    </r>
    <r>
      <rPr>
        <b val="true"/>
        <sz val="15"/>
        <rFont val="Arial"/>
        <family val="0"/>
        <charset val="1"/>
      </rPr>
      <t xml:space="preserve">9</t>
    </r>
    <r>
      <rPr>
        <b val="true"/>
        <sz val="15"/>
        <rFont val="WenQuanYi Zen Hei"/>
        <family val="2"/>
      </rPr>
      <t xml:space="preserve">月期）利益予測　シナリオ比較</t>
    </r>
  </si>
  <si>
    <r>
      <rPr>
        <sz val="10"/>
        <color rgb="FF595959"/>
        <rFont val="WenQuanYi Zen Hei"/>
        <family val="2"/>
      </rPr>
      <t xml:space="preserve">ベース：飲食撤退後の実力値（</t>
    </r>
    <r>
      <rPr>
        <sz val="10"/>
        <color rgb="FF595959"/>
        <rFont val="Arial"/>
        <family val="0"/>
        <charset val="1"/>
      </rPr>
      <t xml:space="preserve">2026/04-06 </t>
    </r>
    <r>
      <rPr>
        <sz val="10"/>
        <color rgb="FF595959"/>
        <rFont val="WenQuanYi Zen Hei"/>
        <family val="2"/>
      </rPr>
      <t xml:space="preserve">実績</t>
    </r>
    <r>
      <rPr>
        <sz val="10"/>
        <color rgb="FF595959"/>
        <rFont val="Arial"/>
        <family val="0"/>
        <charset val="1"/>
      </rPr>
      <t xml:space="preserve">3</t>
    </r>
    <r>
      <rPr>
        <sz val="10"/>
        <color rgb="FF595959"/>
        <rFont val="WenQuanYi Zen Hei"/>
        <family val="2"/>
      </rPr>
      <t xml:space="preserve">か月平均）を横ばい延伸</t>
    </r>
  </si>
  <si>
    <r>
      <rPr>
        <sz val="9"/>
        <color rgb="FF595959"/>
        <rFont val="WenQuanYi Zen Hei"/>
        <family val="2"/>
      </rPr>
      <t xml:space="preserve">単位：円（税別）　出典：事業計画</t>
    </r>
    <r>
      <rPr>
        <sz val="9"/>
        <color rgb="FF595959"/>
        <rFont val="Arial"/>
        <family val="0"/>
        <charset val="1"/>
      </rPr>
      <t xml:space="preserve">202608</t>
    </r>
    <r>
      <rPr>
        <sz val="9"/>
        <color rgb="FF595959"/>
        <rFont val="WenQuanYi Zen Hei"/>
        <family val="2"/>
      </rPr>
      <t xml:space="preserve">（銀行様）月次／決算報告書 第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WenQuanYi Zen Hei"/>
        <family val="2"/>
      </rPr>
      <t xml:space="preserve">期</t>
    </r>
  </si>
  <si>
    <t xml:space="preserve">科目</t>
  </si>
  <si>
    <r>
      <rPr>
        <b val="true"/>
        <sz val="11"/>
        <color rgb="FFFFFFFF"/>
        <rFont val="Arial"/>
        <family val="0"/>
        <charset val="1"/>
      </rPr>
      <t xml:space="preserve">FY2026 </t>
    </r>
    <r>
      <rPr>
        <b val="true"/>
        <sz val="11"/>
        <color rgb="FFFFFFFF"/>
        <rFont val="WenQuanYi Zen Hei"/>
        <family val="2"/>
      </rPr>
      <t xml:space="preserve">見込</t>
    </r>
  </si>
  <si>
    <r>
      <rPr>
        <b val="true"/>
        <sz val="11"/>
        <color rgb="FFFFFFFF"/>
        <rFont val="Arial"/>
        <family val="0"/>
        <charset val="1"/>
      </rPr>
      <t xml:space="preserve">A. </t>
    </r>
    <r>
      <rPr>
        <b val="true"/>
        <sz val="11"/>
        <color rgb="FFFFFFFF"/>
        <rFont val="WenQuanYi Zen Hei"/>
        <family val="2"/>
      </rPr>
      <t xml:space="preserve">撤退後実力値
横ばいのみ</t>
    </r>
  </si>
  <si>
    <r>
      <rPr>
        <b val="true"/>
        <sz val="11"/>
        <color rgb="FFFFFFFF"/>
        <rFont val="Arial"/>
        <family val="0"/>
        <charset val="1"/>
      </rPr>
      <t xml:space="preserve">B. A</t>
    </r>
    <r>
      <rPr>
        <b val="true"/>
        <sz val="11"/>
        <color rgb="FFFFFFFF"/>
        <rFont val="WenQuanYi Zen Hei"/>
        <family val="2"/>
      </rPr>
      <t xml:space="preserve">＋上乗せ
</t>
    </r>
    <r>
      <rPr>
        <b val="true"/>
        <sz val="11"/>
        <color rgb="FFFFFFFF"/>
        <rFont val="Arial"/>
        <family val="0"/>
        <charset val="1"/>
      </rPr>
      <t xml:space="preserve">132.5</t>
    </r>
    <r>
      <rPr>
        <b val="true"/>
        <sz val="11"/>
        <color rgb="FFFFFFFF"/>
        <rFont val="WenQuanYi Zen Hei"/>
        <family val="2"/>
      </rPr>
      <t xml:space="preserve">百万円</t>
    </r>
  </si>
  <si>
    <r>
      <rPr>
        <b val="true"/>
        <sz val="11"/>
        <color rgb="FFFFFFFF"/>
        <rFont val="Arial"/>
        <family val="0"/>
        <charset val="1"/>
      </rPr>
      <t xml:space="preserve">C. </t>
    </r>
    <r>
      <rPr>
        <b val="true"/>
        <sz val="11"/>
        <color rgb="FFFFFFFF"/>
        <rFont val="WenQuanYi Zen Hei"/>
        <family val="2"/>
      </rPr>
      <t xml:space="preserve">営業利益
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億円</t>
    </r>
  </si>
  <si>
    <t xml:space="preserve">コメント</t>
  </si>
  <si>
    <t xml:space="preserve">既存事業 売上</t>
  </si>
  <si>
    <t xml:space="preserve">売上総利益（既存事業）</t>
  </si>
  <si>
    <t xml:space="preserve">＋上乗せ案件（営業収益）</t>
  </si>
  <si>
    <r>
      <rPr>
        <sz val="9"/>
        <color rgb="FF595959"/>
        <rFont val="WenQuanYi Zen Hei"/>
        <family val="2"/>
      </rPr>
      <t xml:space="preserve">経営指導料</t>
    </r>
    <r>
      <rPr>
        <sz val="9"/>
        <color rgb="FF595959"/>
        <rFont val="Arial"/>
        <family val="0"/>
        <charset val="1"/>
      </rPr>
      <t xml:space="preserve">92.5</t>
    </r>
    <r>
      <rPr>
        <sz val="9"/>
        <color rgb="FF595959"/>
        <rFont val="WenQuanYi Zen Hei"/>
        <family val="2"/>
      </rPr>
      <t xml:space="preserve">百万＋インセンティブ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WenQuanYi Zen Hei"/>
        <family val="2"/>
      </rPr>
      <t xml:space="preserve">百万</t>
    </r>
  </si>
  <si>
    <t xml:space="preserve">＋追加で必要な粗利</t>
  </si>
  <si>
    <t xml:space="preserve">目標達成に必要な粗利の上積み</t>
  </si>
  <si>
    <t xml:space="preserve">売上総利益 合計</t>
  </si>
  <si>
    <t xml:space="preserve">販管費 小計</t>
  </si>
  <si>
    <r>
      <rPr>
        <sz val="9"/>
        <color rgb="FF595959"/>
        <rFont val="Arial"/>
        <family val="0"/>
        <charset val="1"/>
      </rPr>
      <t xml:space="preserve">2026/04-06</t>
    </r>
    <r>
      <rPr>
        <sz val="9"/>
        <color rgb="FF595959"/>
        <rFont val="WenQuanYi Zen Hei"/>
        <family val="2"/>
      </rPr>
      <t xml:space="preserve">実績の月平均</t>
    </r>
    <r>
      <rPr>
        <sz val="9"/>
        <color rgb="FF595959"/>
        <rFont val="Arial"/>
        <family val="0"/>
        <charset val="1"/>
      </rPr>
      <t xml:space="preserve">×12</t>
    </r>
  </si>
  <si>
    <t xml:space="preserve">上場関連コスト</t>
  </si>
  <si>
    <r>
      <rPr>
        <sz val="9"/>
        <color rgb="FF595959"/>
        <rFont val="Arial"/>
        <family val="0"/>
        <charset val="1"/>
      </rPr>
      <t xml:space="preserve">FY2027</t>
    </r>
    <r>
      <rPr>
        <sz val="9"/>
        <color rgb="FF595959"/>
        <rFont val="WenQuanYi Zen Hei"/>
        <family val="2"/>
      </rPr>
      <t xml:space="preserve">は計上しない方針</t>
    </r>
  </si>
  <si>
    <t xml:space="preserve">販管費 合計</t>
  </si>
  <si>
    <t xml:space="preserve">営業利益</t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</si>
  <si>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は目標営業利益を固定して逆算</t>
    </r>
  </si>
  <si>
    <t xml:space="preserve">営業外収益（投資売買益）</t>
  </si>
  <si>
    <t xml:space="preserve">営業外費用</t>
  </si>
  <si>
    <t xml:space="preserve">経常利益</t>
  </si>
  <si>
    <t xml:space="preserve">法人税等</t>
  </si>
  <si>
    <r>
      <rPr>
        <sz val="9"/>
        <color rgb="FF595959"/>
        <rFont val="WenQuanYi Zen Hei"/>
        <family val="2"/>
      </rPr>
      <t xml:space="preserve">繰越欠損金 約</t>
    </r>
    <r>
      <rPr>
        <sz val="9"/>
        <color rgb="FF595959"/>
        <rFont val="Arial"/>
        <family val="0"/>
        <charset val="1"/>
      </rPr>
      <t xml:space="preserve">252</t>
    </r>
    <r>
      <rPr>
        <sz val="9"/>
        <color rgb="FF595959"/>
        <rFont val="WenQuanYi Zen Hei"/>
        <family val="2"/>
      </rPr>
      <t xml:space="preserve">百万円により実質非課税</t>
    </r>
  </si>
  <si>
    <t xml:space="preserve">当期純利益</t>
  </si>
  <si>
    <r>
      <rPr>
        <b val="true"/>
        <sz val="12"/>
        <rFont val="WenQuanYi Zen Hei"/>
        <family val="2"/>
      </rPr>
      <t xml:space="preserve">【</t>
    </r>
    <r>
      <rPr>
        <b val="true"/>
        <sz val="12"/>
        <rFont val="Arial"/>
        <family val="0"/>
        <charset val="1"/>
      </rPr>
      <t xml:space="preserve">V</t>
    </r>
    <r>
      <rPr>
        <b val="true"/>
        <sz val="12"/>
        <rFont val="WenQuanYi Zen Hei"/>
        <family val="2"/>
      </rPr>
      <t xml:space="preserve">字回復に必要な追加売上】</t>
    </r>
  </si>
  <si>
    <t xml:space="preserve">追加売上</t>
  </si>
  <si>
    <r>
      <rPr>
        <b val="true"/>
        <sz val="11"/>
        <rFont val="WenQuanYi Zen Hei"/>
        <family val="2"/>
      </rPr>
      <t xml:space="preserve">新規顧客売上計画
</t>
    </r>
    <r>
      <rPr>
        <b val="true"/>
        <sz val="11"/>
        <rFont val="Arial"/>
        <family val="0"/>
        <charset val="1"/>
      </rPr>
      <t xml:space="preserve">1,066</t>
    </r>
    <r>
      <rPr>
        <b val="true"/>
        <sz val="11"/>
        <rFont val="WenQuanYi Zen Hei"/>
        <family val="2"/>
      </rPr>
      <t xml:space="preserve">百万円に対する比率</t>
    </r>
  </si>
  <si>
    <r>
      <rPr>
        <sz val="11"/>
        <rFont val="WenQuanYi Zen Hei"/>
        <family val="2"/>
      </rPr>
      <t xml:space="preserve">営業利益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億円に必要な追加売上</t>
    </r>
  </si>
  <si>
    <t xml:space="preserve">【判定】</t>
  </si>
  <si>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：撤退後の実力値を横ばいで延ばすだけでは営業利益▲</t>
    </r>
    <r>
      <rPr>
        <sz val="10"/>
        <rFont val="Arial"/>
        <family val="0"/>
        <charset val="1"/>
      </rPr>
      <t xml:space="preserve">99.6</t>
    </r>
    <r>
      <rPr>
        <sz val="10"/>
        <rFont val="WenQuanYi Zen Hei"/>
        <family val="2"/>
      </rPr>
      <t xml:space="preserve">百万円。上乗せなしでは黒字化しない。</t>
    </r>
  </si>
  <si>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：上乗せ案件</t>
    </r>
    <r>
      <rPr>
        <sz val="10"/>
        <rFont val="Arial"/>
        <family val="0"/>
        <charset val="1"/>
      </rPr>
      <t xml:space="preserve">132.5</t>
    </r>
    <r>
      <rPr>
        <sz val="10"/>
        <rFont val="WenQuanYi Zen Hei"/>
        <family val="2"/>
      </rPr>
      <t xml:space="preserve">百万円を計上すると営業利益＋</t>
    </r>
    <r>
      <rPr>
        <sz val="10"/>
        <rFont val="Arial"/>
        <family val="0"/>
        <charset val="1"/>
      </rPr>
      <t xml:space="preserve">12.9</t>
    </r>
    <r>
      <rPr>
        <sz val="10"/>
        <rFont val="WenQuanYi Zen Hei"/>
        <family val="2"/>
      </rPr>
      <t xml:space="preserve">百万円・経常利益＋</t>
    </r>
    <r>
      <rPr>
        <sz val="10"/>
        <rFont val="Arial"/>
        <family val="0"/>
        <charset val="1"/>
      </rPr>
      <t xml:space="preserve">17.9</t>
    </r>
    <r>
      <rPr>
        <sz val="10"/>
        <rFont val="WenQuanYi Zen Hei"/>
        <family val="2"/>
      </rPr>
      <t xml:space="preserve">百万円で黒字化する。</t>
    </r>
  </si>
  <si>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：営業利益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億円には、</t>
    </r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からさらに粗利</t>
    </r>
    <r>
      <rPr>
        <sz val="10"/>
        <rFont val="Arial"/>
        <family val="0"/>
        <charset val="1"/>
      </rPr>
      <t xml:space="preserve">87.1</t>
    </r>
    <r>
      <rPr>
        <sz val="10"/>
        <rFont val="WenQuanYi Zen Hei"/>
        <family val="2"/>
      </rPr>
      <t xml:space="preserve">百万円の上積みが必要。追加売上は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6,888</t>
    </r>
    <r>
      <rPr>
        <sz val="10"/>
        <rFont val="WenQuanYi Zen Hei"/>
        <family val="2"/>
      </rPr>
      <t xml:space="preserve">万円。</t>
    </r>
  </si>
  <si>
    <r>
      <rPr>
        <sz val="10"/>
        <rFont val="WenQuanYi Zen Hei"/>
        <family val="2"/>
      </rPr>
      <t xml:space="preserve">　　これは新規顧客売上計画（</t>
    </r>
    <r>
      <rPr>
        <sz val="10"/>
        <rFont val="Arial"/>
        <family val="0"/>
        <charset val="1"/>
      </rPr>
      <t xml:space="preserve">1,066</t>
    </r>
    <r>
      <rPr>
        <sz val="10"/>
        <rFont val="WenQuanYi Zen Hei"/>
        <family val="2"/>
      </rPr>
      <t xml:space="preserve">百万円）の</t>
    </r>
    <r>
      <rPr>
        <sz val="10"/>
        <rFont val="Arial"/>
        <family val="0"/>
        <charset val="1"/>
      </rPr>
      <t xml:space="preserve">15.8%</t>
    </r>
    <r>
      <rPr>
        <sz val="10"/>
        <rFont val="WenQuanYi Zen Hei"/>
        <family val="2"/>
      </rPr>
      <t xml:space="preserve">にあたる。</t>
    </r>
  </si>
  <si>
    <r>
      <rPr>
        <sz val="10"/>
        <rFont val="WenQuanYi Zen Hei"/>
        <family val="2"/>
      </rPr>
      <t xml:space="preserve">※上場関連コストは</t>
    </r>
    <r>
      <rPr>
        <sz val="10"/>
        <rFont val="Arial"/>
        <family val="0"/>
        <charset val="1"/>
      </rPr>
      <t xml:space="preserve">FY2027</t>
    </r>
    <r>
      <rPr>
        <sz val="10"/>
        <rFont val="WenQuanYi Zen Hei"/>
        <family val="2"/>
      </rPr>
      <t xml:space="preserve">は計上しない前提（②前提シートで年額を入力すれば再計算されます）。</t>
    </r>
  </si>
  <si>
    <r>
      <rPr>
        <sz val="10"/>
        <rFont val="WenQuanYi Zen Hei"/>
        <family val="2"/>
      </rPr>
      <t xml:space="preserve">※上乗せ案件のうち約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百万円はグループ内取引。銀行は正常化調整で控除する可能性が高い。</t>
    </r>
  </si>
  <si>
    <r>
      <rPr>
        <sz val="10"/>
        <rFont val="Arial"/>
        <family val="0"/>
        <charset val="1"/>
      </rPr>
      <t xml:space="preserve">※FY2026</t>
    </r>
    <r>
      <rPr>
        <sz val="10"/>
        <rFont val="WenQuanYi Zen Hei"/>
        <family val="2"/>
      </rPr>
      <t xml:space="preserve">見込には</t>
    </r>
    <r>
      <rPr>
        <sz val="10"/>
        <rFont val="Arial"/>
        <family val="0"/>
        <charset val="1"/>
      </rPr>
      <t xml:space="preserve">2026/09</t>
    </r>
    <r>
      <rPr>
        <sz val="10"/>
        <rFont val="WenQuanYi Zen Hei"/>
        <family val="2"/>
      </rPr>
      <t xml:space="preserve">単月に売上</t>
    </r>
    <r>
      <rPr>
        <sz val="10"/>
        <rFont val="Arial"/>
        <family val="0"/>
        <charset val="1"/>
      </rPr>
      <t xml:space="preserve">232.9</t>
    </r>
    <r>
      <rPr>
        <sz val="10"/>
        <rFont val="WenQuanYi Zen Hei"/>
        <family val="2"/>
      </rPr>
      <t xml:space="preserve">百万円（通期の</t>
    </r>
    <r>
      <rPr>
        <sz val="10"/>
        <rFont val="Arial"/>
        <family val="0"/>
        <charset val="1"/>
      </rPr>
      <t xml:space="preserve">33%</t>
    </r>
    <r>
      <rPr>
        <sz val="10"/>
        <rFont val="WenQuanYi Zen Hei"/>
        <family val="2"/>
      </rPr>
      <t xml:space="preserve">）を織り込み。粗利率</t>
    </r>
    <r>
      <rPr>
        <sz val="10"/>
        <rFont val="Arial"/>
        <family val="0"/>
        <charset val="1"/>
      </rPr>
      <t xml:space="preserve">12%</t>
    </r>
    <r>
      <rPr>
        <sz val="10"/>
        <rFont val="WenQuanYi Zen Hei"/>
        <family val="2"/>
      </rPr>
      <t xml:space="preserve">のため営業利益寄与は＋</t>
    </r>
    <r>
      <rPr>
        <sz val="10"/>
        <rFont val="Arial"/>
        <family val="0"/>
        <charset val="1"/>
      </rPr>
      <t xml:space="preserve">5.5</t>
    </r>
    <r>
      <rPr>
        <sz val="10"/>
        <rFont val="WenQuanYi Zen Hei"/>
        <family val="2"/>
      </rPr>
      <t xml:space="preserve">百万円のみ。</t>
    </r>
  </si>
  <si>
    <r>
      <rPr>
        <b val="true"/>
        <sz val="13"/>
        <rFont val="Arial"/>
        <family val="0"/>
        <charset val="1"/>
      </rPr>
      <t xml:space="preserve">FY2026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2025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</t>
    </r>
    <r>
      <rPr>
        <b val="true"/>
        <sz val="13"/>
        <rFont val="Arial"/>
        <family val="0"/>
        <charset val="1"/>
      </rPr>
      <t xml:space="preserve">-2026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9</t>
    </r>
    <r>
      <rPr>
        <b val="true"/>
        <sz val="13"/>
        <rFont val="WenQuanYi Zen Hei"/>
        <family val="2"/>
      </rPr>
      <t xml:space="preserve">月）月次　実績／見込</t>
    </r>
  </si>
  <si>
    <r>
      <rPr>
        <sz val="9"/>
        <color rgb="FF595959"/>
        <rFont val="WenQuanYi Zen Hei"/>
        <family val="2"/>
      </rPr>
      <t xml:space="preserve">青字＝実績（</t>
    </r>
    <r>
      <rPr>
        <sz val="9"/>
        <color rgb="FF595959"/>
        <rFont val="Arial"/>
        <family val="0"/>
        <charset val="1"/>
      </rPr>
      <t xml:space="preserve">2026/06</t>
    </r>
    <r>
      <rPr>
        <sz val="9"/>
        <color rgb="FF595959"/>
        <rFont val="WenQuanYi Zen Hei"/>
        <family val="2"/>
      </rPr>
      <t xml:space="preserve">まで）　灰字斜体＝見込（</t>
    </r>
    <r>
      <rPr>
        <sz val="9"/>
        <color rgb="FF595959"/>
        <rFont val="Arial"/>
        <family val="0"/>
        <charset val="1"/>
      </rPr>
      <t xml:space="preserve">2026/07</t>
    </r>
    <r>
      <rPr>
        <sz val="9"/>
        <color rgb="FF595959"/>
        <rFont val="WenQuanYi Zen Hei"/>
        <family val="2"/>
      </rPr>
      <t xml:space="preserve">以降・同一値が並ぶプラグ）　出典：事業計画</t>
    </r>
    <r>
      <rPr>
        <sz val="9"/>
        <color rgb="FF595959"/>
        <rFont val="Arial"/>
        <family val="0"/>
        <charset val="1"/>
      </rPr>
      <t xml:space="preserve">202608</t>
    </r>
    <r>
      <rPr>
        <sz val="9"/>
        <color rgb="FF595959"/>
        <rFont val="WenQuanYi Zen Hei"/>
        <family val="2"/>
      </rPr>
      <t xml:space="preserve">（銀行様）全社シート</t>
    </r>
  </si>
  <si>
    <r>
      <rPr>
        <sz val="9"/>
        <color rgb="FFC00000"/>
        <rFont val="WenQuanYi Zen Hei"/>
        <family val="2"/>
      </rPr>
      <t xml:space="preserve">飲食事業の撤退により、</t>
    </r>
    <r>
      <rPr>
        <sz val="9"/>
        <color rgb="FFC00000"/>
        <rFont val="Arial"/>
        <family val="0"/>
        <charset val="1"/>
      </rPr>
      <t xml:space="preserve">2026/04</t>
    </r>
    <r>
      <rPr>
        <sz val="9"/>
        <color rgb="FFC00000"/>
        <rFont val="WenQuanYi Zen Hei"/>
        <family val="2"/>
      </rPr>
      <t xml:space="preserve">以降が撤退後の実力値。</t>
    </r>
    <r>
      <rPr>
        <sz val="9"/>
        <color rgb="FFC00000"/>
        <rFont val="Arial"/>
        <family val="0"/>
        <charset val="1"/>
      </rPr>
      <t xml:space="preserve">2025/10-2026/03</t>
    </r>
    <r>
      <rPr>
        <sz val="9"/>
        <color rgb="FFC00000"/>
        <rFont val="WenQuanYi Zen Hei"/>
        <family val="2"/>
      </rPr>
      <t xml:space="preserve">には撤退店舗の費用が含まれる。</t>
    </r>
  </si>
  <si>
    <t xml:space="preserve">2025/10</t>
  </si>
  <si>
    <t xml:space="preserve">2025/11</t>
  </si>
  <si>
    <t xml:space="preserve">2025/12</t>
  </si>
  <si>
    <t xml:space="preserve">2026/01</t>
  </si>
  <si>
    <t xml:space="preserve">2026/02</t>
  </si>
  <si>
    <t xml:space="preserve">2026/03</t>
  </si>
  <si>
    <t xml:space="preserve">2026/04</t>
  </si>
  <si>
    <t xml:space="preserve">2026/05</t>
  </si>
  <si>
    <t xml:space="preserve">2026/06</t>
  </si>
  <si>
    <t xml:space="preserve">2026/07</t>
  </si>
  <si>
    <t xml:space="preserve">2026/08</t>
  </si>
  <si>
    <t xml:space="preserve">2026/09</t>
  </si>
  <si>
    <t xml:space="preserve">通期</t>
  </si>
  <si>
    <r>
      <rPr>
        <b val="true"/>
        <sz val="11"/>
        <rFont val="Arial"/>
        <family val="0"/>
        <charset val="1"/>
      </rPr>
      <t xml:space="preserve">①10-3</t>
    </r>
    <r>
      <rPr>
        <b val="true"/>
        <sz val="11"/>
        <rFont val="WenQuanYi Zen Hei"/>
        <family val="2"/>
      </rPr>
      <t xml:space="preserve">月
平均</t>
    </r>
  </si>
  <si>
    <r>
      <rPr>
        <b val="true"/>
        <sz val="11"/>
        <rFont val="Arial"/>
        <family val="0"/>
        <charset val="1"/>
      </rPr>
      <t xml:space="preserve">②4-6</t>
    </r>
    <r>
      <rPr>
        <b val="true"/>
        <sz val="11"/>
        <rFont val="WenQuanYi Zen Hei"/>
        <family val="2"/>
      </rPr>
      <t xml:space="preserve">月
平均</t>
    </r>
  </si>
  <si>
    <r>
      <rPr>
        <b val="true"/>
        <sz val="11"/>
        <rFont val="WenQuanYi Zen Hei"/>
        <family val="2"/>
      </rPr>
      <t xml:space="preserve">差 ②</t>
    </r>
    <r>
      <rPr>
        <b val="true"/>
        <sz val="11"/>
        <rFont val="Arial"/>
        <family val="0"/>
        <charset val="1"/>
      </rPr>
      <t xml:space="preserve">-①</t>
    </r>
  </si>
  <si>
    <t xml:space="preserve">売上</t>
  </si>
  <si>
    <t xml:space="preserve">売上原価</t>
  </si>
  <si>
    <t xml:space="preserve">売上総利益</t>
  </si>
  <si>
    <t xml:space="preserve">【販売費及び一般管理費 内訳】</t>
  </si>
  <si>
    <t xml:space="preserve">役員報酬</t>
  </si>
  <si>
    <t xml:space="preserve">従業員給与</t>
  </si>
  <si>
    <t xml:space="preserve">雑給</t>
  </si>
  <si>
    <t xml:space="preserve">法定福利費</t>
  </si>
  <si>
    <t xml:space="preserve">広告宣伝費・販売促進費</t>
  </si>
  <si>
    <t xml:space="preserve">発送配達費</t>
  </si>
  <si>
    <t xml:space="preserve">支払手数料</t>
  </si>
  <si>
    <t xml:space="preserve">地代家賃</t>
  </si>
  <si>
    <t xml:space="preserve">通信交通費</t>
  </si>
  <si>
    <t xml:space="preserve">水道光熱費</t>
  </si>
  <si>
    <t xml:space="preserve">接待交際費</t>
  </si>
  <si>
    <t xml:space="preserve">保険料</t>
  </si>
  <si>
    <t xml:space="preserve">研修採用費</t>
  </si>
  <si>
    <t xml:space="preserve">備品消耗品費</t>
  </si>
  <si>
    <t xml:space="preserve">管理諸費</t>
  </si>
  <si>
    <t xml:space="preserve">清掃費</t>
  </si>
  <si>
    <t xml:space="preserve">業務委託費</t>
  </si>
  <si>
    <t xml:space="preserve">会議費</t>
  </si>
  <si>
    <t xml:space="preserve">雑費</t>
  </si>
  <si>
    <t xml:space="preserve">租税公課</t>
  </si>
  <si>
    <t xml:space="preserve">諸会費</t>
  </si>
  <si>
    <t xml:space="preserve">減価償却費</t>
  </si>
  <si>
    <t xml:space="preserve">倉庫＆保管・移設代</t>
  </si>
  <si>
    <r>
      <rPr>
        <sz val="9"/>
        <color rgb="FFC00000"/>
        <rFont val="WenQuanYi Zen Hei"/>
        <family val="2"/>
      </rPr>
      <t xml:space="preserve">※「差 ②</t>
    </r>
    <r>
      <rPr>
        <sz val="9"/>
        <color rgb="FFC00000"/>
        <rFont val="Arial"/>
        <family val="0"/>
        <charset val="1"/>
      </rPr>
      <t xml:space="preserve">-①</t>
    </r>
    <r>
      <rPr>
        <sz val="9"/>
        <color rgb="FFC00000"/>
        <rFont val="WenQuanYi Zen Hei"/>
        <family val="2"/>
      </rPr>
      <t xml:space="preserve">」がマイナスの科目＝飲食撤退および固定費削減により減少した費用。合計で月▲</t>
    </r>
    <r>
      <rPr>
        <sz val="9"/>
        <color rgb="FFC00000"/>
        <rFont val="Arial"/>
        <family val="0"/>
        <charset val="1"/>
      </rPr>
      <t xml:space="preserve">8.58</t>
    </r>
    <r>
      <rPr>
        <sz val="9"/>
        <color rgb="FFC00000"/>
        <rFont val="WenQuanYi Zen Hei"/>
        <family val="2"/>
      </rPr>
      <t xml:space="preserve">百万円（年▲</t>
    </r>
    <r>
      <rPr>
        <sz val="9"/>
        <color rgb="FFC00000"/>
        <rFont val="Arial"/>
        <family val="0"/>
        <charset val="1"/>
      </rPr>
      <t xml:space="preserve">103</t>
    </r>
    <r>
      <rPr>
        <sz val="9"/>
        <color rgb="FFC00000"/>
        <rFont val="WenQuanYi Zen Hei"/>
        <family val="2"/>
      </rPr>
      <t xml:space="preserve">百万円）。</t>
    </r>
  </si>
  <si>
    <r>
      <rPr>
        <b val="true"/>
        <sz val="14"/>
        <rFont val="Arial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2027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月期）利益予測モデル　－　前提条件</t>
    </r>
  </si>
  <si>
    <r>
      <rPr>
        <sz val="9"/>
        <color rgb="FF595959"/>
        <rFont val="WenQuanYi Zen Hei"/>
        <family val="2"/>
      </rPr>
      <t xml:space="preserve">青字＝入力セル／黄色＝主要前提／黒字＝計算式　単位：円（税別）　作成日 </t>
    </r>
    <r>
      <rPr>
        <sz val="9"/>
        <color rgb="FF595959"/>
        <rFont val="Arial"/>
        <family val="0"/>
        <charset val="1"/>
      </rPr>
      <t xml:space="preserve">2026/08/21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</si>
  <si>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】ベース：飲食撤退後の実力値（</t>
    </r>
    <r>
      <rPr>
        <b val="true"/>
        <sz val="11"/>
        <color rgb="FFFFFFFF"/>
        <rFont val="Arial"/>
        <family val="0"/>
        <charset val="1"/>
      </rPr>
      <t xml:space="preserve">2026/04-06 </t>
    </r>
    <r>
      <rPr>
        <b val="true"/>
        <sz val="11"/>
        <color rgb="FFFFFFFF"/>
        <rFont val="WenQuanYi Zen Hei"/>
        <family val="2"/>
      </rPr>
      <t xml:space="preserve">実績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か月平均）</t>
    </r>
  </si>
  <si>
    <t xml:space="preserve">項目</t>
  </si>
  <si>
    <t xml:space="preserve">月次平均</t>
  </si>
  <si>
    <r>
      <rPr>
        <sz val="9"/>
        <color rgb="FFC00000"/>
        <rFont val="Arial"/>
        <family val="0"/>
        <charset val="1"/>
      </rPr>
      <t xml:space="preserve">2026/03</t>
    </r>
    <r>
      <rPr>
        <sz val="9"/>
        <color rgb="FFC00000"/>
        <rFont val="WenQuanYi Zen Hei"/>
        <family val="2"/>
      </rPr>
      <t xml:space="preserve">以前は飲食撤退店舗の売上・費用を含むため基準から除外（貴社ご指摘）。</t>
    </r>
  </si>
  <si>
    <t xml:space="preserve">販管費</t>
  </si>
  <si>
    <t xml:space="preserve">売上総利益率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</si>
  <si>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】上乗せ案件（</t>
    </r>
    <r>
      <rPr>
        <b val="true"/>
        <sz val="11"/>
        <color rgb="FFFFFFFF"/>
        <rFont val="Arial"/>
        <family val="0"/>
        <charset val="1"/>
      </rPr>
      <t xml:space="preserve">2026/09-2027/08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</si>
  <si>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区分</t>
  </si>
  <si>
    <t xml:space="preserve">金額</t>
  </si>
  <si>
    <t xml:space="preserve">損益計上区分</t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</si>
  <si>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Value table</t>
    </r>
  </si>
  <si>
    <t xml:space="preserve">営業収益（原価なし）</t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</si>
  <si>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Prime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</si>
  <si>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Apicius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</si>
  <si>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Thierry Marx</t>
    </r>
  </si>
  <si>
    <r>
      <rPr>
        <sz val="11"/>
        <rFont val="WenQuanYi Zen Hei"/>
        <family val="2"/>
      </rPr>
      <t xml:space="preserve">経営指導料　</t>
    </r>
    <r>
      <rPr>
        <sz val="11"/>
        <rFont val="Arial"/>
        <family val="0"/>
        <charset val="1"/>
      </rPr>
      <t xml:space="preserve">ito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Aqua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Hokkaido</t>
    </r>
  </si>
  <si>
    <r>
      <rPr>
        <sz val="11"/>
        <rFont val="WenQuanYi Zen Hei"/>
        <family val="2"/>
      </rPr>
      <t xml:space="preserve">インセンティブ　</t>
    </r>
    <r>
      <rPr>
        <sz val="11"/>
        <rFont val="Arial"/>
        <family val="0"/>
        <charset val="1"/>
      </rPr>
      <t xml:space="preserve">Apicius2 shot</t>
    </r>
  </si>
  <si>
    <t xml:space="preserve">営業収益（成功報酬・一時）</t>
  </si>
  <si>
    <r>
      <rPr>
        <sz val="11"/>
        <rFont val="WenQuanYi Zen Hei"/>
        <family val="2"/>
      </rPr>
      <t xml:space="preserve">投資売買益　</t>
    </r>
    <r>
      <rPr>
        <sz val="11"/>
        <rFont val="Arial"/>
        <family val="0"/>
        <charset val="1"/>
      </rPr>
      <t xml:space="preserve">Cruiser shot</t>
    </r>
  </si>
  <si>
    <t xml:space="preserve">営業外収益（一時）</t>
  </si>
  <si>
    <t xml:space="preserve">合計</t>
  </si>
  <si>
    <r>
      <rPr>
        <sz val="9"/>
        <color rgb="FFC00000"/>
        <rFont val="WenQuanYi Zen Hei"/>
        <family val="2"/>
      </rPr>
      <t xml:space="preserve">※期間表記は</t>
    </r>
    <r>
      <rPr>
        <sz val="9"/>
        <color rgb="FFC00000"/>
        <rFont val="Arial"/>
        <family val="0"/>
        <charset val="1"/>
      </rPr>
      <t xml:space="preserve">2026/09-2027/08</t>
    </r>
    <r>
      <rPr>
        <sz val="9"/>
        <color rgb="FFC00000"/>
        <rFont val="WenQuanYi Zen Hei"/>
        <family val="2"/>
      </rPr>
      <t xml:space="preserve">。決算期</t>
    </r>
    <r>
      <rPr>
        <sz val="9"/>
        <color rgb="FFC00000"/>
        <rFont val="Arial"/>
        <family val="0"/>
        <charset val="1"/>
      </rPr>
      <t xml:space="preserve">(2026/10-2027/09)</t>
    </r>
    <r>
      <rPr>
        <sz val="9"/>
        <color rgb="FFC00000"/>
        <rFont val="WenQuanYi Zen Hei"/>
        <family val="2"/>
      </rPr>
      <t xml:space="preserve">と</t>
    </r>
    <r>
      <rPr>
        <sz val="9"/>
        <color rgb="FFC00000"/>
        <rFont val="Arial"/>
        <family val="0"/>
        <charset val="1"/>
      </rPr>
      <t xml:space="preserve">1</t>
    </r>
    <r>
      <rPr>
        <sz val="9"/>
        <color rgb="FFC00000"/>
        <rFont val="WenQuanYi Zen Hei"/>
        <family val="2"/>
      </rPr>
      <t xml:space="preserve">か月ズレるため全額</t>
    </r>
    <r>
      <rPr>
        <sz val="9"/>
        <color rgb="FFC00000"/>
        <rFont val="Arial"/>
        <family val="0"/>
        <charset val="1"/>
      </rPr>
      <t xml:space="preserve">FY2027</t>
    </r>
    <r>
      <rPr>
        <sz val="9"/>
        <color rgb="FFC00000"/>
        <rFont val="WenQuanYi Zen Hei"/>
        <family val="2"/>
      </rPr>
      <t xml:space="preserve">帰属で試算。</t>
    </r>
  </si>
  <si>
    <t xml:space="preserve">　うち 営業収益</t>
  </si>
  <si>
    <r>
      <rPr>
        <sz val="9"/>
        <color rgb="FFC00000"/>
        <rFont val="WenQuanYi Zen Hei"/>
        <family val="2"/>
      </rPr>
      <t xml:space="preserve">※うち約</t>
    </r>
    <r>
      <rPr>
        <sz val="9"/>
        <color rgb="FFC00000"/>
        <rFont val="Arial"/>
        <family val="0"/>
        <charset val="1"/>
      </rPr>
      <t xml:space="preserve">100</t>
    </r>
    <r>
      <rPr>
        <sz val="9"/>
        <color rgb="FFC00000"/>
        <rFont val="WenQuanYi Zen Hei"/>
        <family val="2"/>
      </rPr>
      <t xml:space="preserve">百万円はグループ内取引（</t>
    </r>
    <r>
      <rPr>
        <sz val="9"/>
        <color rgb="FFC00000"/>
        <rFont val="Arial"/>
        <family val="0"/>
        <charset val="1"/>
      </rPr>
      <t xml:space="preserve">Value table</t>
    </r>
    <r>
      <rPr>
        <sz val="9"/>
        <color rgb="FFC00000"/>
        <rFont val="WenQuanYi Zen Hei"/>
        <family val="2"/>
      </rPr>
      <t xml:space="preserve">・</t>
    </r>
    <r>
      <rPr>
        <sz val="9"/>
        <color rgb="FFC00000"/>
        <rFont val="Arial"/>
        <family val="0"/>
        <charset val="1"/>
      </rPr>
      <t xml:space="preserve">Prime</t>
    </r>
    <r>
      <rPr>
        <sz val="9"/>
        <color rgb="FFC00000"/>
        <rFont val="WenQuanYi Zen Hei"/>
        <family val="2"/>
      </rPr>
      <t xml:space="preserve">・</t>
    </r>
    <r>
      <rPr>
        <sz val="9"/>
        <color rgb="FFC00000"/>
        <rFont val="Arial"/>
        <family val="0"/>
        <charset val="1"/>
      </rPr>
      <t xml:space="preserve">Apicius</t>
    </r>
    <r>
      <rPr>
        <sz val="9"/>
        <color rgb="FFC00000"/>
        <rFont val="WenQuanYi Zen Hei"/>
        <family val="2"/>
      </rPr>
      <t xml:space="preserve">・</t>
    </r>
    <r>
      <rPr>
        <sz val="9"/>
        <color rgb="FFC00000"/>
        <rFont val="Arial"/>
        <family val="0"/>
        <charset val="1"/>
      </rPr>
      <t xml:space="preserve">Apicius2</t>
    </r>
    <r>
      <rPr>
        <sz val="9"/>
        <color rgb="FFC00000"/>
        <rFont val="WenQuanYi Zen Hei"/>
        <family val="2"/>
      </rPr>
      <t xml:space="preserve">）。</t>
    </r>
  </si>
  <si>
    <t xml:space="preserve">　うち 営業外収益</t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</si>
  <si>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】その他前提</t>
    </r>
  </si>
  <si>
    <t xml:space="preserve">上場関連コスト（年額）</t>
  </si>
  <si>
    <r>
      <rPr>
        <sz val="9"/>
        <color rgb="FF595959"/>
        <rFont val="Arial"/>
        <family val="0"/>
        <charset val="1"/>
      </rPr>
      <t xml:space="preserve">FY2027</t>
    </r>
    <r>
      <rPr>
        <sz val="9"/>
        <color rgb="FF595959"/>
        <rFont val="WenQuanYi Zen Hei"/>
        <family val="2"/>
      </rPr>
      <t xml:space="preserve">は計上しない方針のため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。計上する場合は年額を入力。</t>
    </r>
  </si>
  <si>
    <t xml:space="preserve">営業外費用（支払利息等・年額）</t>
  </si>
  <si>
    <r>
      <rPr>
        <sz val="9"/>
        <color rgb="FF595959"/>
        <rFont val="WenQuanYi Zen Hei"/>
        <family val="2"/>
      </rPr>
      <t xml:space="preserve">事業計画</t>
    </r>
    <r>
      <rPr>
        <sz val="9"/>
        <color rgb="FF595959"/>
        <rFont val="Arial"/>
        <family val="0"/>
        <charset val="1"/>
      </rPr>
      <t xml:space="preserve">FY2027</t>
    </r>
    <r>
      <rPr>
        <sz val="9"/>
        <color rgb="FF595959"/>
        <rFont val="WenQuanYi Zen Hei"/>
        <family val="2"/>
      </rPr>
      <t xml:space="preserve">計画値</t>
    </r>
  </si>
  <si>
    <r>
      <rPr>
        <sz val="11"/>
        <rFont val="WenQuanYi Zen Hei"/>
        <family val="2"/>
      </rPr>
      <t xml:space="preserve">インセンティブ 計上月（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</si>
  <si>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月</t>
    </r>
  </si>
  <si>
    <r>
      <rPr>
        <sz val="11"/>
        <rFont val="WenQuanYi Zen Hei"/>
        <family val="2"/>
      </rPr>
      <t xml:space="preserve">投資売買益 計上月（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</t>
    </r>
  </si>
  <si>
    <t xml:space="preserve">目標営業利益</t>
  </si>
  <si>
    <r>
      <rPr>
        <sz val="9"/>
        <color rgb="FF595959"/>
        <rFont val="WenQuanYi Zen Hei"/>
        <family val="2"/>
      </rPr>
      <t xml:space="preserve">シナリオ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の目標</t>
    </r>
  </si>
  <si>
    <r>
      <rPr>
        <sz val="11"/>
        <rFont val="WenQuanYi Zen Hei"/>
        <family val="2"/>
      </rPr>
      <t xml:space="preserve">新規顧客売上 計画額（</t>
    </r>
    <r>
      <rPr>
        <sz val="11"/>
        <rFont val="Arial"/>
        <family val="0"/>
        <charset val="1"/>
      </rPr>
      <t xml:space="preserve">FY2027</t>
    </r>
    <r>
      <rPr>
        <sz val="11"/>
        <rFont val="WenQuanYi Zen Hei"/>
        <family val="2"/>
      </rPr>
      <t xml:space="preserve">）</t>
    </r>
  </si>
  <si>
    <t xml:space="preserve">事業計画のワイン投資 新規顧客計画 合計</t>
  </si>
  <si>
    <t xml:space="preserve">均等割のみ</t>
  </si>
  <si>
    <r>
      <rPr>
        <sz val="9"/>
        <color rgb="FF595959"/>
        <rFont val="WenQuanYi Zen Hei"/>
        <family val="2"/>
      </rPr>
      <t xml:space="preserve">繰越欠損金 約</t>
    </r>
    <r>
      <rPr>
        <sz val="9"/>
        <color rgb="FF595959"/>
        <rFont val="Arial"/>
        <family val="0"/>
        <charset val="1"/>
      </rPr>
      <t xml:space="preserve">252</t>
    </r>
    <r>
      <rPr>
        <sz val="9"/>
        <color rgb="FF595959"/>
        <rFont val="WenQuanYi Zen Hei"/>
        <family val="2"/>
      </rPr>
      <t xml:space="preserve">百万円（</t>
    </r>
    <r>
      <rPr>
        <sz val="9"/>
        <color rgb="FF595959"/>
        <rFont val="Arial"/>
        <family val="0"/>
        <charset val="1"/>
      </rPr>
      <t xml:space="preserve">FY2025▲127.4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FY2026▲124.8</t>
    </r>
    <r>
      <rPr>
        <sz val="9"/>
        <color rgb="FF595959"/>
        <rFont val="WenQuanYi Zen Hei"/>
        <family val="2"/>
      </rPr>
      <t xml:space="preserve">）。資本金</t>
    </r>
    <r>
      <rPr>
        <sz val="9"/>
        <color rgb="FF595959"/>
        <rFont val="Arial"/>
        <family val="0"/>
        <charset val="1"/>
      </rPr>
      <t xml:space="preserve">1,000</t>
    </r>
    <r>
      <rPr>
        <sz val="9"/>
        <color rgb="FF595959"/>
        <rFont val="WenQuanYi Zen Hei"/>
        <family val="2"/>
      </rPr>
      <t xml:space="preserve">万円の中小法人は所得の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控除可。</t>
    </r>
  </si>
  <si>
    <r>
      <rPr>
        <b val="true"/>
        <sz val="13"/>
        <rFont val="Arial"/>
        <family val="0"/>
        <charset val="1"/>
      </rPr>
      <t xml:space="preserve">FY2027</t>
    </r>
    <r>
      <rPr>
        <b val="true"/>
        <sz val="13"/>
        <rFont val="WenQuanYi Zen Hei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</t>
    </r>
    <r>
      <rPr>
        <b val="true"/>
        <sz val="13"/>
        <rFont val="Arial"/>
        <family val="0"/>
        <charset val="1"/>
      </rPr>
      <t xml:space="preserve">-2027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9</t>
    </r>
    <r>
      <rPr>
        <b val="true"/>
        <sz val="13"/>
        <rFont val="WenQuanYi Zen Hei"/>
        <family val="2"/>
      </rPr>
      <t xml:space="preserve">月）月次推移表　【保守シナリオ】撤退後実力値の横ばい ＋ 上乗せ案件</t>
    </r>
    <r>
      <rPr>
        <b val="true"/>
        <sz val="13"/>
        <rFont val="Arial"/>
        <family val="0"/>
        <charset val="1"/>
      </rPr>
      <t xml:space="preserve">132.5</t>
    </r>
    <r>
      <rPr>
        <b val="true"/>
        <sz val="13"/>
        <rFont val="WenQuanYi Zen Hei"/>
        <family val="2"/>
      </rPr>
      <t xml:space="preserve">百万円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</si>
  <si>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列＝月次ベース（</t>
    </r>
    <r>
      <rPr>
        <sz val="9"/>
        <color rgb="FF595959"/>
        <rFont val="Arial"/>
        <family val="0"/>
        <charset val="1"/>
      </rPr>
      <t xml:space="preserve">2026/04-06</t>
    </r>
    <r>
      <rPr>
        <sz val="9"/>
        <color rgb="FF595959"/>
        <rFont val="WenQuanYi Zen Hei"/>
        <family val="2"/>
      </rPr>
      <t xml:space="preserve">実績平均、④シートから自動リンク）。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列以降は同額で横ばい。緑字＝他シートからのリンク</t>
    </r>
  </si>
  <si>
    <r>
      <rPr>
        <b val="true"/>
        <sz val="11"/>
        <rFont val="WenQuanYi Zen Hei"/>
        <family val="2"/>
      </rPr>
      <t xml:space="preserve">月次ベース
</t>
    </r>
    <r>
      <rPr>
        <b val="true"/>
        <sz val="11"/>
        <rFont val="Arial"/>
        <family val="0"/>
        <charset val="1"/>
      </rPr>
      <t xml:space="preserve">(26/4-6</t>
    </r>
    <r>
      <rPr>
        <b val="true"/>
        <sz val="11"/>
        <rFont val="WenQuanYi Zen Hei"/>
        <family val="2"/>
      </rPr>
      <t xml:space="preserve">平均</t>
    </r>
    <r>
      <rPr>
        <b val="true"/>
        <sz val="11"/>
        <rFont val="Arial"/>
        <family val="0"/>
        <charset val="1"/>
      </rPr>
      <t xml:space="preserve">)</t>
    </r>
  </si>
  <si>
    <t xml:space="preserve">2026/10</t>
  </si>
  <si>
    <t xml:space="preserve">2026/11</t>
  </si>
  <si>
    <t xml:space="preserve">2026/12</t>
  </si>
  <si>
    <t xml:space="preserve">2027/01</t>
  </si>
  <si>
    <t xml:space="preserve">2027/02</t>
  </si>
  <si>
    <t xml:space="preserve">2027/03</t>
  </si>
  <si>
    <t xml:space="preserve">2027/04</t>
  </si>
  <si>
    <t xml:space="preserve">2027/05</t>
  </si>
  <si>
    <t xml:space="preserve">2027/06</t>
  </si>
  <si>
    <t xml:space="preserve">2027/07</t>
  </si>
  <si>
    <t xml:space="preserve">2027/08</t>
  </si>
  <si>
    <t xml:space="preserve">2027/09</t>
  </si>
  <si>
    <t xml:space="preserve">通期合計</t>
  </si>
  <si>
    <t xml:space="preserve">【収益】</t>
  </si>
  <si>
    <t xml:space="preserve">　売上原価</t>
  </si>
  <si>
    <t xml:space="preserve">既存事業 売上総利益</t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</si>
  <si>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Value table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</si>
  <si>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Prime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</si>
  <si>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Apicius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</si>
  <si>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Thierry Marx</t>
    </r>
  </si>
  <si>
    <r>
      <rPr>
        <sz val="11"/>
        <rFont val="WenQuanYi Zen Hei"/>
        <family val="2"/>
      </rPr>
      <t xml:space="preserve">＋経営指導料 </t>
    </r>
    <r>
      <rPr>
        <sz val="11"/>
        <rFont val="Arial"/>
        <family val="0"/>
        <charset val="1"/>
      </rPr>
      <t xml:space="preserve">ito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Aqua</t>
    </r>
    <r>
      <rPr>
        <sz val="11"/>
        <rFont val="WenQuanYi Zen Hei"/>
        <family val="2"/>
      </rPr>
      <t xml:space="preserve">＋</t>
    </r>
    <r>
      <rPr>
        <sz val="11"/>
        <rFont val="Arial"/>
        <family val="0"/>
        <charset val="1"/>
      </rPr>
      <t xml:space="preserve">Hokkaido</t>
    </r>
  </si>
  <si>
    <r>
      <rPr>
        <sz val="11"/>
        <rFont val="WenQuanYi Zen Hei"/>
        <family val="2"/>
      </rPr>
      <t xml:space="preserve">＋インセンティブ </t>
    </r>
    <r>
      <rPr>
        <sz val="11"/>
        <rFont val="Arial"/>
        <family val="0"/>
        <charset val="1"/>
      </rPr>
      <t xml:space="preserve">Apicius2 shot</t>
    </r>
  </si>
  <si>
    <t xml:space="preserve">【販売費及び一般管理費】</t>
  </si>
  <si>
    <t xml:space="preserve">【損益】</t>
  </si>
  <si>
    <t xml:space="preserve">営業外費用（支払利息等）</t>
  </si>
  <si>
    <t xml:space="preserve">経常利益 累計</t>
  </si>
  <si>
    <r>
      <rPr>
        <sz val="9"/>
        <color rgb="FF595959"/>
        <rFont val="WenQuanYi Zen Hei"/>
        <family val="2"/>
      </rPr>
      <t xml:space="preserve">※既存事業の売上・粗利・販管費は</t>
    </r>
    <r>
      <rPr>
        <sz val="9"/>
        <color rgb="FF595959"/>
        <rFont val="Arial"/>
        <family val="0"/>
        <charset val="1"/>
      </rPr>
      <t xml:space="preserve">2026/04-06</t>
    </r>
    <r>
      <rPr>
        <sz val="9"/>
        <color rgb="FF595959"/>
        <rFont val="WenQuanYi Zen Hei"/>
        <family val="2"/>
      </rPr>
      <t xml:space="preserve">実績の月平均を横ばい。成長・季節変動は織り込んでいない保守前提。</t>
    </r>
  </si>
  <si>
    <r>
      <rPr>
        <sz val="9"/>
        <color rgb="FF595959"/>
        <rFont val="WenQuanYi Zen Hei"/>
        <family val="2"/>
      </rPr>
      <t xml:space="preserve">※経営指導料は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か月按分。インセンティブ・投資売買益は②前提で指定した月に一括計上。</t>
    </r>
  </si>
  <si>
    <r>
      <rPr>
        <b val="true"/>
        <sz val="14"/>
        <rFont val="Arial"/>
        <family val="0"/>
        <charset val="1"/>
      </rPr>
      <t xml:space="preserve">FY2026 → FY2027 </t>
    </r>
    <r>
      <rPr>
        <b val="true"/>
        <sz val="14"/>
        <rFont val="WenQuanYi Zen Hei"/>
        <family val="2"/>
      </rPr>
      <t xml:space="preserve">営業利益ブリッジ（保守シナリオ</t>
    </r>
    <r>
      <rPr>
        <b val="true"/>
        <sz val="14"/>
        <rFont val="Arial"/>
        <family val="0"/>
        <charset val="1"/>
      </rPr>
      <t xml:space="preserve">B</t>
    </r>
    <r>
      <rPr>
        <b val="true"/>
        <sz val="14"/>
        <rFont val="WenQuanYi Zen Hei"/>
        <family val="2"/>
      </rPr>
      <t xml:space="preserve">）</t>
    </r>
  </si>
  <si>
    <t xml:space="preserve">単位：円（税別）</t>
  </si>
  <si>
    <t xml:space="preserve">増減</t>
  </si>
  <si>
    <t xml:space="preserve">累計</t>
  </si>
  <si>
    <t xml:space="preserve">内容</t>
  </si>
  <si>
    <r>
      <rPr>
        <b val="true"/>
        <sz val="11"/>
        <rFont val="Arial"/>
        <family val="0"/>
        <charset val="1"/>
      </rPr>
      <t xml:space="preserve">FY2026 </t>
    </r>
    <r>
      <rPr>
        <b val="true"/>
        <sz val="11"/>
        <rFont val="WenQuanYi Zen Hei"/>
        <family val="2"/>
      </rPr>
      <t xml:space="preserve">営業利益（見込）</t>
    </r>
  </si>
  <si>
    <t xml:space="preserve">現行計画の今期着地見込</t>
  </si>
  <si>
    <t xml:space="preserve">① 既存事業 粗利の減少</t>
  </si>
  <si>
    <r>
      <rPr>
        <sz val="9"/>
        <color rgb="FF595959"/>
        <rFont val="Arial"/>
        <family val="0"/>
        <charset val="1"/>
      </rPr>
      <t xml:space="preserve">FY2026</t>
    </r>
    <r>
      <rPr>
        <sz val="9"/>
        <color rgb="FF595959"/>
        <rFont val="WenQuanYi Zen Hei"/>
        <family val="2"/>
      </rPr>
      <t xml:space="preserve">は</t>
    </r>
    <r>
      <rPr>
        <sz val="9"/>
        <color rgb="FF595959"/>
        <rFont val="Arial"/>
        <family val="0"/>
        <charset val="1"/>
      </rPr>
      <t xml:space="preserve">2025/11</t>
    </r>
    <r>
      <rPr>
        <sz val="9"/>
        <color rgb="FF595959"/>
        <rFont val="WenQuanYi Zen Hei"/>
        <family val="2"/>
      </rPr>
      <t xml:space="preserve">・</t>
    </r>
    <r>
      <rPr>
        <sz val="9"/>
        <color rgb="FF595959"/>
        <rFont val="Arial"/>
        <family val="0"/>
        <charset val="1"/>
      </rPr>
      <t xml:space="preserve">2026/09</t>
    </r>
    <r>
      <rPr>
        <sz val="9"/>
        <color rgb="FF595959"/>
        <rFont val="WenQuanYi Zen Hei"/>
        <family val="2"/>
      </rPr>
      <t xml:space="preserve">の大口を含む。撤退後実力値ベースでは減少</t>
    </r>
  </si>
  <si>
    <t xml:space="preserve">② 販管費の削減</t>
  </si>
  <si>
    <r>
      <rPr>
        <sz val="9"/>
        <color rgb="FF595959"/>
        <rFont val="WenQuanYi Zen Hei"/>
        <family val="2"/>
      </rPr>
      <t xml:space="preserve">飲食撤退＋固定費削減。</t>
    </r>
    <r>
      <rPr>
        <sz val="9"/>
        <color rgb="FF595959"/>
        <rFont val="Arial"/>
        <family val="0"/>
        <charset val="1"/>
      </rPr>
      <t xml:space="preserve">10-3</t>
    </r>
    <r>
      <rPr>
        <sz val="9"/>
        <color rgb="FF595959"/>
        <rFont val="WenQuanYi Zen Hei"/>
        <family val="2"/>
      </rPr>
      <t xml:space="preserve">月平均比で月▲</t>
    </r>
    <r>
      <rPr>
        <sz val="9"/>
        <color rgb="FF595959"/>
        <rFont val="Arial"/>
        <family val="0"/>
        <charset val="1"/>
      </rPr>
      <t xml:space="preserve">8.58</t>
    </r>
    <r>
      <rPr>
        <sz val="9"/>
        <color rgb="FF595959"/>
        <rFont val="WenQuanYi Zen Hei"/>
        <family val="2"/>
      </rPr>
      <t xml:space="preserve">百万円</t>
    </r>
  </si>
  <si>
    <t xml:space="preserve">③ 上乗せ案件（営業収益）</t>
  </si>
  <si>
    <t xml:space="preserve">④ 上場関連コスト</t>
  </si>
  <si>
    <r>
      <rPr>
        <sz val="9"/>
        <color rgb="FF595959"/>
        <rFont val="Arial"/>
        <family val="0"/>
        <charset val="1"/>
      </rPr>
      <t xml:space="preserve">FY2027</t>
    </r>
    <r>
      <rPr>
        <sz val="9"/>
        <color rgb="FF595959"/>
        <rFont val="WenQuanYi Zen Hei"/>
        <family val="2"/>
      </rPr>
      <t xml:space="preserve">計画値</t>
    </r>
  </si>
  <si>
    <r>
      <rPr>
        <b val="true"/>
        <sz val="11"/>
        <rFont val="Arial"/>
        <family val="0"/>
        <charset val="1"/>
      </rPr>
      <t xml:space="preserve">FY2027 </t>
    </r>
    <r>
      <rPr>
        <b val="true"/>
        <sz val="11"/>
        <rFont val="WenQuanYi Zen Hei"/>
        <family val="2"/>
      </rPr>
      <t xml:space="preserve">営業利益（保守シナリオ</t>
    </r>
    <r>
      <rPr>
        <b val="true"/>
        <sz val="11"/>
        <rFont val="Arial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）</t>
    </r>
  </si>
  <si>
    <t xml:space="preserve">①〜④の合計</t>
  </si>
  <si>
    <r>
      <rPr>
        <b val="true"/>
        <sz val="12"/>
        <rFont val="WenQuanYi Zen Hei"/>
        <family val="2"/>
      </rPr>
      <t xml:space="preserve">【営業利益</t>
    </r>
    <r>
      <rPr>
        <b val="true"/>
        <sz val="12"/>
        <rFont val="Arial"/>
        <family val="0"/>
        <charset val="1"/>
      </rPr>
      <t xml:space="preserve">1</t>
    </r>
    <r>
      <rPr>
        <b val="true"/>
        <sz val="12"/>
        <rFont val="WenQuanYi Zen Hei"/>
        <family val="2"/>
      </rPr>
      <t xml:space="preserve">億円に必要な追加売上】</t>
    </r>
  </si>
  <si>
    <r>
      <rPr>
        <sz val="11"/>
        <rFont val="WenQuanYi Zen Hei"/>
        <family val="2"/>
      </rPr>
      <t xml:space="preserve">営業利益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億円</t>
    </r>
  </si>
  <si>
    <r>
      <rPr>
        <sz val="9"/>
        <color rgb="FF595959"/>
        <rFont val="WenQuanYi Zen Hei"/>
        <family val="2"/>
      </rPr>
      <t xml:space="preserve">新規顧客売上計画</t>
    </r>
    <r>
      <rPr>
        <sz val="9"/>
        <color rgb="FF595959"/>
        <rFont val="Arial"/>
        <family val="0"/>
        <charset val="1"/>
      </rPr>
      <t xml:space="preserve">1,066</t>
    </r>
    <r>
      <rPr>
        <sz val="9"/>
        <color rgb="FF595959"/>
        <rFont val="WenQuanYi Zen Hei"/>
        <family val="2"/>
      </rPr>
      <t xml:space="preserve">百万円に対する比率</t>
    </r>
  </si>
  <si>
    <r>
      <rPr>
        <b val="true"/>
        <sz val="14"/>
        <rFont val="WenQuanYi Zen Hei"/>
        <family val="2"/>
      </rPr>
      <t xml:space="preserve">ワイン仕入・自社在庫計画（</t>
    </r>
    <r>
      <rPr>
        <b val="true"/>
        <sz val="14"/>
        <rFont val="Arial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）</t>
    </r>
  </si>
  <si>
    <r>
      <rPr>
        <sz val="9"/>
        <color rgb="FFC00000"/>
        <rFont val="WenQuanYi Zen Hei"/>
        <family val="2"/>
      </rPr>
      <t xml:space="preserve">ワイン仕入は「売上原価（出庫）＋在庫増減」がキャッシュアウト。</t>
    </r>
    <r>
      <rPr>
        <sz val="9"/>
        <color rgb="FFC00000"/>
        <rFont val="Arial"/>
        <family val="0"/>
        <charset val="1"/>
      </rPr>
      <t xml:space="preserve">PL</t>
    </r>
    <r>
      <rPr>
        <sz val="9"/>
        <color rgb="FFC00000"/>
        <rFont val="WenQuanYi Zen Hei"/>
        <family val="2"/>
      </rPr>
      <t xml:space="preserve">に現れない在庫積み増しが資金繰りの最大論点。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</si>
  <si>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】自社在庫（簿価）の実績推移　単位：百万円</t>
    </r>
  </si>
  <si>
    <t xml:space="preserve">時点</t>
  </si>
  <si>
    <r>
      <rPr>
        <b val="true"/>
        <sz val="11"/>
        <rFont val="Arial"/>
        <family val="0"/>
        <charset val="1"/>
      </rPr>
      <t xml:space="preserve">2024/12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</si>
  <si>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Arial"/>
        <family val="0"/>
        <charset val="1"/>
      </rPr>
      <t xml:space="preserve">2025/07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</si>
  <si>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Arial"/>
        <family val="0"/>
        <charset val="1"/>
      </rPr>
      <t xml:space="preserve">2025/09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</si>
  <si>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Arial"/>
        <family val="0"/>
        <charset val="1"/>
      </rPr>
      <t xml:space="preserve">2025/12</t>
    </r>
    <r>
      <rPr>
        <b val="true"/>
        <sz val="11"/>
        <rFont val="WenQuanYi Zen Hei"/>
        <family val="2"/>
      </rPr>
      <t xml:space="preserve">末</t>
    </r>
  </si>
  <si>
    <r>
      <rPr>
        <b val="true"/>
        <sz val="11"/>
        <rFont val="Arial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末</t>
    </r>
  </si>
  <si>
    <t xml:space="preserve">自社在庫 簿価</t>
  </si>
  <si>
    <r>
      <rPr>
        <b val="true"/>
        <sz val="11"/>
        <rFont val="Arial"/>
        <family val="0"/>
        <charset val="1"/>
      </rPr>
      <t xml:space="preserve">2025/09</t>
    </r>
    <r>
      <rPr>
        <b val="true"/>
        <sz val="11"/>
        <rFont val="WenQuanYi Zen Hei"/>
        <family val="2"/>
      </rPr>
      <t xml:space="preserve">末→</t>
    </r>
    <r>
      <rPr>
        <b val="true"/>
        <sz val="11"/>
        <rFont val="Arial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末の増加</t>
    </r>
  </si>
  <si>
    <r>
      <rPr>
        <sz val="9"/>
        <color rgb="FF595959"/>
        <rFont val="WenQuanYi Zen Hei"/>
        <family val="2"/>
      </rPr>
      <t xml:space="preserve">百万円 </t>
    </r>
    <r>
      <rPr>
        <sz val="9"/>
        <color rgb="FF595959"/>
        <rFont val="Arial"/>
        <family val="0"/>
        <charset val="1"/>
      </rPr>
      <t xml:space="preserve">/ 6</t>
    </r>
    <r>
      <rPr>
        <sz val="9"/>
        <color rgb="FF595959"/>
        <rFont val="WenQuanYi Zen Hei"/>
        <family val="2"/>
      </rPr>
      <t xml:space="preserve">か月</t>
    </r>
  </si>
  <si>
    <r>
      <rPr>
        <sz val="9"/>
        <color rgb="FFC00000"/>
        <rFont val="WenQuanYi Zen Hei"/>
        <family val="2"/>
      </rPr>
      <t xml:space="preserve">百万円</t>
    </r>
    <r>
      <rPr>
        <sz val="9"/>
        <color rgb="FFC00000"/>
        <rFont val="Arial"/>
        <family val="0"/>
        <charset val="1"/>
      </rPr>
      <t xml:space="preserve">/</t>
    </r>
    <r>
      <rPr>
        <sz val="9"/>
        <color rgb="FFC00000"/>
        <rFont val="WenQuanYi Zen Hei"/>
        <family val="2"/>
      </rPr>
      <t xml:space="preserve">月のキャッシュアウト</t>
    </r>
  </si>
  <si>
    <r>
      <rPr>
        <sz val="9"/>
        <color rgb="FF595959"/>
        <rFont val="WenQuanYi Zen Hei"/>
        <family val="2"/>
      </rPr>
      <t xml:space="preserve">出典：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WenQuanYi Zen Hei"/>
        <family val="2"/>
      </rPr>
      <t xml:space="preserve">月度 取締役会資料「ワイン預かり残高推移</t>
    </r>
    <r>
      <rPr>
        <sz val="9"/>
        <color rgb="FF595959"/>
        <rFont val="Arial"/>
        <family val="0"/>
        <charset val="1"/>
      </rPr>
      <t xml:space="preserve">KPI</t>
    </r>
    <r>
      <rPr>
        <sz val="9"/>
        <color rgb="FF595959"/>
        <rFont val="WenQuanYi Zen Hei"/>
        <family val="2"/>
      </rPr>
      <t xml:space="preserve">」（税抜・簿価）</t>
    </r>
  </si>
  <si>
    <r>
      <rPr>
        <b val="true"/>
        <sz val="11"/>
        <color rgb="FFFFFFFF"/>
        <rFont val="WenQuanYi Zen Hei"/>
        <family val="2"/>
      </rPr>
      <t xml:space="preserve">【</t>
    </r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】</t>
    </r>
    <r>
      <rPr>
        <b val="true"/>
        <sz val="11"/>
        <color rgb="FFFFFFFF"/>
        <rFont val="Arial"/>
        <family val="0"/>
        <charset val="1"/>
      </rPr>
      <t xml:space="preserve">FY2027 </t>
    </r>
    <r>
      <rPr>
        <b val="true"/>
        <sz val="11"/>
        <color rgb="FFFFFFFF"/>
        <rFont val="WenQuanYi Zen Hei"/>
        <family val="2"/>
      </rPr>
      <t xml:space="preserve">仕入・在庫計画（税抜）</t>
    </r>
  </si>
  <si>
    <t xml:space="preserve">月次ベース</t>
  </si>
  <si>
    <t xml:space="preserve">期首在庫</t>
  </si>
  <si>
    <r>
      <rPr>
        <sz val="9"/>
        <color rgb="FFC00000"/>
        <rFont val="Arial"/>
        <family val="0"/>
        <charset val="1"/>
      </rPr>
      <t xml:space="preserve">2026/03</t>
    </r>
    <r>
      <rPr>
        <sz val="9"/>
        <color rgb="FFC00000"/>
        <rFont val="WenQuanYi Zen Hei"/>
        <family val="2"/>
      </rPr>
      <t xml:space="preserve">末実績</t>
    </r>
    <r>
      <rPr>
        <sz val="9"/>
        <color rgb="FFC00000"/>
        <rFont val="Arial"/>
        <family val="0"/>
        <charset val="1"/>
      </rPr>
      <t xml:space="preserve">620</t>
    </r>
    <r>
      <rPr>
        <sz val="9"/>
        <color rgb="FFC00000"/>
        <rFont val="WenQuanYi Zen Hei"/>
        <family val="2"/>
      </rPr>
      <t xml:space="preserve">百万円 −</t>
    </r>
    <r>
      <rPr>
        <sz val="9"/>
        <color rgb="FFC00000"/>
        <rFont val="Arial"/>
        <family val="0"/>
        <charset val="1"/>
      </rPr>
      <t xml:space="preserve">2026/09</t>
    </r>
    <r>
      <rPr>
        <sz val="9"/>
        <color rgb="FFC00000"/>
        <rFont val="WenQuanYi Zen Hei"/>
        <family val="2"/>
      </rPr>
      <t xml:space="preserve">の在庫販売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百万円＝</t>
    </r>
    <r>
      <rPr>
        <sz val="9"/>
        <color rgb="FFC00000"/>
        <rFont val="Arial"/>
        <family val="0"/>
        <charset val="1"/>
      </rPr>
      <t xml:space="preserve">420</t>
    </r>
    <r>
      <rPr>
        <sz val="9"/>
        <color rgb="FFC00000"/>
        <rFont val="WenQuanYi Zen Hei"/>
        <family val="2"/>
      </rPr>
      <t xml:space="preserve">百万円。</t>
    </r>
    <r>
      <rPr>
        <sz val="9"/>
        <color rgb="FFC00000"/>
        <rFont val="Arial"/>
        <family val="0"/>
        <charset val="1"/>
      </rPr>
      <t xml:space="preserve">2026/04-08</t>
    </r>
    <r>
      <rPr>
        <sz val="9"/>
        <color rgb="FFC00000"/>
        <rFont val="WenQuanYi Zen Hei"/>
        <family val="2"/>
      </rPr>
      <t xml:space="preserve">の増減は横ばいと仮定。</t>
    </r>
  </si>
  <si>
    <t xml:space="preserve">在庫方針（月次 増減額）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</si>
  <si>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＝在庫横ばい（仕入＝売上原価）。積み増す場合は月額を入力。</t>
    </r>
  </si>
  <si>
    <t xml:space="preserve">スポット大口仕入</t>
  </si>
  <si>
    <t xml:space="preserve">野村ユニソン等のロット仕入。発生月に入力。</t>
  </si>
  <si>
    <t xml:space="preserve">プリムール等 前払仕入</t>
  </si>
  <si>
    <t xml:space="preserve">引渡し前の前払。発生月に入力。</t>
  </si>
  <si>
    <t xml:space="preserve">仕入 合計（入庫）</t>
  </si>
  <si>
    <t xml:space="preserve">売上原価（出庫）</t>
  </si>
  <si>
    <t xml:space="preserve">期末在庫</t>
  </si>
  <si>
    <r>
      <rPr>
        <sz val="9"/>
        <color rgb="FFC00000"/>
        <rFont val="WenQuanYi Zen Hei"/>
        <family val="2"/>
      </rPr>
      <t xml:space="preserve">※在庫方針を</t>
    </r>
    <r>
      <rPr>
        <sz val="9"/>
        <color rgb="FFC00000"/>
        <rFont val="Arial"/>
        <family val="0"/>
        <charset val="1"/>
      </rPr>
      <t xml:space="preserve">0</t>
    </r>
    <r>
      <rPr>
        <sz val="9"/>
        <color rgb="FFC00000"/>
        <rFont val="WenQuanYi Zen Hei"/>
        <family val="2"/>
      </rPr>
      <t xml:space="preserve">（横ばい）にしても、</t>
    </r>
    <r>
      <rPr>
        <sz val="9"/>
        <color rgb="FFC00000"/>
        <rFont val="Arial"/>
        <family val="0"/>
        <charset val="1"/>
      </rPr>
      <t xml:space="preserve">FY2026</t>
    </r>
    <r>
      <rPr>
        <sz val="9"/>
        <color rgb="FFC00000"/>
        <rFont val="WenQuanYi Zen Hei"/>
        <family val="2"/>
      </rPr>
      <t xml:space="preserve">上期の実績ペース（月</t>
    </r>
    <r>
      <rPr>
        <sz val="9"/>
        <color rgb="FFC00000"/>
        <rFont val="Arial"/>
        <family val="0"/>
        <charset val="1"/>
      </rPr>
      <t xml:space="preserve">+23.3</t>
    </r>
    <r>
      <rPr>
        <sz val="9"/>
        <color rgb="FFC00000"/>
        <rFont val="WenQuanYi Zen Hei"/>
        <family val="2"/>
      </rPr>
      <t xml:space="preserve">百万円）を続ける場合は年</t>
    </r>
    <r>
      <rPr>
        <sz val="9"/>
        <color rgb="FFC00000"/>
        <rFont val="Arial"/>
        <family val="0"/>
        <charset val="1"/>
      </rPr>
      <t xml:space="preserve">280</t>
    </r>
    <r>
      <rPr>
        <sz val="9"/>
        <color rgb="FFC00000"/>
        <rFont val="WenQuanYi Zen Hei"/>
        <family val="2"/>
      </rPr>
      <t xml:space="preserve">百万円の追加資金</t>
    </r>
    <r>
      <rPr>
        <sz val="9"/>
        <color rgb="FFC00000"/>
        <rFont val="Arial"/>
        <family val="0"/>
        <charset val="1"/>
      </rPr>
      <t xml:space="preserve">needed</t>
    </r>
    <r>
      <rPr>
        <sz val="9"/>
        <color rgb="FFC00000"/>
        <rFont val="WenQuanYi Zen Hei"/>
        <family val="2"/>
      </rPr>
      <t xml:space="preserve">。</t>
    </r>
  </si>
  <si>
    <t xml:space="preserve">※スポット大口仕入・プリムール前払は、売上計上より先に支払が発生するため、資金繰り上は最も注意を要する項目。</t>
  </si>
  <si>
    <r>
      <rPr>
        <sz val="9"/>
        <color rgb="FFC00000"/>
        <rFont val="Arial"/>
        <family val="0"/>
        <charset val="1"/>
      </rPr>
      <t xml:space="preserve">※2026/09</t>
    </r>
    <r>
      <rPr>
        <sz val="9"/>
        <color rgb="FFC00000"/>
        <rFont val="WenQuanYi Zen Hei"/>
        <family val="2"/>
      </rPr>
      <t xml:space="preserve">に在庫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百万円を販売（削減）し、その代金をみずほ銀行への融資返済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百万円に充当する前提。期首在庫はその後の残高。</t>
    </r>
  </si>
  <si>
    <r>
      <rPr>
        <b val="true"/>
        <sz val="14"/>
        <rFont val="Arial"/>
        <family val="0"/>
        <charset val="1"/>
      </rPr>
      <t xml:space="preserve">FY2027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2026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10</t>
    </r>
    <r>
      <rPr>
        <b val="true"/>
        <sz val="14"/>
        <rFont val="WenQuanYi Zen Hei"/>
        <family val="2"/>
      </rPr>
      <t xml:space="preserve">月</t>
    </r>
    <r>
      <rPr>
        <b val="true"/>
        <sz val="14"/>
        <rFont val="Arial"/>
        <family val="0"/>
        <charset val="1"/>
      </rPr>
      <t xml:space="preserve">-2027</t>
    </r>
    <r>
      <rPr>
        <b val="true"/>
        <sz val="14"/>
        <rFont val="WenQuanYi Zen Hei"/>
        <family val="2"/>
      </rPr>
      <t xml:space="preserve">年</t>
    </r>
    <r>
      <rPr>
        <b val="true"/>
        <sz val="14"/>
        <rFont val="Arial"/>
        <family val="0"/>
        <charset val="1"/>
      </rPr>
      <t xml:space="preserve">9</t>
    </r>
    <r>
      <rPr>
        <b val="true"/>
        <sz val="14"/>
        <rFont val="WenQuanYi Zen Hei"/>
        <family val="2"/>
      </rPr>
      <t xml:space="preserve">月）月次資金繰り表</t>
    </r>
  </si>
  <si>
    <t xml:space="preserve">単位：円（税込ベース）　青字＝入力セル／黄色＝要確認の前提／緑字＝他シートからのリンク</t>
  </si>
  <si>
    <t xml:space="preserve">【前提】</t>
  </si>
  <si>
    <r>
      <rPr>
        <sz val="11"/>
        <rFont val="WenQuanYi Zen Hei"/>
        <family val="2"/>
      </rPr>
      <t xml:space="preserve">期首現預金（</t>
    </r>
    <r>
      <rPr>
        <sz val="11"/>
        <rFont val="Arial"/>
        <family val="0"/>
        <charset val="1"/>
      </rPr>
      <t xml:space="preserve">2026/09</t>
    </r>
    <r>
      <rPr>
        <sz val="11"/>
        <rFont val="WenQuanYi Zen Hei"/>
        <family val="2"/>
      </rPr>
      <t xml:space="preserve">末 見込）</t>
    </r>
  </si>
  <si>
    <r>
      <rPr>
        <sz val="9"/>
        <color rgb="FFC00000"/>
        <rFont val="WenQuanYi Zen Hei"/>
        <family val="2"/>
      </rPr>
      <t xml:space="preserve">★要差替え。</t>
    </r>
    <r>
      <rPr>
        <sz val="9"/>
        <color rgb="FFC00000"/>
        <rFont val="Arial"/>
        <family val="0"/>
        <charset val="1"/>
      </rPr>
      <t xml:space="preserve">2025/09</t>
    </r>
    <r>
      <rPr>
        <sz val="9"/>
        <color rgb="FFC00000"/>
        <rFont val="WenQuanYi Zen Hei"/>
        <family val="2"/>
      </rPr>
      <t xml:space="preserve">末実績を暫定表示。</t>
    </r>
    <r>
      <rPr>
        <sz val="9"/>
        <color rgb="FFC00000"/>
        <rFont val="Arial"/>
        <family val="0"/>
        <charset val="1"/>
      </rPr>
      <t xml:space="preserve">FY2026</t>
    </r>
    <r>
      <rPr>
        <sz val="9"/>
        <color rgb="FFC00000"/>
        <rFont val="WenQuanYi Zen Hei"/>
        <family val="2"/>
      </rPr>
      <t xml:space="preserve">着地の見込値を入力してください。</t>
    </r>
  </si>
  <si>
    <t xml:space="preserve">消費税率</t>
  </si>
  <si>
    <t xml:space="preserve">売上 回収サイト（か月）</t>
  </si>
  <si>
    <r>
      <rPr>
        <sz val="9"/>
        <color rgb="FF595959"/>
        <rFont val="WenQuanYi Zen Hei"/>
        <family val="2"/>
      </rPr>
      <t xml:space="preserve">売掛金回転</t>
    </r>
    <r>
      <rPr>
        <sz val="9"/>
        <color rgb="FF595959"/>
        <rFont val="Arial"/>
        <family val="0"/>
        <charset val="1"/>
      </rPr>
      <t xml:space="preserve">32.2</t>
    </r>
    <r>
      <rPr>
        <sz val="9"/>
        <color rgb="FF595959"/>
        <rFont val="WenQuanYi Zen Hei"/>
        <family val="2"/>
      </rPr>
      <t xml:space="preserve">日（</t>
    </r>
    <r>
      <rPr>
        <sz val="9"/>
        <color rgb="FF595959"/>
        <rFont val="Arial"/>
        <family val="0"/>
        <charset val="1"/>
      </rPr>
      <t xml:space="preserve">2025/09</t>
    </r>
    <r>
      <rPr>
        <sz val="9"/>
        <color rgb="FF595959"/>
        <rFont val="WenQuanYi Zen Hei"/>
        <family val="2"/>
      </rPr>
      <t xml:space="preserve">末</t>
    </r>
    <r>
      <rPr>
        <sz val="9"/>
        <color rgb="FF595959"/>
        <rFont val="Arial"/>
        <family val="0"/>
        <charset val="1"/>
      </rPr>
      <t xml:space="preserve">BS</t>
    </r>
    <r>
      <rPr>
        <sz val="9"/>
        <color rgb="FF595959"/>
        <rFont val="WenQuanYi Zen Hei"/>
        <family val="2"/>
      </rPr>
      <t xml:space="preserve">）より</t>
    </r>
    <r>
      <rPr>
        <sz val="9"/>
        <color rgb="FF595959"/>
        <rFont val="Arial"/>
        <family val="0"/>
        <charset val="1"/>
      </rPr>
      <t xml:space="preserve">1.06</t>
    </r>
    <r>
      <rPr>
        <sz val="9"/>
        <color rgb="FF595959"/>
        <rFont val="WenQuanYi Zen Hei"/>
        <family val="2"/>
      </rPr>
      <t xml:space="preserve">か月→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か月と設定。</t>
    </r>
  </si>
  <si>
    <t xml:space="preserve">仕入 支払サイト（か月）</t>
  </si>
  <si>
    <r>
      <rPr>
        <sz val="9"/>
        <color rgb="FF595959"/>
        <rFont val="WenQuanYi Zen Hei"/>
        <family val="2"/>
      </rPr>
      <t xml:space="preserve">買掛金回転</t>
    </r>
    <r>
      <rPr>
        <sz val="9"/>
        <color rgb="FF595959"/>
        <rFont val="Arial"/>
        <family val="0"/>
        <charset val="1"/>
      </rPr>
      <t xml:space="preserve">23.5</t>
    </r>
    <r>
      <rPr>
        <sz val="9"/>
        <color rgb="FF595959"/>
        <rFont val="WenQuanYi Zen Hei"/>
        <family val="2"/>
      </rPr>
      <t xml:space="preserve">日（</t>
    </r>
    <r>
      <rPr>
        <sz val="9"/>
        <color rgb="FF595959"/>
        <rFont val="Arial"/>
        <family val="0"/>
        <charset val="1"/>
      </rPr>
      <t xml:space="preserve">2025/09</t>
    </r>
    <r>
      <rPr>
        <sz val="9"/>
        <color rgb="FF595959"/>
        <rFont val="WenQuanYi Zen Hei"/>
        <family val="2"/>
      </rPr>
      <t xml:space="preserve">末</t>
    </r>
    <r>
      <rPr>
        <sz val="9"/>
        <color rgb="FF595959"/>
        <rFont val="Arial"/>
        <family val="0"/>
        <charset val="1"/>
      </rPr>
      <t xml:space="preserve">BS</t>
    </r>
    <r>
      <rPr>
        <sz val="9"/>
        <color rgb="FF595959"/>
        <rFont val="WenQuanYi Zen Hei"/>
        <family val="2"/>
      </rPr>
      <t xml:space="preserve">）より</t>
    </r>
    <r>
      <rPr>
        <sz val="9"/>
        <color rgb="FF595959"/>
        <rFont val="Arial"/>
        <family val="0"/>
        <charset val="1"/>
      </rPr>
      <t xml:space="preserve">0.77</t>
    </r>
    <r>
      <rPr>
        <sz val="9"/>
        <color rgb="FF595959"/>
        <rFont val="WenQuanYi Zen Hei"/>
        <family val="2"/>
      </rPr>
      <t xml:space="preserve">か月→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か月と設定。</t>
    </r>
  </si>
  <si>
    <t xml:space="preserve">長期借入金 約定返済（月額）</t>
  </si>
  <si>
    <r>
      <rPr>
        <sz val="9"/>
        <color rgb="FFC00000"/>
        <rFont val="WenQuanYi Zen Hei"/>
        <family val="2"/>
      </rPr>
      <t xml:space="preserve">★要差替え。長期借入</t>
    </r>
    <r>
      <rPr>
        <sz val="9"/>
        <color rgb="FFC00000"/>
        <rFont val="Arial"/>
        <family val="0"/>
        <charset val="1"/>
      </rPr>
      <t xml:space="preserve">423,623,000</t>
    </r>
    <r>
      <rPr>
        <sz val="9"/>
        <color rgb="FFC00000"/>
        <rFont val="WenQuanYi Zen Hei"/>
        <family val="2"/>
      </rPr>
      <t xml:space="preserve">円−みずほ一括返済</t>
    </r>
    <r>
      <rPr>
        <sz val="9"/>
        <color rgb="FFC00000"/>
        <rFont val="Arial"/>
        <family val="0"/>
        <charset val="1"/>
      </rPr>
      <t xml:space="preserve">200,000,000</t>
    </r>
    <r>
      <rPr>
        <sz val="9"/>
        <color rgb="FFC00000"/>
        <rFont val="WenQuanYi Zen Hei"/>
        <family val="2"/>
      </rPr>
      <t xml:space="preserve">円＝</t>
    </r>
    <r>
      <rPr>
        <sz val="9"/>
        <color rgb="FFC00000"/>
        <rFont val="Arial"/>
        <family val="0"/>
        <charset val="1"/>
      </rPr>
      <t xml:space="preserve">223,623,000</t>
    </r>
    <r>
      <rPr>
        <sz val="9"/>
        <color rgb="FFC00000"/>
        <rFont val="WenQuanYi Zen Hei"/>
        <family val="2"/>
      </rPr>
      <t xml:space="preserve">円を</t>
    </r>
    <r>
      <rPr>
        <sz val="9"/>
        <color rgb="FFC00000"/>
        <rFont val="Arial"/>
        <family val="0"/>
        <charset val="1"/>
      </rPr>
      <t xml:space="preserve">7</t>
    </r>
    <r>
      <rPr>
        <sz val="9"/>
        <color rgb="FFC00000"/>
        <rFont val="WenQuanYi Zen Hei"/>
        <family val="2"/>
      </rPr>
      <t xml:space="preserve">年均等返済と仮定した暫定値。</t>
    </r>
  </si>
  <si>
    <t xml:space="preserve">短期借入金 純増減（月額）</t>
  </si>
  <si>
    <r>
      <rPr>
        <sz val="9"/>
        <color rgb="FF595959"/>
        <rFont val="WenQuanYi Zen Hei"/>
        <family val="2"/>
      </rPr>
      <t xml:space="preserve">短期借入</t>
    </r>
    <r>
      <rPr>
        <sz val="9"/>
        <color rgb="FF595959"/>
        <rFont val="Arial"/>
        <family val="0"/>
        <charset val="1"/>
      </rPr>
      <t xml:space="preserve">162,440,980</t>
    </r>
    <r>
      <rPr>
        <sz val="9"/>
        <color rgb="FF595959"/>
        <rFont val="WenQuanYi Zen Hei"/>
        <family val="2"/>
      </rPr>
      <t xml:space="preserve">円は同額借換（継続）を前提。</t>
    </r>
  </si>
  <si>
    <t xml:space="preserve">【営業収入】</t>
  </si>
  <si>
    <t xml:space="preserve">売上入金（既存事業・税込）</t>
  </si>
  <si>
    <t xml:space="preserve">経営指導料 入金（税込）</t>
  </si>
  <si>
    <t xml:space="preserve">インセンティブ 入金（税込）</t>
  </si>
  <si>
    <r>
      <rPr>
        <sz val="11"/>
        <rFont val="WenQuanYi Zen Hei"/>
        <family val="2"/>
      </rPr>
      <t xml:space="preserve">前期末売掛金 回収（</t>
    </r>
    <r>
      <rPr>
        <sz val="11"/>
        <rFont val="Arial"/>
        <family val="0"/>
        <charset val="1"/>
      </rPr>
      <t xml:space="preserve">2026/09 </t>
    </r>
    <r>
      <rPr>
        <sz val="11"/>
        <rFont val="WenQuanYi Zen Hei"/>
        <family val="2"/>
      </rPr>
      <t xml:space="preserve">在庫販売）</t>
    </r>
  </si>
  <si>
    <r>
      <rPr>
        <sz val="9"/>
        <color rgb="FFC00000"/>
        <rFont val="Arial"/>
        <family val="0"/>
        <charset val="1"/>
      </rPr>
      <t xml:space="preserve">2026/09</t>
    </r>
    <r>
      <rPr>
        <sz val="9"/>
        <color rgb="FFC00000"/>
        <rFont val="WenQuanYi Zen Hei"/>
        <family val="2"/>
      </rPr>
      <t xml:space="preserve">に販売した在庫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百万円（税抜）の代金</t>
    </r>
    <r>
      <rPr>
        <sz val="9"/>
        <color rgb="FFC00000"/>
        <rFont val="Arial"/>
        <family val="0"/>
        <charset val="1"/>
      </rPr>
      <t xml:space="preserve">220</t>
    </r>
    <r>
      <rPr>
        <sz val="9"/>
        <color rgb="FFC00000"/>
        <rFont val="WenQuanYi Zen Hei"/>
        <family val="2"/>
      </rPr>
      <t xml:space="preserve">百万円（税込）を、回収サイト</t>
    </r>
    <r>
      <rPr>
        <sz val="9"/>
        <color rgb="FFC00000"/>
        <rFont val="Arial"/>
        <family val="0"/>
        <charset val="1"/>
      </rPr>
      <t xml:space="preserve">1</t>
    </r>
    <r>
      <rPr>
        <sz val="9"/>
        <color rgb="FFC00000"/>
        <rFont val="WenQuanYi Zen Hei"/>
        <family val="2"/>
      </rPr>
      <t xml:space="preserve">か月後の</t>
    </r>
    <r>
      <rPr>
        <sz val="9"/>
        <color rgb="FFC00000"/>
        <rFont val="Arial"/>
        <family val="0"/>
        <charset val="1"/>
      </rPr>
      <t xml:space="preserve">2026/10</t>
    </r>
    <r>
      <rPr>
        <sz val="9"/>
        <color rgb="FFC00000"/>
        <rFont val="WenQuanYi Zen Hei"/>
        <family val="2"/>
      </rPr>
      <t xml:space="preserve">に入金と仮定。</t>
    </r>
  </si>
  <si>
    <t xml:space="preserve">営業収入 計</t>
  </si>
  <si>
    <t xml:space="preserve">【営業支出】</t>
  </si>
  <si>
    <t xml:space="preserve">ワイン仕入 支払（税込）</t>
  </si>
  <si>
    <t xml:space="preserve">人件費（役員報酬・給与・雑給・法定福利）</t>
  </si>
  <si>
    <t xml:space="preserve">その他販管費（税込・減価償却除く）</t>
  </si>
  <si>
    <t xml:space="preserve">上場関連コスト（税込）</t>
  </si>
  <si>
    <t xml:space="preserve">支払利息</t>
  </si>
  <si>
    <t xml:space="preserve">消費税 納付</t>
  </si>
  <si>
    <r>
      <rPr>
        <sz val="9"/>
        <color rgb="FFC00000"/>
        <rFont val="Arial"/>
        <family val="0"/>
        <charset val="1"/>
      </rPr>
      <t xml:space="preserve">2026/11</t>
    </r>
    <r>
      <rPr>
        <sz val="9"/>
        <color rgb="FFC00000"/>
        <rFont val="WenQuanYi Zen Hei"/>
        <family val="2"/>
      </rPr>
      <t xml:space="preserve">は</t>
    </r>
    <r>
      <rPr>
        <sz val="9"/>
        <color rgb="FFC00000"/>
        <rFont val="Arial"/>
        <family val="0"/>
        <charset val="1"/>
      </rPr>
      <t xml:space="preserve">FY2026</t>
    </r>
    <r>
      <rPr>
        <sz val="9"/>
        <color rgb="FFC00000"/>
        <rFont val="WenQuanYi Zen Hei"/>
        <family val="2"/>
      </rPr>
      <t xml:space="preserve">確定分。在庫販売</t>
    </r>
    <r>
      <rPr>
        <sz val="9"/>
        <color rgb="FFC00000"/>
        <rFont val="Arial"/>
        <family val="0"/>
        <charset val="1"/>
      </rPr>
      <t xml:space="preserve">200</t>
    </r>
    <r>
      <rPr>
        <sz val="9"/>
        <color rgb="FFC00000"/>
        <rFont val="WenQuanYi Zen Hei"/>
        <family val="2"/>
      </rPr>
      <t xml:space="preserve">百万円に係る仮受消費税</t>
    </r>
    <r>
      <rPr>
        <sz val="9"/>
        <color rgb="FFC00000"/>
        <rFont val="Arial"/>
        <family val="0"/>
        <charset val="1"/>
      </rPr>
      <t xml:space="preserve">20</t>
    </r>
    <r>
      <rPr>
        <sz val="9"/>
        <color rgb="FFC00000"/>
        <rFont val="WenQuanYi Zen Hei"/>
        <family val="2"/>
      </rPr>
      <t xml:space="preserve">百万円を含む（仕入時に仮払控除済のため純増）。</t>
    </r>
  </si>
  <si>
    <t xml:space="preserve">法人税等（均等割）</t>
  </si>
  <si>
    <t xml:space="preserve">営業支出 計</t>
  </si>
  <si>
    <t xml:space="preserve">経常収支</t>
  </si>
  <si>
    <t xml:space="preserve">【財務・投資収支】</t>
  </si>
  <si>
    <t xml:space="preserve">長期借入金 約定返済</t>
  </si>
  <si>
    <t xml:space="preserve">短期借入金 純増減</t>
  </si>
  <si>
    <t xml:space="preserve">新規調達（借入・増資）</t>
  </si>
  <si>
    <t xml:space="preserve">投資売買益 入金</t>
  </si>
  <si>
    <t xml:space="preserve">みずほ銀行 融資返済（在庫販売代金充当）</t>
  </si>
  <si>
    <t xml:space="preserve">在庫販売代金の入金月に同額を一括返済する前提。</t>
  </si>
  <si>
    <t xml:space="preserve">財務・投資収支 計</t>
  </si>
  <si>
    <t xml:space="preserve">当月収支</t>
  </si>
  <si>
    <t xml:space="preserve">前月繰越 現預金</t>
  </si>
  <si>
    <t xml:space="preserve">翌月繰越 現預金</t>
  </si>
  <si>
    <t xml:space="preserve">資金不足額（マイナス時）</t>
  </si>
  <si>
    <t xml:space="preserve">通期列＝最大不足額（必要調達額の下限）</t>
  </si>
  <si>
    <r>
      <rPr>
        <sz val="9"/>
        <color rgb="FF595959"/>
        <rFont val="WenQuanYi Zen Hei"/>
        <family val="2"/>
      </rPr>
      <t xml:space="preserve">※売上・仕入とも回収／支払サイト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WenQuanYi Zen Hei"/>
        <family val="2"/>
      </rPr>
      <t xml:space="preserve">か月。既存事業の売上は横ばい前提のため、月ズレの影響は通期では相殺されます。</t>
    </r>
  </si>
  <si>
    <t xml:space="preserve">※ワイン仕入の支払は前月仕入額を当月に支払う前提（⑥シートで仕入月を入力すると、翌月に資金流出として反映されます）。</t>
  </si>
  <si>
    <r>
      <rPr>
        <sz val="9"/>
        <color rgb="FF595959"/>
        <rFont val="WenQuanYi Zen Hei"/>
        <family val="2"/>
      </rPr>
      <t xml:space="preserve">※減価償却費（月</t>
    </r>
    <r>
      <rPr>
        <sz val="9"/>
        <color rgb="FF595959"/>
        <rFont val="Arial"/>
        <family val="0"/>
        <charset val="1"/>
      </rPr>
      <t xml:space="preserve">3.6</t>
    </r>
    <r>
      <rPr>
        <sz val="9"/>
        <color rgb="FF595959"/>
        <rFont val="WenQuanYi Zen Hei"/>
        <family val="2"/>
      </rPr>
      <t xml:space="preserve">百万円）は資金支出を伴わないため、営業支出から除外しています。</t>
    </r>
  </si>
  <si>
    <t xml:space="preserve">※消費税納付・法人税等は暫定値です。税理士確定額に差し替えてください。</t>
  </si>
  <si>
    <r>
      <rPr>
        <sz val="9"/>
        <color rgb="FFC00000"/>
        <rFont val="WenQuanYi Zen Hei"/>
        <family val="2"/>
      </rPr>
      <t xml:space="preserve">※期首現預金と長期借入返済額（黄色セル）は必ず実際の数値に差し替えてください。この</t>
    </r>
    <r>
      <rPr>
        <sz val="9"/>
        <color rgb="FFC00000"/>
        <rFont val="Arial"/>
        <family val="0"/>
        <charset val="1"/>
      </rPr>
      <t xml:space="preserve">2</t>
    </r>
    <r>
      <rPr>
        <sz val="9"/>
        <color rgb="FFC00000"/>
        <rFont val="WenQuanYi Zen Hei"/>
        <family val="2"/>
      </rPr>
      <t xml:space="preserve">つで結論が大きく変わります。</t>
    </r>
  </si>
  <si>
    <t xml:space="preserve">【感応度】どこまで耐えられるか</t>
  </si>
  <si>
    <t xml:space="preserve">ケース</t>
  </si>
  <si>
    <t xml:space="preserve">期末 現預金残高</t>
  </si>
  <si>
    <t xml:space="preserve">期中 最低残高</t>
  </si>
  <si>
    <t xml:space="preserve">必要調達額</t>
  </si>
  <si>
    <t xml:space="preserve">前提</t>
  </si>
  <si>
    <r>
      <rPr>
        <b val="true"/>
        <sz val="11"/>
        <rFont val="Arial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基本（在庫横ばい・調達なし）</t>
    </r>
  </si>
  <si>
    <r>
      <rPr>
        <sz val="9"/>
        <color rgb="FF595959"/>
        <rFont val="WenQuanYi Zen Hei"/>
        <family val="2"/>
      </rPr>
      <t xml:space="preserve">在庫を積み増さず、</t>
    </r>
    <r>
      <rPr>
        <sz val="9"/>
        <color rgb="FF595959"/>
        <rFont val="Arial"/>
        <family val="0"/>
        <charset val="1"/>
      </rPr>
      <t xml:space="preserve">2027/03</t>
    </r>
    <r>
      <rPr>
        <sz val="9"/>
        <color rgb="FF595959"/>
        <rFont val="WenQuanYi Zen Hei"/>
        <family val="2"/>
      </rPr>
      <t xml:space="preserve">の一時収益</t>
    </r>
    <r>
      <rPr>
        <sz val="9"/>
        <color rgb="FF595959"/>
        <rFont val="Arial"/>
        <family val="0"/>
        <charset val="1"/>
      </rPr>
      <t xml:space="preserve">42</t>
    </r>
    <r>
      <rPr>
        <sz val="9"/>
        <color rgb="FF595959"/>
        <rFont val="WenQuanYi Zen Hei"/>
        <family val="2"/>
      </rPr>
      <t xml:space="preserve">百万円が予定どおり入金する前提</t>
    </r>
  </si>
  <si>
    <r>
      <rPr>
        <sz val="11"/>
        <rFont val="Arial"/>
        <family val="0"/>
        <charset val="1"/>
      </rPr>
      <t xml:space="preserve">B. 2027/03</t>
    </r>
    <r>
      <rPr>
        <sz val="11"/>
        <rFont val="WenQuanYi Zen Hei"/>
        <family val="2"/>
      </rPr>
      <t xml:space="preserve">の一時収益が入らない</t>
    </r>
  </si>
  <si>
    <r>
      <rPr>
        <sz val="9"/>
        <color rgb="FF595959"/>
        <rFont val="WenQuanYi Zen Hei"/>
        <family val="2"/>
      </rPr>
      <t xml:space="preserve">インセンティブ</t>
    </r>
    <r>
      <rPr>
        <sz val="9"/>
        <color rgb="FF595959"/>
        <rFont val="Arial"/>
        <family val="0"/>
        <charset val="1"/>
      </rPr>
      <t xml:space="preserve">22.0</t>
    </r>
    <r>
      <rPr>
        <sz val="9"/>
        <color rgb="FF595959"/>
        <rFont val="WenQuanYi Zen Hei"/>
        <family val="2"/>
      </rPr>
      <t xml:space="preserve">百万円（税込）＋投資売買益</t>
    </r>
    <r>
      <rPr>
        <sz val="9"/>
        <color rgb="FF595959"/>
        <rFont val="Arial"/>
        <family val="0"/>
        <charset val="1"/>
      </rPr>
      <t xml:space="preserve">20.0</t>
    </r>
    <r>
      <rPr>
        <sz val="9"/>
        <color rgb="FF595959"/>
        <rFont val="WenQuanYi Zen Hei"/>
        <family val="2"/>
      </rPr>
      <t xml:space="preserve">百万円が未入金の場合</t>
    </r>
  </si>
  <si>
    <r>
      <rPr>
        <sz val="11"/>
        <rFont val="Arial"/>
        <family val="0"/>
        <charset val="1"/>
      </rPr>
      <t xml:space="preserve">C. </t>
    </r>
    <r>
      <rPr>
        <sz val="11"/>
        <rFont val="WenQuanYi Zen Hei"/>
        <family val="2"/>
      </rPr>
      <t xml:space="preserve">在庫を</t>
    </r>
    <r>
      <rPr>
        <sz val="11"/>
        <rFont val="Arial"/>
        <family val="0"/>
        <charset val="1"/>
      </rPr>
      <t xml:space="preserve">FY2026</t>
    </r>
    <r>
      <rPr>
        <sz val="11"/>
        <rFont val="WenQuanYi Zen Hei"/>
        <family val="2"/>
      </rPr>
      <t xml:space="preserve">上期ペースで積増</t>
    </r>
  </si>
  <si>
    <r>
      <rPr>
        <sz val="9"/>
        <color rgb="FF595959"/>
        <rFont val="WenQuanYi Zen Hei"/>
        <family val="2"/>
      </rPr>
      <t xml:space="preserve">月</t>
    </r>
    <r>
      <rPr>
        <sz val="9"/>
        <color rgb="FF595959"/>
        <rFont val="Arial"/>
        <family val="0"/>
        <charset val="1"/>
      </rPr>
      <t xml:space="preserve">23.3</t>
    </r>
    <r>
      <rPr>
        <sz val="9"/>
        <color rgb="FF595959"/>
        <rFont val="WenQuanYi Zen Hei"/>
        <family val="2"/>
      </rPr>
      <t xml:space="preserve">百万円（</t>
    </r>
    <r>
      <rPr>
        <sz val="9"/>
        <color rgb="FF595959"/>
        <rFont val="Arial"/>
        <family val="0"/>
        <charset val="1"/>
      </rPr>
      <t xml:space="preserve">2025/09</t>
    </r>
    <r>
      <rPr>
        <sz val="9"/>
        <color rgb="FF595959"/>
        <rFont val="WenQuanYi Zen Hei"/>
        <family val="2"/>
      </rPr>
      <t xml:space="preserve">末→</t>
    </r>
    <r>
      <rPr>
        <sz val="9"/>
        <color rgb="FF595959"/>
        <rFont val="Arial"/>
        <family val="0"/>
        <charset val="1"/>
      </rPr>
      <t xml:space="preserve">2026/03</t>
    </r>
    <r>
      <rPr>
        <sz val="9"/>
        <color rgb="FF595959"/>
        <rFont val="WenQuanYi Zen Hei"/>
        <family val="2"/>
      </rPr>
      <t xml:space="preserve">末の実績ペース）で積み増した場合</t>
    </r>
  </si>
  <si>
    <r>
      <rPr>
        <sz val="11"/>
        <rFont val="Arial"/>
        <family val="0"/>
        <charset val="1"/>
      </rPr>
      <t xml:space="preserve">D. 2026/09</t>
    </r>
    <r>
      <rPr>
        <sz val="11"/>
        <rFont val="WenQuanYi Zen Hei"/>
        <family val="2"/>
      </rPr>
      <t xml:space="preserve">の在庫販売</t>
    </r>
    <r>
      <rPr>
        <sz val="11"/>
        <rFont val="Arial"/>
        <family val="0"/>
        <charset val="1"/>
      </rPr>
      <t xml:space="preserve">200</t>
    </r>
    <r>
      <rPr>
        <sz val="11"/>
        <rFont val="WenQuanYi Zen Hei"/>
        <family val="2"/>
      </rPr>
      <t xml:space="preserve">百万円が不成立</t>
    </r>
  </si>
  <si>
    <r>
      <rPr>
        <sz val="9"/>
        <color rgb="FF595959"/>
        <rFont val="WenQuanYi Zen Hei"/>
        <family val="2"/>
      </rPr>
      <t xml:space="preserve">入金</t>
    </r>
    <r>
      <rPr>
        <sz val="9"/>
        <color rgb="FF595959"/>
        <rFont val="Arial"/>
        <family val="0"/>
        <charset val="1"/>
      </rPr>
      <t xml:space="preserve">220</t>
    </r>
    <r>
      <rPr>
        <sz val="9"/>
        <color rgb="FF595959"/>
        <rFont val="WenQuanYi Zen Hei"/>
        <family val="2"/>
      </rPr>
      <t xml:space="preserve">・返済</t>
    </r>
    <r>
      <rPr>
        <sz val="9"/>
        <color rgb="FF595959"/>
        <rFont val="Arial"/>
        <family val="0"/>
        <charset val="1"/>
      </rPr>
      <t xml:space="preserve">200</t>
    </r>
    <r>
      <rPr>
        <sz val="9"/>
        <color rgb="FF595959"/>
        <rFont val="WenQuanYi Zen Hei"/>
        <family val="2"/>
      </rPr>
      <t xml:space="preserve">・消費税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WenQuanYi Zen Hei"/>
        <family val="2"/>
      </rPr>
      <t xml:space="preserve">は相殺されるが、長期借入が</t>
    </r>
    <r>
      <rPr>
        <sz val="9"/>
        <color rgb="FF595959"/>
        <rFont val="Arial"/>
        <family val="0"/>
        <charset val="1"/>
      </rPr>
      <t xml:space="preserve">223.6→423.6</t>
    </r>
    <r>
      <rPr>
        <sz val="9"/>
        <color rgb="FF595959"/>
        <rFont val="WenQuanYi Zen Hei"/>
        <family val="2"/>
      </rPr>
      <t xml:space="preserve">百万円のままとなり約定返済が月</t>
    </r>
    <r>
      <rPr>
        <sz val="9"/>
        <color rgb="FF595959"/>
        <rFont val="Arial"/>
        <family val="0"/>
        <charset val="1"/>
      </rPr>
      <t xml:space="preserve">5.04</t>
    </r>
    <r>
      <rPr>
        <sz val="9"/>
        <color rgb="FF595959"/>
        <rFont val="WenQuanYi Zen Hei"/>
        <family val="2"/>
      </rPr>
      <t xml:space="preserve">百万円に戻る</t>
    </r>
  </si>
  <si>
    <r>
      <rPr>
        <sz val="11"/>
        <rFont val="WenQuanYi Zen Hei"/>
        <family val="2"/>
      </rPr>
      <t xml:space="preserve">運転資金バッファ（月商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か月）</t>
    </r>
  </si>
  <si>
    <r>
      <rPr>
        <sz val="9"/>
        <color rgb="FF595959"/>
        <rFont val="WenQuanYi Zen Hei"/>
        <family val="2"/>
      </rPr>
      <t xml:space="preserve">最低残高をゼロに戻すだけでは足りないため、月商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か月分を上乗せして必要調達額を算定。</t>
    </r>
  </si>
  <si>
    <r>
      <rPr>
        <sz val="9"/>
        <color rgb="FFC00000"/>
        <rFont val="WenQuanYi Zen Hei"/>
        <family val="2"/>
      </rPr>
      <t xml:space="preserve">※ケース</t>
    </r>
    <r>
      <rPr>
        <sz val="9"/>
        <color rgb="FFC00000"/>
        <rFont val="Arial"/>
        <family val="0"/>
        <charset val="1"/>
      </rPr>
      <t xml:space="preserve">C</t>
    </r>
    <r>
      <rPr>
        <sz val="9"/>
        <color rgb="FFC00000"/>
        <rFont val="WenQuanYi Zen Hei"/>
        <family val="2"/>
      </rPr>
      <t xml:space="preserve">は在庫積み増しを継続した場合。</t>
    </r>
    <r>
      <rPr>
        <sz val="9"/>
        <color rgb="FFC00000"/>
        <rFont val="Arial"/>
        <family val="0"/>
        <charset val="1"/>
      </rPr>
      <t xml:space="preserve">PL</t>
    </r>
    <r>
      <rPr>
        <sz val="9"/>
        <color rgb="FFC00000"/>
        <rFont val="WenQuanYi Zen Hei"/>
        <family val="2"/>
      </rPr>
      <t xml:space="preserve">上の利益は変わらないが、資金は年</t>
    </r>
    <r>
      <rPr>
        <sz val="9"/>
        <color rgb="FFC00000"/>
        <rFont val="Arial"/>
        <family val="0"/>
        <charset val="1"/>
      </rPr>
      <t xml:space="preserve">308</t>
    </r>
    <r>
      <rPr>
        <sz val="9"/>
        <color rgb="FFC00000"/>
        <rFont val="WenQuanYi Zen Hei"/>
        <family val="2"/>
      </rPr>
      <t xml:space="preserve">百万円（税込）流出します。</t>
    </r>
  </si>
  <si>
    <r>
      <rPr>
        <sz val="9"/>
        <color rgb="FFC00000"/>
        <rFont val="WenQuanYi Zen Hei"/>
        <family val="2"/>
      </rPr>
      <t xml:space="preserve">※ケース</t>
    </r>
    <r>
      <rPr>
        <sz val="9"/>
        <color rgb="FFC00000"/>
        <rFont val="Arial"/>
        <family val="0"/>
        <charset val="1"/>
      </rPr>
      <t xml:space="preserve">B</t>
    </r>
    <r>
      <rPr>
        <sz val="9"/>
        <color rgb="FFC00000"/>
        <rFont val="WenQuanYi Zen Hei"/>
        <family val="2"/>
      </rPr>
      <t xml:space="preserve">と</t>
    </r>
    <r>
      <rPr>
        <sz val="9"/>
        <color rgb="FFC00000"/>
        <rFont val="Arial"/>
        <family val="0"/>
        <charset val="1"/>
      </rPr>
      <t xml:space="preserve">C</t>
    </r>
    <r>
      <rPr>
        <sz val="9"/>
        <color rgb="FFC00000"/>
        <rFont val="WenQuanYi Zen Hei"/>
        <family val="2"/>
      </rPr>
      <t xml:space="preserve">が同時に起きた場合、必要調達額は両者の合計に近い水準となります。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</si>
</sst>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¥#,##0;&quot;(¥&quot;#,##0\);\-"/>
    <numFmt numFmtId="166" formatCode="0.0%"/>
    <numFmt numFmtId="167" formatCode="0"/>
    <numFmt numFmtId="168" formatCode="#,##0"/>
    <numFmt numFmtId="169" formatCode="#,##0.0"/>
    <numFmt numFmtId="170" formatCode="0.0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b val="true"/>
      <sz val="15"/>
      <name val="WenQuanYi Zen Hei"/>
      <family val="2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1"/>
      <name val="WenQuanYi Zen Hei"/>
      <family val="2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b val="true"/>
      <sz val="12"/>
      <name val="WenQuanYi Zen Hei"/>
      <family val="2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3"/>
      <name val="Arial"/>
      <family val="0"/>
      <charset val="1"/>
    </font>
    <font>
      <b val="true"/>
      <sz val="13"/>
      <name val="WenQuanYi Zen Hei"/>
      <family val="2"/>
    </font>
    <font>
      <sz val="9"/>
      <color rgb="FFC00000"/>
      <name val="WenQuanYi Zen Hei"/>
      <family val="2"/>
    </font>
    <font>
      <sz val="9"/>
      <color rgb="FFC00000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sz val="11"/>
      <color rgb="FF008000"/>
      <name val="Arial"/>
      <family val="0"/>
      <charset val="1"/>
    </font>
    <font>
      <sz val="11"/>
      <color rgb="FF0000FF"/>
      <name val="WenQuanYi Zen Hei"/>
      <family val="2"/>
    </font>
    <font>
      <sz val="11"/>
      <color rgb="FF008000"/>
      <name val="WenQuanYi Zen Hei"/>
      <family val="2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WenQuanYi Zen Hei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DF6E3"/>
      </patternFill>
    </fill>
    <fill>
      <patternFill patternType="solid">
        <fgColor rgb="FFFFF2CC"/>
        <bgColor rgb="FFFDF6E3"/>
      </patternFill>
    </fill>
    <fill>
      <patternFill patternType="solid">
        <fgColor rgb="FFC6E0B4"/>
        <bgColor rgb="FFD9D9D9"/>
      </patternFill>
    </fill>
    <fill>
      <patternFill patternType="solid">
        <fgColor rgb="FFD9E2F3"/>
        <bgColor rgb="FFE7E6E6"/>
      </patternFill>
    </fill>
    <fill>
      <patternFill patternType="solid">
        <fgColor rgb="FFE7E6E6"/>
        <bgColor rgb="FFD9E2F3"/>
      </patternFill>
    </fill>
    <fill>
      <patternFill patternType="solid">
        <fgColor rgb="FFFDF6E3"/>
        <bgColor rgb="FFFFF2CC"/>
      </patternFill>
    </fill>
    <fill>
      <patternFill patternType="solid">
        <fgColor rgb="FFF8CBAD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6D2E4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E7E6E6"/>
      <rgbColor rgb="FFFDF6E3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月末 現預金残高の推移（ケースA：在庫横ばい・調達なし）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6d2e46"/>
            </a:solidFill>
            <a:ln w="28080">
              <a:solidFill>
                <a:srgbClr val="6d2e4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⑦FY2027資金繰り表!$D$12:$O$12</c:f>
              <c:strCache>
                <c:ptCount val="12"/>
                <c:pt idx="0">
                  <c:v>2026/10</c:v>
                </c:pt>
                <c:pt idx="1">
                  <c:v>2026/11</c:v>
                </c:pt>
                <c:pt idx="2">
                  <c:v>2026/12</c:v>
                </c:pt>
                <c:pt idx="3">
                  <c:v>2027/01</c:v>
                </c:pt>
                <c:pt idx="4">
                  <c:v>2027/02</c:v>
                </c:pt>
                <c:pt idx="5">
                  <c:v>2027/03</c:v>
                </c:pt>
                <c:pt idx="6">
                  <c:v>2027/04</c:v>
                </c:pt>
                <c:pt idx="7">
                  <c:v>2027/05</c:v>
                </c:pt>
                <c:pt idx="8">
                  <c:v>2027/06</c:v>
                </c:pt>
                <c:pt idx="9">
                  <c:v>2027/07</c:v>
                </c:pt>
                <c:pt idx="10">
                  <c:v>2027/08</c:v>
                </c:pt>
                <c:pt idx="11">
                  <c:v>2027/09</c:v>
                </c:pt>
              </c:strCache>
            </c:strRef>
          </c:cat>
          <c:val>
            <c:numRef>
              <c:f>⑦FY2027資金繰り表!$D$41:$O$41</c:f>
              <c:numCache>
                <c:formatCode>\¥#,##0;"(¥"#,##0\);\-</c:formatCode>
                <c:ptCount val="12"/>
                <c:pt idx="0">
                  <c:v>44493416.1666667</c:v>
                </c:pt>
                <c:pt idx="1">
                  <c:v>14133449.3333334</c:v>
                </c:pt>
                <c:pt idx="2">
                  <c:v>14236587.5</c:v>
                </c:pt>
                <c:pt idx="3">
                  <c:v>14339725.6666667</c:v>
                </c:pt>
                <c:pt idx="4">
                  <c:v>14442863.8333334</c:v>
                </c:pt>
                <c:pt idx="5">
                  <c:v>56546002</c:v>
                </c:pt>
                <c:pt idx="6">
                  <c:v>56649140.1666667</c:v>
                </c:pt>
                <c:pt idx="7">
                  <c:v>51752278.3333333</c:v>
                </c:pt>
                <c:pt idx="8">
                  <c:v>51855416.5</c:v>
                </c:pt>
                <c:pt idx="9">
                  <c:v>51958554.6666667</c:v>
                </c:pt>
                <c:pt idx="10">
                  <c:v>52061692.8333333</c:v>
                </c:pt>
                <c:pt idx="11">
                  <c:v>52164831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173310"/>
        <c:axId val="17219586"/>
      </c:lineChart>
      <c:catAx>
        <c:axId val="711733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219586"/>
        <c:crosses val="autoZero"/>
        <c:auto val="1"/>
        <c:lblAlgn val="ctr"/>
        <c:lblOffset val="100"/>
        <c:noMultiLvlLbl val="0"/>
      </c:catAx>
      <c:valAx>
        <c:axId val="172195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円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¥#,##0;&quot;(¥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17331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59</xdr:row>
      <xdr:rowOff>134640</xdr:rowOff>
    </xdr:from>
    <xdr:to>
      <xdr:col>6</xdr:col>
      <xdr:colOff>1038600</xdr:colOff>
      <xdr:row>74</xdr:row>
      <xdr:rowOff>12600</xdr:rowOff>
    </xdr:to>
    <xdr:graphicFrame>
      <xdr:nvGraphicFramePr>
        <xdr:cNvPr id="0" name="Chart 1"/>
        <xdr:cNvGraphicFramePr/>
      </xdr:nvGraphicFramePr>
      <xdr:xfrm>
        <a:off x="266760" y="11430000"/>
        <a:ext cx="863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6" min="3" style="0" width="19"/>
    <col collapsed="false" customWidth="true" hidden="false" outlineLevel="0" max="7" min="7" style="0" width="46"/>
  </cols>
  <sheetData>
    <row r="1" customFormat="false" ht="20.1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5" customFormat="false" ht="43.5" hidden="false" customHeight="true" outlineLevel="0" collapsed="false">
      <c r="B5" s="4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4" t="s">
        <v>8</v>
      </c>
    </row>
    <row r="6" customFormat="false" ht="15" hidden="false" customHeight="false" outlineLevel="0" collapsed="false">
      <c r="B6" s="6" t="s">
        <v>9</v>
      </c>
      <c r="C6" s="7" t="n">
        <v>708205820</v>
      </c>
      <c r="D6" s="8" t="n">
        <f aca="false">②前提!$C$6*12</f>
        <v>389140768</v>
      </c>
      <c r="E6" s="8" t="n">
        <f aca="false">②前提!$C$6*12</f>
        <v>389140768</v>
      </c>
      <c r="F6" s="8" t="n">
        <f aca="false">E6+F9/②前提!$C$9</f>
        <v>558023786.135581</v>
      </c>
      <c r="G6" s="3"/>
    </row>
    <row r="7" customFormat="false" ht="15" hidden="false" customHeight="false" outlineLevel="0" collapsed="false">
      <c r="B7" s="6" t="s">
        <v>10</v>
      </c>
      <c r="C7" s="7" t="n">
        <v>229139405</v>
      </c>
      <c r="D7" s="8" t="n">
        <f aca="false">②前提!$C$7*12</f>
        <v>200601928</v>
      </c>
      <c r="E7" s="8" t="n">
        <f aca="false">②前提!$C$7*12</f>
        <v>200601928</v>
      </c>
      <c r="F7" s="8" t="n">
        <f aca="false">E7</f>
        <v>200601928</v>
      </c>
      <c r="G7" s="3"/>
    </row>
    <row r="8" customFormat="false" ht="15" hidden="false" customHeight="false" outlineLevel="0" collapsed="false">
      <c r="B8" s="6" t="s">
        <v>11</v>
      </c>
      <c r="C8" s="7" t="n">
        <v>0</v>
      </c>
      <c r="D8" s="8" t="n">
        <v>0</v>
      </c>
      <c r="E8" s="8" t="n">
        <f aca="false">②前提!$C$21</f>
        <v>112500000</v>
      </c>
      <c r="F8" s="8" t="n">
        <f aca="false">②前提!$C$21</f>
        <v>112500000</v>
      </c>
      <c r="G8" s="3" t="s">
        <v>12</v>
      </c>
    </row>
    <row r="9" customFormat="false" ht="15" hidden="false" customHeight="false" outlineLevel="0" collapsed="false">
      <c r="B9" s="6" t="s">
        <v>13</v>
      </c>
      <c r="C9" s="8"/>
      <c r="D9" s="8"/>
      <c r="E9" s="8"/>
      <c r="F9" s="9" t="n">
        <f aca="false">②前提!$C$29-E14</f>
        <v>87059136</v>
      </c>
      <c r="G9" s="10" t="s">
        <v>14</v>
      </c>
    </row>
    <row r="10" customFormat="false" ht="15" hidden="false" customHeight="false" outlineLevel="0" collapsed="false">
      <c r="B10" s="11" t="s">
        <v>15</v>
      </c>
      <c r="C10" s="12" t="n">
        <v>229139405</v>
      </c>
      <c r="D10" s="12" t="n">
        <f aca="false">D7+D8</f>
        <v>200601928</v>
      </c>
      <c r="E10" s="12" t="n">
        <f aca="false">E7+E8</f>
        <v>313101928</v>
      </c>
      <c r="F10" s="12" t="n">
        <f aca="false">F7+F8+F9</f>
        <v>400161064</v>
      </c>
      <c r="G10" s="13"/>
    </row>
    <row r="11" customFormat="false" ht="15" hidden="false" customHeight="false" outlineLevel="0" collapsed="false">
      <c r="B11" s="6" t="s">
        <v>16</v>
      </c>
      <c r="C11" s="7" t="n">
        <v>343932836</v>
      </c>
      <c r="D11" s="8" t="n">
        <f aca="false">②前提!$C$8*12</f>
        <v>300161064</v>
      </c>
      <c r="E11" s="8" t="n">
        <f aca="false">②前提!$C$8*12</f>
        <v>300161064</v>
      </c>
      <c r="F11" s="8" t="n">
        <f aca="false">E11</f>
        <v>300161064</v>
      </c>
      <c r="G11" s="14" t="s">
        <v>17</v>
      </c>
    </row>
    <row r="12" customFormat="false" ht="15" hidden="false" customHeight="false" outlineLevel="0" collapsed="false">
      <c r="B12" s="6" t="s">
        <v>18</v>
      </c>
      <c r="C12" s="7" t="n">
        <v>0</v>
      </c>
      <c r="D12" s="8" t="n">
        <f aca="false">②前提!$C$25</f>
        <v>0</v>
      </c>
      <c r="E12" s="8" t="n">
        <f aca="false">②前提!$C$25</f>
        <v>0</v>
      </c>
      <c r="F12" s="8" t="n">
        <f aca="false">②前提!$C$25</f>
        <v>0</v>
      </c>
      <c r="G12" s="14" t="s">
        <v>19</v>
      </c>
    </row>
    <row r="13" customFormat="false" ht="15" hidden="false" customHeight="false" outlineLevel="0" collapsed="false">
      <c r="B13" s="11" t="s">
        <v>20</v>
      </c>
      <c r="C13" s="12" t="n">
        <v>343932836</v>
      </c>
      <c r="D13" s="12" t="n">
        <f aca="false">D11+D12</f>
        <v>300161064</v>
      </c>
      <c r="E13" s="12" t="n">
        <f aca="false">E11+E12</f>
        <v>300161064</v>
      </c>
      <c r="F13" s="12" t="n">
        <f aca="false">F11+F12</f>
        <v>300161064</v>
      </c>
      <c r="G13" s="13"/>
    </row>
    <row r="14" customFormat="false" ht="15" hidden="false" customHeight="false" outlineLevel="0" collapsed="false">
      <c r="B14" s="15" t="s">
        <v>21</v>
      </c>
      <c r="C14" s="16" t="n">
        <v>-114793431</v>
      </c>
      <c r="D14" s="16" t="n">
        <f aca="false">D10-D13</f>
        <v>-99559136</v>
      </c>
      <c r="E14" s="16" t="n">
        <f aca="false">E10-E13</f>
        <v>12940864</v>
      </c>
      <c r="F14" s="16" t="n">
        <f aca="false">②前提!$C$29</f>
        <v>100000000</v>
      </c>
      <c r="G14" s="17" t="s">
        <v>22</v>
      </c>
    </row>
    <row r="15" customFormat="false" ht="15" hidden="false" customHeight="false" outlineLevel="0" collapsed="false">
      <c r="B15" s="6" t="s">
        <v>23</v>
      </c>
      <c r="C15" s="7" t="n">
        <v>0</v>
      </c>
      <c r="D15" s="8" t="n">
        <v>0</v>
      </c>
      <c r="E15" s="8" t="n">
        <f aca="false">②前提!$C$22</f>
        <v>20000000</v>
      </c>
      <c r="F15" s="8" t="n">
        <f aca="false">②前提!$C$22</f>
        <v>20000000</v>
      </c>
      <c r="G15" s="3"/>
    </row>
    <row r="16" customFormat="false" ht="15" hidden="false" customHeight="false" outlineLevel="0" collapsed="false">
      <c r="B16" s="6" t="s">
        <v>24</v>
      </c>
      <c r="C16" s="7" t="n">
        <v>10000000</v>
      </c>
      <c r="D16" s="8" t="n">
        <f aca="false">②前提!$C$26</f>
        <v>15000000</v>
      </c>
      <c r="E16" s="8" t="n">
        <f aca="false">②前提!$C$26</f>
        <v>15000000</v>
      </c>
      <c r="F16" s="8" t="n">
        <f aca="false">②前提!$C$26</f>
        <v>15000000</v>
      </c>
      <c r="G16" s="3"/>
    </row>
    <row r="17" customFormat="false" ht="15" hidden="false" customHeight="false" outlineLevel="0" collapsed="false">
      <c r="B17" s="18" t="s">
        <v>25</v>
      </c>
      <c r="C17" s="19" t="n">
        <v>-124793431</v>
      </c>
      <c r="D17" s="19" t="n">
        <f aca="false">D14+D15-D16</f>
        <v>-114559136</v>
      </c>
      <c r="E17" s="19" t="n">
        <f aca="false">E14+E15-E16</f>
        <v>17940864</v>
      </c>
      <c r="F17" s="19" t="n">
        <f aca="false">F14+F15-F16</f>
        <v>105000000</v>
      </c>
      <c r="G17" s="20"/>
    </row>
    <row r="18" customFormat="false" ht="15" hidden="false" customHeight="false" outlineLevel="0" collapsed="false">
      <c r="B18" s="6" t="s">
        <v>26</v>
      </c>
      <c r="C18" s="7" t="n">
        <v>0</v>
      </c>
      <c r="D18" s="8" t="n">
        <v>0</v>
      </c>
      <c r="E18" s="8" t="n">
        <v>0</v>
      </c>
      <c r="F18" s="8" t="n">
        <v>0</v>
      </c>
      <c r="G18" s="3" t="s">
        <v>27</v>
      </c>
    </row>
    <row r="19" customFormat="false" ht="15" hidden="false" customHeight="false" outlineLevel="0" collapsed="false">
      <c r="B19" s="11" t="s">
        <v>28</v>
      </c>
      <c r="C19" s="12" t="n">
        <v>-124793431</v>
      </c>
      <c r="D19" s="12" t="n">
        <f aca="false">D17-D18</f>
        <v>-114559136</v>
      </c>
      <c r="E19" s="12" t="n">
        <f aca="false">E17-E18</f>
        <v>17940864</v>
      </c>
      <c r="F19" s="12" t="n">
        <f aca="false">F17-F18</f>
        <v>105000000</v>
      </c>
      <c r="G19" s="13"/>
    </row>
    <row r="21" customFormat="false" ht="16.4" hidden="false" customHeight="false" outlineLevel="0" collapsed="false">
      <c r="B21" s="21" t="s">
        <v>29</v>
      </c>
    </row>
    <row r="22" customFormat="false" ht="30" hidden="false" customHeight="true" outlineLevel="0" collapsed="false">
      <c r="C22" s="22" t="s">
        <v>30</v>
      </c>
      <c r="D22" s="23" t="s">
        <v>31</v>
      </c>
    </row>
    <row r="23" customFormat="false" ht="15" hidden="false" customHeight="false" outlineLevel="0" collapsed="false">
      <c r="B23" s="6" t="s">
        <v>32</v>
      </c>
      <c r="C23" s="24" t="n">
        <f aca="false">F9/②前提!$C$9</f>
        <v>168883018.135581</v>
      </c>
      <c r="D23" s="25" t="n">
        <f aca="false">C23/②前提!$C$30</f>
        <v>0.158426846281033</v>
      </c>
    </row>
    <row r="26" customFormat="false" ht="15" hidden="false" customHeight="false" outlineLevel="0" collapsed="false">
      <c r="B26" s="26"/>
      <c r="C26" s="26"/>
      <c r="D26" s="26"/>
      <c r="E26" s="26"/>
      <c r="F26" s="26"/>
      <c r="G26" s="26"/>
    </row>
    <row r="27" customFormat="false" ht="15" hidden="false" customHeight="false" outlineLevel="0" collapsed="false">
      <c r="B27" s="27" t="s">
        <v>33</v>
      </c>
      <c r="C27" s="27"/>
      <c r="D27" s="27"/>
      <c r="E27" s="27"/>
      <c r="F27" s="27"/>
      <c r="G27" s="27"/>
    </row>
    <row r="28" customFormat="false" ht="15" hidden="false" customHeight="false" outlineLevel="0" collapsed="false">
      <c r="B28" s="26" t="s">
        <v>34</v>
      </c>
      <c r="C28" s="26"/>
      <c r="D28" s="26"/>
      <c r="E28" s="26"/>
      <c r="F28" s="26"/>
      <c r="G28" s="26"/>
    </row>
    <row r="29" customFormat="false" ht="15" hidden="false" customHeight="false" outlineLevel="0" collapsed="false">
      <c r="B29" s="26" t="s">
        <v>35</v>
      </c>
      <c r="C29" s="26"/>
      <c r="D29" s="26"/>
      <c r="E29" s="26"/>
      <c r="F29" s="26"/>
      <c r="G29" s="26"/>
    </row>
    <row r="30" customFormat="false" ht="15" hidden="false" customHeight="false" outlineLevel="0" collapsed="false">
      <c r="B30" s="26" t="s">
        <v>36</v>
      </c>
      <c r="C30" s="26"/>
      <c r="D30" s="26"/>
      <c r="E30" s="26"/>
      <c r="F30" s="26"/>
      <c r="G30" s="26"/>
    </row>
    <row r="31" customFormat="false" ht="15" hidden="false" customHeight="false" outlineLevel="0" collapsed="false">
      <c r="B31" s="28" t="s">
        <v>37</v>
      </c>
      <c r="C31" s="28"/>
      <c r="D31" s="28"/>
      <c r="E31" s="28"/>
      <c r="F31" s="28"/>
      <c r="G31" s="28"/>
    </row>
    <row r="32" customFormat="false" ht="15" hidden="false" customHeight="false" outlineLevel="0" collapsed="false">
      <c r="B32" s="26"/>
      <c r="C32" s="26"/>
      <c r="D32" s="26"/>
      <c r="E32" s="26"/>
      <c r="F32" s="26"/>
      <c r="G32" s="26"/>
    </row>
    <row r="33" customFormat="false" ht="15" hidden="false" customHeight="false" outlineLevel="0" collapsed="false">
      <c r="B33" s="28" t="s">
        <v>38</v>
      </c>
      <c r="C33" s="28"/>
      <c r="D33" s="28"/>
      <c r="E33" s="28"/>
      <c r="F33" s="28"/>
      <c r="G33" s="28"/>
    </row>
    <row r="34" customFormat="false" ht="15" hidden="false" customHeight="false" outlineLevel="0" collapsed="false">
      <c r="B34" s="28" t="s">
        <v>39</v>
      </c>
      <c r="C34" s="28"/>
      <c r="D34" s="28"/>
      <c r="E34" s="28"/>
      <c r="F34" s="28"/>
      <c r="G34" s="28"/>
    </row>
    <row r="35" customFormat="false" ht="15" hidden="false" customHeight="false" outlineLevel="0" collapsed="false">
      <c r="B35" s="26" t="s">
        <v>40</v>
      </c>
      <c r="C35" s="26"/>
      <c r="D35" s="26"/>
      <c r="E35" s="26"/>
      <c r="F35" s="26"/>
      <c r="G35" s="26"/>
    </row>
  </sheetData>
  <mergeCells count="10">
    <mergeCell ref="B26:G26"/>
    <mergeCell ref="B27:G27"/>
    <mergeCell ref="B28:G28"/>
    <mergeCell ref="B29:G29"/>
    <mergeCell ref="B30:G30"/>
    <mergeCell ref="B31:G31"/>
    <mergeCell ref="B32:G32"/>
    <mergeCell ref="B33:G33"/>
    <mergeCell ref="B34:G34"/>
    <mergeCell ref="B35:G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R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14" min="3" style="0" width="13"/>
    <col collapsed="false" customWidth="true" hidden="false" outlineLevel="0" max="17" min="15" style="0" width="15"/>
    <col collapsed="false" customWidth="true" hidden="false" outlineLevel="0" max="18" min="18" style="0" width="14"/>
  </cols>
  <sheetData>
    <row r="1" customFormat="false" ht="17.15" hidden="false" customHeight="false" outlineLevel="0" collapsed="false">
      <c r="B1" s="29" t="s">
        <v>41</v>
      </c>
    </row>
    <row r="2" customFormat="false" ht="15" hidden="false" customHeight="false" outlineLevel="0" collapsed="false">
      <c r="B2" s="3" t="s">
        <v>42</v>
      </c>
    </row>
    <row r="3" customFormat="false" ht="15" hidden="false" customHeight="false" outlineLevel="0" collapsed="false">
      <c r="B3" s="30" t="s">
        <v>43</v>
      </c>
    </row>
    <row r="5" customFormat="false" ht="30" hidden="false" customHeight="true" outlineLevel="0" collapsed="false">
      <c r="B5" s="22" t="s">
        <v>3</v>
      </c>
      <c r="C5" s="31" t="s">
        <v>44</v>
      </c>
      <c r="D5" s="31" t="s">
        <v>45</v>
      </c>
      <c r="E5" s="31" t="s">
        <v>46</v>
      </c>
      <c r="F5" s="31" t="s">
        <v>47</v>
      </c>
      <c r="G5" s="31" t="s">
        <v>48</v>
      </c>
      <c r="H5" s="31" t="s">
        <v>49</v>
      </c>
      <c r="I5" s="31" t="s">
        <v>50</v>
      </c>
      <c r="J5" s="31" t="s">
        <v>51</v>
      </c>
      <c r="K5" s="31" t="s">
        <v>52</v>
      </c>
      <c r="L5" s="31" t="s">
        <v>53</v>
      </c>
      <c r="M5" s="31" t="s">
        <v>54</v>
      </c>
      <c r="N5" s="31" t="s">
        <v>55</v>
      </c>
      <c r="O5" s="23" t="s">
        <v>56</v>
      </c>
      <c r="P5" s="32" t="s">
        <v>57</v>
      </c>
      <c r="Q5" s="32" t="s">
        <v>58</v>
      </c>
      <c r="R5" s="23" t="s">
        <v>59</v>
      </c>
    </row>
    <row r="6" customFormat="false" ht="15" hidden="false" customHeight="false" outlineLevel="0" collapsed="false">
      <c r="B6" s="6" t="s">
        <v>60</v>
      </c>
      <c r="C6" s="7" t="n">
        <v>32789307</v>
      </c>
      <c r="D6" s="7" t="n">
        <v>96919229</v>
      </c>
      <c r="E6" s="7" t="n">
        <v>43039844</v>
      </c>
      <c r="F6" s="7" t="n">
        <v>32477958</v>
      </c>
      <c r="G6" s="7" t="n">
        <v>41290432</v>
      </c>
      <c r="H6" s="7" t="n">
        <v>33033585</v>
      </c>
      <c r="I6" s="7" t="n">
        <v>31863679</v>
      </c>
      <c r="J6" s="7" t="n">
        <v>33917025</v>
      </c>
      <c r="K6" s="7" t="n">
        <v>31504488</v>
      </c>
      <c r="L6" s="33" t="n">
        <v>60489854</v>
      </c>
      <c r="M6" s="33" t="n">
        <v>37962048</v>
      </c>
      <c r="N6" s="33" t="n">
        <v>232918371</v>
      </c>
      <c r="O6" s="34" t="n">
        <f aca="false">SUM(C6:N6)</f>
        <v>708205820</v>
      </c>
      <c r="P6" s="34" t="n">
        <f aca="false">AVERAGE(C6:H6)</f>
        <v>46591725.8333333</v>
      </c>
      <c r="Q6" s="34" t="n">
        <f aca="false">AVERAGE(I6:K6)</f>
        <v>32428397.3333333</v>
      </c>
      <c r="R6" s="34" t="n">
        <f aca="false">Q6-P6</f>
        <v>-14163328.5</v>
      </c>
    </row>
    <row r="7" customFormat="false" ht="15" hidden="false" customHeight="false" outlineLevel="0" collapsed="false">
      <c r="B7" s="6" t="s">
        <v>61</v>
      </c>
      <c r="C7" s="7" t="n">
        <v>18502877</v>
      </c>
      <c r="D7" s="7" t="n">
        <v>69212121</v>
      </c>
      <c r="E7" s="7" t="n">
        <v>21085289</v>
      </c>
      <c r="F7" s="7" t="n">
        <v>16521949</v>
      </c>
      <c r="G7" s="7" t="n">
        <v>21070367</v>
      </c>
      <c r="H7" s="7" t="n">
        <v>18454664</v>
      </c>
      <c r="I7" s="7" t="n">
        <v>16184238</v>
      </c>
      <c r="J7" s="7" t="n">
        <v>15777832</v>
      </c>
      <c r="K7" s="7" t="n">
        <v>15172640</v>
      </c>
      <c r="L7" s="33" t="n">
        <v>38396406</v>
      </c>
      <c r="M7" s="33" t="n">
        <v>23721353</v>
      </c>
      <c r="N7" s="33" t="n">
        <v>204966678</v>
      </c>
      <c r="O7" s="34" t="n">
        <f aca="false">SUM(C7:N7)</f>
        <v>479066414</v>
      </c>
      <c r="P7" s="34" t="n">
        <f aca="false">AVERAGE(C7:H7)</f>
        <v>27474544.5</v>
      </c>
      <c r="Q7" s="34" t="n">
        <f aca="false">AVERAGE(I7:K7)</f>
        <v>15711570</v>
      </c>
      <c r="R7" s="34" t="n">
        <f aca="false">Q7-P7</f>
        <v>-11762974.5</v>
      </c>
    </row>
    <row r="8" customFormat="false" ht="15" hidden="false" customHeight="false" outlineLevel="0" collapsed="false">
      <c r="B8" s="35" t="s">
        <v>62</v>
      </c>
      <c r="C8" s="34" t="n">
        <v>14286430</v>
      </c>
      <c r="D8" s="34" t="n">
        <v>27707108</v>
      </c>
      <c r="E8" s="34" t="n">
        <v>21954555</v>
      </c>
      <c r="F8" s="34" t="n">
        <v>15956009</v>
      </c>
      <c r="G8" s="34" t="n">
        <v>20220065</v>
      </c>
      <c r="H8" s="34" t="n">
        <v>14578921</v>
      </c>
      <c r="I8" s="34" t="n">
        <v>15679441</v>
      </c>
      <c r="J8" s="34" t="n">
        <v>18139193</v>
      </c>
      <c r="K8" s="34" t="n">
        <v>16331848</v>
      </c>
      <c r="L8" s="34" t="n">
        <v>22093448</v>
      </c>
      <c r="M8" s="34" t="n">
        <v>14240695</v>
      </c>
      <c r="N8" s="34" t="n">
        <v>27951692</v>
      </c>
      <c r="O8" s="34" t="n">
        <f aca="false">SUM(C8:N8)</f>
        <v>229139405</v>
      </c>
      <c r="P8" s="34" t="n">
        <f aca="false">AVERAGE(C8:H8)</f>
        <v>19117181.3333333</v>
      </c>
      <c r="Q8" s="34" t="n">
        <f aca="false">AVERAGE(I8:K8)</f>
        <v>16716827.3333333</v>
      </c>
      <c r="R8" s="34" t="n">
        <f aca="false">Q8-P8</f>
        <v>-2400354</v>
      </c>
    </row>
    <row r="10" customFormat="false" ht="15" hidden="false" customHeight="false" outlineLevel="0" collapsed="false">
      <c r="B10" s="36" t="s">
        <v>63</v>
      </c>
    </row>
    <row r="11" customFormat="false" ht="15" hidden="false" customHeight="false" outlineLevel="0" collapsed="false">
      <c r="B11" s="6" t="s">
        <v>64</v>
      </c>
      <c r="C11" s="7" t="n">
        <v>1450000</v>
      </c>
      <c r="D11" s="7" t="n">
        <v>1450000</v>
      </c>
      <c r="E11" s="7" t="n">
        <v>2104000</v>
      </c>
      <c r="F11" s="7" t="n">
        <v>2104000</v>
      </c>
      <c r="G11" s="7" t="n">
        <v>2104000</v>
      </c>
      <c r="H11" s="7" t="n">
        <v>2104000</v>
      </c>
      <c r="I11" s="7" t="n">
        <v>2104000</v>
      </c>
      <c r="J11" s="7" t="n">
        <v>2104000</v>
      </c>
      <c r="K11" s="7" t="n">
        <v>2104000</v>
      </c>
      <c r="L11" s="33" t="n">
        <v>1140000</v>
      </c>
      <c r="M11" s="33" t="n">
        <v>1140000</v>
      </c>
      <c r="N11" s="33" t="n">
        <v>1140000</v>
      </c>
      <c r="O11" s="34" t="n">
        <f aca="false">SUM(C11:N11)</f>
        <v>21048000</v>
      </c>
      <c r="P11" s="34" t="n">
        <f aca="false">AVERAGE(C11:H11)</f>
        <v>1886000</v>
      </c>
      <c r="Q11" s="34" t="n">
        <f aca="false">AVERAGE(I11:K11)</f>
        <v>2104000</v>
      </c>
      <c r="R11" s="34" t="n">
        <f aca="false">Q11-P11</f>
        <v>218000</v>
      </c>
    </row>
    <row r="12" customFormat="false" ht="15" hidden="false" customHeight="false" outlineLevel="0" collapsed="false">
      <c r="B12" s="6" t="s">
        <v>65</v>
      </c>
      <c r="C12" s="7" t="n">
        <v>5733907</v>
      </c>
      <c r="D12" s="7" t="n">
        <v>5680516</v>
      </c>
      <c r="E12" s="7" t="n">
        <v>5686530</v>
      </c>
      <c r="F12" s="7" t="n">
        <v>5159687</v>
      </c>
      <c r="G12" s="7" t="n">
        <v>4194202</v>
      </c>
      <c r="H12" s="7" t="n">
        <v>2811830</v>
      </c>
      <c r="I12" s="7" t="n">
        <v>2863712</v>
      </c>
      <c r="J12" s="7" t="n">
        <v>2818448</v>
      </c>
      <c r="K12" s="7" t="n">
        <v>2851646</v>
      </c>
      <c r="L12" s="33" t="n">
        <v>3360996</v>
      </c>
      <c r="M12" s="33" t="n">
        <v>3360996</v>
      </c>
      <c r="N12" s="33" t="n">
        <v>3360996</v>
      </c>
      <c r="O12" s="34" t="n">
        <f aca="false">SUM(C12:N12)</f>
        <v>47883466</v>
      </c>
      <c r="P12" s="34" t="n">
        <f aca="false">AVERAGE(C12:H12)</f>
        <v>4877778.66666667</v>
      </c>
      <c r="Q12" s="34" t="n">
        <f aca="false">AVERAGE(I12:K12)</f>
        <v>2844602</v>
      </c>
      <c r="R12" s="34" t="n">
        <f aca="false">Q12-P12</f>
        <v>-2033176.66666667</v>
      </c>
    </row>
    <row r="13" customFormat="false" ht="15" hidden="false" customHeight="false" outlineLevel="0" collapsed="false">
      <c r="B13" s="6" t="s">
        <v>66</v>
      </c>
      <c r="C13" s="7" t="n">
        <v>2678253</v>
      </c>
      <c r="D13" s="7" t="n">
        <v>2351213</v>
      </c>
      <c r="E13" s="7" t="n">
        <v>2399853</v>
      </c>
      <c r="F13" s="7" t="n">
        <v>2289298</v>
      </c>
      <c r="G13" s="7" t="n">
        <v>1935062</v>
      </c>
      <c r="H13" s="7" t="n">
        <v>206640</v>
      </c>
      <c r="I13" s="7" t="n">
        <v>203576</v>
      </c>
      <c r="J13" s="7" t="n">
        <v>177120</v>
      </c>
      <c r="K13" s="7" t="n">
        <v>213529</v>
      </c>
      <c r="L13" s="33" t="n">
        <v>300000</v>
      </c>
      <c r="M13" s="33" t="n">
        <v>300000</v>
      </c>
      <c r="N13" s="33" t="n">
        <v>300000</v>
      </c>
      <c r="O13" s="34" t="n">
        <f aca="false">SUM(C13:N13)</f>
        <v>13354544</v>
      </c>
      <c r="P13" s="34" t="n">
        <f aca="false">AVERAGE(C13:H13)</f>
        <v>1976719.83333333</v>
      </c>
      <c r="Q13" s="34" t="n">
        <f aca="false">AVERAGE(I13:K13)</f>
        <v>198075</v>
      </c>
      <c r="R13" s="34" t="n">
        <f aca="false">Q13-P13</f>
        <v>-1778644.83333333</v>
      </c>
    </row>
    <row r="14" customFormat="false" ht="15" hidden="false" customHeight="false" outlineLevel="0" collapsed="false">
      <c r="B14" s="6" t="s">
        <v>67</v>
      </c>
      <c r="C14" s="7" t="n">
        <v>932201</v>
      </c>
      <c r="D14" s="7" t="n">
        <v>691553</v>
      </c>
      <c r="E14" s="7" t="n">
        <v>306078</v>
      </c>
      <c r="F14" s="7" t="n">
        <v>504694</v>
      </c>
      <c r="G14" s="7" t="n">
        <v>261086</v>
      </c>
      <c r="H14" s="7" t="n">
        <v>270455</v>
      </c>
      <c r="I14" s="7" t="n">
        <v>1046339</v>
      </c>
      <c r="J14" s="7" t="n">
        <v>1511149</v>
      </c>
      <c r="K14" s="7" t="n">
        <v>272080</v>
      </c>
      <c r="L14" s="33" t="n">
        <v>700959</v>
      </c>
      <c r="M14" s="33" t="n">
        <v>700959</v>
      </c>
      <c r="N14" s="33" t="n">
        <v>700959</v>
      </c>
      <c r="O14" s="34" t="n">
        <f aca="false">SUM(C14:N14)</f>
        <v>7898512</v>
      </c>
      <c r="P14" s="34" t="n">
        <f aca="false">AVERAGE(C14:H14)</f>
        <v>494344.5</v>
      </c>
      <c r="Q14" s="34" t="n">
        <f aca="false">AVERAGE(I14:K14)</f>
        <v>943189.333333333</v>
      </c>
      <c r="R14" s="34" t="n">
        <f aca="false">Q14-P14</f>
        <v>448844.833333333</v>
      </c>
    </row>
    <row r="15" customFormat="false" ht="15" hidden="false" customHeight="false" outlineLevel="0" collapsed="false">
      <c r="B15" s="6" t="s">
        <v>68</v>
      </c>
      <c r="C15" s="7" t="n">
        <v>53900</v>
      </c>
      <c r="D15" s="7" t="n">
        <v>154236</v>
      </c>
      <c r="E15" s="7" t="n">
        <v>130336</v>
      </c>
      <c r="F15" s="7" t="n">
        <v>100336</v>
      </c>
      <c r="G15" s="7" t="n">
        <v>371711</v>
      </c>
      <c r="H15" s="7" t="n">
        <v>939098</v>
      </c>
      <c r="I15" s="7" t="n">
        <v>379233</v>
      </c>
      <c r="J15" s="7" t="n">
        <v>480196</v>
      </c>
      <c r="K15" s="7" t="n">
        <v>702798</v>
      </c>
      <c r="L15" s="33" t="n">
        <v>1101461</v>
      </c>
      <c r="M15" s="33" t="n">
        <v>2190787</v>
      </c>
      <c r="N15" s="33" t="n">
        <v>2207913</v>
      </c>
      <c r="O15" s="34" t="n">
        <f aca="false">SUM(C15:N15)</f>
        <v>8812005</v>
      </c>
      <c r="P15" s="34" t="n">
        <f aca="false">AVERAGE(C15:H15)</f>
        <v>291602.833333333</v>
      </c>
      <c r="Q15" s="34" t="n">
        <f aca="false">AVERAGE(I15:K15)</f>
        <v>520742.333333333</v>
      </c>
      <c r="R15" s="34" t="n">
        <f aca="false">Q15-P15</f>
        <v>229139.5</v>
      </c>
    </row>
    <row r="16" customFormat="false" ht="15" hidden="false" customHeight="false" outlineLevel="0" collapsed="false">
      <c r="B16" s="6" t="s">
        <v>69</v>
      </c>
      <c r="C16" s="7" t="n">
        <v>234134</v>
      </c>
      <c r="D16" s="7" t="n">
        <v>1115528</v>
      </c>
      <c r="E16" s="7" t="n">
        <v>1228240</v>
      </c>
      <c r="F16" s="7" t="n">
        <v>483409</v>
      </c>
      <c r="G16" s="7" t="n">
        <v>804329</v>
      </c>
      <c r="H16" s="7" t="n">
        <v>985484</v>
      </c>
      <c r="I16" s="7" t="n">
        <v>1222432</v>
      </c>
      <c r="J16" s="7" t="n">
        <v>825807</v>
      </c>
      <c r="K16" s="7" t="n">
        <v>910690</v>
      </c>
      <c r="L16" s="33" t="n">
        <v>728319</v>
      </c>
      <c r="M16" s="33" t="n">
        <v>1204454</v>
      </c>
      <c r="N16" s="33" t="n">
        <v>814324</v>
      </c>
      <c r="O16" s="34" t="n">
        <f aca="false">SUM(C16:N16)</f>
        <v>10557150</v>
      </c>
      <c r="P16" s="34" t="n">
        <f aca="false">AVERAGE(C16:H16)</f>
        <v>808520.666666667</v>
      </c>
      <c r="Q16" s="34" t="n">
        <f aca="false">AVERAGE(I16:K16)</f>
        <v>986309.666666667</v>
      </c>
      <c r="R16" s="34" t="n">
        <f aca="false">Q16-P16</f>
        <v>177789</v>
      </c>
    </row>
    <row r="17" customFormat="false" ht="15" hidden="false" customHeight="false" outlineLevel="0" collapsed="false">
      <c r="B17" s="6" t="s">
        <v>70</v>
      </c>
      <c r="C17" s="7" t="n">
        <v>2786025</v>
      </c>
      <c r="D17" s="7" t="n">
        <v>892984</v>
      </c>
      <c r="E17" s="7" t="n">
        <v>6616700</v>
      </c>
      <c r="F17" s="7" t="n">
        <v>3819686</v>
      </c>
      <c r="G17" s="7" t="n">
        <v>3382365</v>
      </c>
      <c r="H17" s="7" t="n">
        <v>7232976</v>
      </c>
      <c r="I17" s="7" t="n">
        <v>4246967</v>
      </c>
      <c r="J17" s="7" t="n">
        <v>2708814</v>
      </c>
      <c r="K17" s="7" t="n">
        <v>2821069</v>
      </c>
      <c r="L17" s="33" t="n">
        <v>1197015</v>
      </c>
      <c r="M17" s="33" t="n">
        <v>1315343</v>
      </c>
      <c r="N17" s="33" t="n">
        <v>1218389</v>
      </c>
      <c r="O17" s="34" t="n">
        <f aca="false">SUM(C17:N17)</f>
        <v>38238333</v>
      </c>
      <c r="P17" s="34" t="n">
        <f aca="false">AVERAGE(C17:H17)</f>
        <v>4121789.33333333</v>
      </c>
      <c r="Q17" s="34" t="n">
        <f aca="false">AVERAGE(I17:K17)</f>
        <v>3258950</v>
      </c>
      <c r="R17" s="34" t="n">
        <f aca="false">Q17-P17</f>
        <v>-862839.333333334</v>
      </c>
    </row>
    <row r="18" customFormat="false" ht="15" hidden="false" customHeight="false" outlineLevel="0" collapsed="false">
      <c r="B18" s="6" t="s">
        <v>71</v>
      </c>
      <c r="C18" s="7" t="n">
        <v>4193310</v>
      </c>
      <c r="D18" s="7" t="n">
        <v>4996110</v>
      </c>
      <c r="E18" s="7" t="n">
        <v>5069142</v>
      </c>
      <c r="F18" s="7" t="n">
        <v>5753005</v>
      </c>
      <c r="G18" s="7" t="n">
        <v>6089658</v>
      </c>
      <c r="H18" s="7" t="n">
        <v>3904683</v>
      </c>
      <c r="I18" s="7" t="n">
        <v>3293026</v>
      </c>
      <c r="J18" s="7" t="n">
        <v>3902041</v>
      </c>
      <c r="K18" s="7" t="n">
        <v>3970041</v>
      </c>
      <c r="L18" s="33" t="n">
        <v>1300000</v>
      </c>
      <c r="M18" s="33" t="n">
        <v>1300000</v>
      </c>
      <c r="N18" s="33" t="n">
        <v>1300000</v>
      </c>
      <c r="O18" s="34" t="n">
        <f aca="false">SUM(C18:N18)</f>
        <v>45071016</v>
      </c>
      <c r="P18" s="34" t="n">
        <f aca="false">AVERAGE(C18:H18)</f>
        <v>5000984.66666667</v>
      </c>
      <c r="Q18" s="34" t="n">
        <f aca="false">AVERAGE(I18:K18)</f>
        <v>3721702.66666667</v>
      </c>
      <c r="R18" s="34" t="n">
        <f aca="false">Q18-P18</f>
        <v>-1279282</v>
      </c>
    </row>
    <row r="19" customFormat="false" ht="15" hidden="false" customHeight="false" outlineLevel="0" collapsed="false">
      <c r="B19" s="6" t="s">
        <v>72</v>
      </c>
      <c r="C19" s="7" t="n">
        <v>298477</v>
      </c>
      <c r="D19" s="7" t="n">
        <v>502722</v>
      </c>
      <c r="E19" s="7" t="n">
        <v>616408</v>
      </c>
      <c r="F19" s="7" t="n">
        <v>275333</v>
      </c>
      <c r="G19" s="7" t="n">
        <v>458134</v>
      </c>
      <c r="H19" s="7" t="n">
        <v>252956</v>
      </c>
      <c r="I19" s="7" t="n">
        <v>125644</v>
      </c>
      <c r="J19" s="7" t="n">
        <v>272015</v>
      </c>
      <c r="K19" s="7" t="n">
        <v>802423</v>
      </c>
      <c r="L19" s="33" t="n">
        <v>172511</v>
      </c>
      <c r="M19" s="33" t="n">
        <v>172511</v>
      </c>
      <c r="N19" s="33" t="n">
        <v>172511</v>
      </c>
      <c r="O19" s="34" t="n">
        <f aca="false">SUM(C19:N19)</f>
        <v>4121645</v>
      </c>
      <c r="P19" s="34" t="n">
        <f aca="false">AVERAGE(C19:H19)</f>
        <v>400671.666666667</v>
      </c>
      <c r="Q19" s="34" t="n">
        <f aca="false">AVERAGE(I19:K19)</f>
        <v>400027.333333333</v>
      </c>
      <c r="R19" s="34" t="n">
        <f aca="false">Q19-P19</f>
        <v>-644.333333333372</v>
      </c>
    </row>
    <row r="20" customFormat="false" ht="15" hidden="false" customHeight="false" outlineLevel="0" collapsed="false">
      <c r="B20" s="6" t="s">
        <v>73</v>
      </c>
      <c r="C20" s="7" t="n">
        <v>956603</v>
      </c>
      <c r="D20" s="7" t="n">
        <v>757648</v>
      </c>
      <c r="E20" s="7" t="n">
        <v>986948</v>
      </c>
      <c r="F20" s="7" t="n">
        <v>1221393</v>
      </c>
      <c r="G20" s="7" t="n">
        <v>1130296</v>
      </c>
      <c r="H20" s="7" t="n">
        <v>792518</v>
      </c>
      <c r="I20" s="7" t="n">
        <v>751741</v>
      </c>
      <c r="J20" s="7" t="n">
        <v>903801</v>
      </c>
      <c r="K20" s="7" t="n">
        <v>406947</v>
      </c>
      <c r="L20" s="33" t="n">
        <v>400000</v>
      </c>
      <c r="M20" s="33" t="n">
        <v>400000</v>
      </c>
      <c r="N20" s="33" t="n">
        <v>400000</v>
      </c>
      <c r="O20" s="34" t="n">
        <f aca="false">SUM(C20:N20)</f>
        <v>9107895</v>
      </c>
      <c r="P20" s="34" t="n">
        <f aca="false">AVERAGE(C20:H20)</f>
        <v>974234.333333333</v>
      </c>
      <c r="Q20" s="34" t="n">
        <f aca="false">AVERAGE(I20:K20)</f>
        <v>687496.333333333</v>
      </c>
      <c r="R20" s="34" t="n">
        <f aca="false">Q20-P20</f>
        <v>-286738</v>
      </c>
    </row>
    <row r="21" customFormat="false" ht="15" hidden="false" customHeight="false" outlineLevel="0" collapsed="false">
      <c r="B21" s="6" t="s">
        <v>74</v>
      </c>
      <c r="C21" s="7" t="n">
        <v>385679</v>
      </c>
      <c r="D21" s="7" t="n">
        <v>409461</v>
      </c>
      <c r="E21" s="7" t="n">
        <v>423594</v>
      </c>
      <c r="F21" s="7" t="n">
        <v>48463</v>
      </c>
      <c r="G21" s="7" t="n">
        <v>455455</v>
      </c>
      <c r="H21" s="7" t="n">
        <v>6275</v>
      </c>
      <c r="I21" s="7" t="n">
        <v>224456</v>
      </c>
      <c r="J21" s="7" t="n">
        <v>0</v>
      </c>
      <c r="K21" s="7" t="n">
        <v>237941</v>
      </c>
      <c r="L21" s="33" t="n">
        <v>0</v>
      </c>
      <c r="M21" s="33" t="n">
        <v>0</v>
      </c>
      <c r="N21" s="33" t="n">
        <v>0</v>
      </c>
      <c r="O21" s="34" t="n">
        <f aca="false">SUM(C21:N21)</f>
        <v>2191324</v>
      </c>
      <c r="P21" s="34" t="n">
        <f aca="false">AVERAGE(C21:H21)</f>
        <v>288154.5</v>
      </c>
      <c r="Q21" s="34" t="n">
        <f aca="false">AVERAGE(I21:K21)</f>
        <v>154132.333333333</v>
      </c>
      <c r="R21" s="34" t="n">
        <f aca="false">Q21-P21</f>
        <v>-134022.166666667</v>
      </c>
    </row>
    <row r="22" customFormat="false" ht="15" hidden="false" customHeight="false" outlineLevel="0" collapsed="false">
      <c r="B22" s="6" t="s">
        <v>75</v>
      </c>
      <c r="C22" s="7" t="n">
        <v>163840</v>
      </c>
      <c r="D22" s="7" t="n">
        <v>163840</v>
      </c>
      <c r="E22" s="7" t="n">
        <v>163840</v>
      </c>
      <c r="F22" s="7" t="n">
        <v>163840</v>
      </c>
      <c r="G22" s="7" t="n">
        <v>134106</v>
      </c>
      <c r="H22" s="7" t="n">
        <v>111575</v>
      </c>
      <c r="I22" s="7" t="n">
        <v>147305</v>
      </c>
      <c r="J22" s="7" t="n">
        <v>112235</v>
      </c>
      <c r="K22" s="7" t="n">
        <v>109311</v>
      </c>
      <c r="L22" s="33" t="n">
        <v>112868</v>
      </c>
      <c r="M22" s="33" t="n">
        <v>114508</v>
      </c>
      <c r="N22" s="33" t="n">
        <v>114868</v>
      </c>
      <c r="O22" s="34" t="n">
        <f aca="false">SUM(C22:N22)</f>
        <v>1612136</v>
      </c>
      <c r="P22" s="34" t="n">
        <f aca="false">AVERAGE(C22:H22)</f>
        <v>150173.5</v>
      </c>
      <c r="Q22" s="34" t="n">
        <f aca="false">AVERAGE(I22:K22)</f>
        <v>122950.333333333</v>
      </c>
      <c r="R22" s="34" t="n">
        <f aca="false">Q22-P22</f>
        <v>-27223.1666666667</v>
      </c>
    </row>
    <row r="23" customFormat="false" ht="15" hidden="false" customHeight="false" outlineLevel="0" collapsed="false">
      <c r="B23" s="6" t="s">
        <v>76</v>
      </c>
      <c r="C23" s="7" t="n">
        <v>0</v>
      </c>
      <c r="D23" s="7" t="n">
        <v>7273</v>
      </c>
      <c r="E23" s="7" t="n">
        <v>136364</v>
      </c>
      <c r="F23" s="7" t="n">
        <v>437233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33" t="n">
        <v>0</v>
      </c>
      <c r="M23" s="33" t="n">
        <v>0</v>
      </c>
      <c r="N23" s="33" t="n">
        <v>0</v>
      </c>
      <c r="O23" s="34" t="n">
        <f aca="false">SUM(C23:N23)</f>
        <v>580870</v>
      </c>
      <c r="P23" s="34" t="n">
        <f aca="false">AVERAGE(C23:H23)</f>
        <v>96811.6666666667</v>
      </c>
      <c r="Q23" s="34" t="n">
        <f aca="false">AVERAGE(I23:K23)</f>
        <v>0</v>
      </c>
      <c r="R23" s="34" t="n">
        <f aca="false">Q23-P23</f>
        <v>-96811.6666666667</v>
      </c>
    </row>
    <row r="24" customFormat="false" ht="15" hidden="false" customHeight="false" outlineLevel="0" collapsed="false">
      <c r="B24" s="6" t="s">
        <v>77</v>
      </c>
      <c r="C24" s="7" t="n">
        <v>208971</v>
      </c>
      <c r="D24" s="7" t="n">
        <v>541789</v>
      </c>
      <c r="E24" s="7" t="n">
        <v>1218512</v>
      </c>
      <c r="F24" s="7" t="n">
        <v>300194</v>
      </c>
      <c r="G24" s="7" t="n">
        <v>157936</v>
      </c>
      <c r="H24" s="7" t="n">
        <v>45207</v>
      </c>
      <c r="I24" s="7" t="n">
        <v>318201</v>
      </c>
      <c r="J24" s="7" t="n">
        <v>354071</v>
      </c>
      <c r="K24" s="7" t="n">
        <v>67209</v>
      </c>
      <c r="L24" s="33" t="n">
        <v>0</v>
      </c>
      <c r="M24" s="33" t="n">
        <v>0</v>
      </c>
      <c r="N24" s="33" t="n">
        <v>0</v>
      </c>
      <c r="O24" s="34" t="n">
        <f aca="false">SUM(C24:N24)</f>
        <v>3212090</v>
      </c>
      <c r="P24" s="34" t="n">
        <f aca="false">AVERAGE(C24:H24)</f>
        <v>412101.5</v>
      </c>
      <c r="Q24" s="34" t="n">
        <f aca="false">AVERAGE(I24:K24)</f>
        <v>246493.666666667</v>
      </c>
      <c r="R24" s="34" t="n">
        <f aca="false">Q24-P24</f>
        <v>-165607.833333333</v>
      </c>
    </row>
    <row r="25" customFormat="false" ht="15" hidden="false" customHeight="false" outlineLevel="0" collapsed="false">
      <c r="B25" s="6" t="s">
        <v>78</v>
      </c>
      <c r="C25" s="7" t="n">
        <v>732759</v>
      </c>
      <c r="D25" s="7" t="n">
        <v>1772849</v>
      </c>
      <c r="E25" s="7" t="n">
        <v>1593889</v>
      </c>
      <c r="F25" s="7" t="n">
        <v>1429651</v>
      </c>
      <c r="G25" s="7" t="n">
        <v>2057129</v>
      </c>
      <c r="H25" s="7" t="n">
        <v>1220565</v>
      </c>
      <c r="I25" s="7" t="n">
        <v>1330222</v>
      </c>
      <c r="J25" s="7" t="n">
        <v>781049</v>
      </c>
      <c r="K25" s="7" t="n">
        <v>1527735</v>
      </c>
      <c r="L25" s="33" t="n">
        <v>1397165</v>
      </c>
      <c r="M25" s="33" t="n">
        <v>2239059</v>
      </c>
      <c r="N25" s="33" t="n">
        <v>1549238</v>
      </c>
      <c r="O25" s="34" t="n">
        <f aca="false">SUM(C25:N25)</f>
        <v>17631310</v>
      </c>
      <c r="P25" s="34" t="n">
        <f aca="false">AVERAGE(C25:H25)</f>
        <v>1467807</v>
      </c>
      <c r="Q25" s="34" t="n">
        <f aca="false">AVERAGE(I25:K25)</f>
        <v>1213002</v>
      </c>
      <c r="R25" s="34" t="n">
        <f aca="false">Q25-P25</f>
        <v>-254805</v>
      </c>
    </row>
    <row r="26" customFormat="false" ht="15" hidden="false" customHeight="false" outlineLevel="0" collapsed="false">
      <c r="B26" s="6" t="s">
        <v>79</v>
      </c>
      <c r="C26" s="7" t="n">
        <v>216380</v>
      </c>
      <c r="D26" s="7" t="n">
        <v>187821</v>
      </c>
      <c r="E26" s="7" t="n">
        <v>353693</v>
      </c>
      <c r="F26" s="7" t="n">
        <v>190734</v>
      </c>
      <c r="G26" s="7" t="n">
        <v>146470</v>
      </c>
      <c r="H26" s="7" t="n">
        <v>0</v>
      </c>
      <c r="I26" s="7" t="n">
        <v>0</v>
      </c>
      <c r="J26" s="7" t="n">
        <v>0</v>
      </c>
      <c r="K26" s="7" t="n">
        <v>0</v>
      </c>
      <c r="L26" s="33" t="n">
        <v>0</v>
      </c>
      <c r="M26" s="33" t="n">
        <v>0</v>
      </c>
      <c r="N26" s="33" t="n">
        <v>0</v>
      </c>
      <c r="O26" s="34" t="n">
        <f aca="false">SUM(C26:N26)</f>
        <v>1095098</v>
      </c>
      <c r="P26" s="34" t="n">
        <f aca="false">AVERAGE(C26:H26)</f>
        <v>182516.333333333</v>
      </c>
      <c r="Q26" s="34" t="n">
        <f aca="false">AVERAGE(I26:K26)</f>
        <v>0</v>
      </c>
      <c r="R26" s="34" t="n">
        <f aca="false">Q26-P26</f>
        <v>-182516.333333333</v>
      </c>
    </row>
    <row r="27" customFormat="false" ht="15" hidden="false" customHeight="false" outlineLevel="0" collapsed="false">
      <c r="B27" s="6" t="s">
        <v>80</v>
      </c>
      <c r="C27" s="7" t="n">
        <v>31310</v>
      </c>
      <c r="D27" s="7" t="n">
        <v>3384111</v>
      </c>
      <c r="E27" s="7" t="n">
        <v>3979857</v>
      </c>
      <c r="F27" s="7" t="n">
        <v>3817705</v>
      </c>
      <c r="G27" s="7" t="n">
        <v>5101111</v>
      </c>
      <c r="H27" s="7" t="n">
        <v>4052047</v>
      </c>
      <c r="I27" s="7" t="n">
        <v>3451669</v>
      </c>
      <c r="J27" s="7" t="n">
        <v>3221145</v>
      </c>
      <c r="K27" s="7" t="n">
        <v>3077916</v>
      </c>
      <c r="L27" s="33" t="n">
        <v>1137091</v>
      </c>
      <c r="M27" s="33" t="n">
        <v>1137091</v>
      </c>
      <c r="N27" s="33" t="n">
        <v>1137091</v>
      </c>
      <c r="O27" s="34" t="n">
        <f aca="false">SUM(C27:N27)</f>
        <v>33528144</v>
      </c>
      <c r="P27" s="34" t="n">
        <f aca="false">AVERAGE(C27:H27)</f>
        <v>3394356.83333333</v>
      </c>
      <c r="Q27" s="34" t="n">
        <f aca="false">AVERAGE(I27:K27)</f>
        <v>3250243.33333333</v>
      </c>
      <c r="R27" s="34" t="n">
        <f aca="false">Q27-P27</f>
        <v>-144113.5</v>
      </c>
    </row>
    <row r="28" customFormat="false" ht="15" hidden="false" customHeight="false" outlineLevel="0" collapsed="false">
      <c r="B28" s="6" t="s">
        <v>81</v>
      </c>
      <c r="C28" s="7" t="n">
        <v>64335</v>
      </c>
      <c r="D28" s="7" t="n">
        <v>164394</v>
      </c>
      <c r="E28" s="7" t="n">
        <v>135411</v>
      </c>
      <c r="F28" s="7" t="n">
        <v>0</v>
      </c>
      <c r="G28" s="7" t="n">
        <v>0</v>
      </c>
      <c r="H28" s="7" t="n">
        <v>0</v>
      </c>
      <c r="I28" s="7" t="n">
        <v>6251</v>
      </c>
      <c r="J28" s="7" t="n">
        <v>86499</v>
      </c>
      <c r="K28" s="7" t="n">
        <v>56817</v>
      </c>
      <c r="L28" s="33" t="n">
        <v>0</v>
      </c>
      <c r="M28" s="33" t="n">
        <v>0</v>
      </c>
      <c r="N28" s="33" t="n">
        <v>0</v>
      </c>
      <c r="O28" s="34" t="n">
        <f aca="false">SUM(C28:N28)</f>
        <v>513707</v>
      </c>
      <c r="P28" s="34" t="n">
        <f aca="false">AVERAGE(C28:H28)</f>
        <v>60690</v>
      </c>
      <c r="Q28" s="34" t="n">
        <f aca="false">AVERAGE(I28:K28)</f>
        <v>49855.6666666667</v>
      </c>
      <c r="R28" s="34" t="n">
        <f aca="false">Q28-P28</f>
        <v>-10834.3333333333</v>
      </c>
    </row>
    <row r="29" customFormat="false" ht="15" hidden="false" customHeight="false" outlineLevel="0" collapsed="false">
      <c r="B29" s="6" t="s">
        <v>82</v>
      </c>
      <c r="C29" s="7" t="n">
        <v>10000</v>
      </c>
      <c r="D29" s="7" t="n">
        <v>10000</v>
      </c>
      <c r="E29" s="7" t="n">
        <v>10000</v>
      </c>
      <c r="F29" s="7" t="n">
        <v>10000</v>
      </c>
      <c r="G29" s="7" t="n">
        <v>10000</v>
      </c>
      <c r="H29" s="7" t="n">
        <v>10000</v>
      </c>
      <c r="I29" s="7" t="n">
        <v>10000</v>
      </c>
      <c r="J29" s="7" t="n">
        <v>10000</v>
      </c>
      <c r="K29" s="7" t="n">
        <v>0</v>
      </c>
      <c r="L29" s="33" t="n">
        <v>179847</v>
      </c>
      <c r="M29" s="33" t="n">
        <v>179847</v>
      </c>
      <c r="N29" s="33" t="n">
        <v>179847</v>
      </c>
      <c r="O29" s="34" t="n">
        <f aca="false">SUM(C29:N29)</f>
        <v>619541</v>
      </c>
      <c r="P29" s="34" t="n">
        <f aca="false">AVERAGE(C29:H29)</f>
        <v>10000</v>
      </c>
      <c r="Q29" s="34" t="n">
        <f aca="false">AVERAGE(I29:K29)</f>
        <v>6666.66666666667</v>
      </c>
      <c r="R29" s="34" t="n">
        <f aca="false">Q29-P29</f>
        <v>-3333.33333333333</v>
      </c>
    </row>
    <row r="30" customFormat="false" ht="15" hidden="false" customHeight="false" outlineLevel="0" collapsed="false">
      <c r="B30" s="6" t="s">
        <v>83</v>
      </c>
      <c r="C30" s="7" t="n">
        <v>0</v>
      </c>
      <c r="D30" s="7" t="n">
        <v>190000</v>
      </c>
      <c r="E30" s="7" t="n">
        <v>619800</v>
      </c>
      <c r="F30" s="7" t="n">
        <v>0</v>
      </c>
      <c r="G30" s="7" t="n">
        <v>593317</v>
      </c>
      <c r="H30" s="7" t="n">
        <v>0</v>
      </c>
      <c r="I30" s="7" t="n">
        <v>6180</v>
      </c>
      <c r="J30" s="7" t="n">
        <v>3400</v>
      </c>
      <c r="K30" s="7" t="n">
        <v>1174300</v>
      </c>
      <c r="L30" s="33" t="n">
        <v>0</v>
      </c>
      <c r="M30" s="33" t="n">
        <v>0</v>
      </c>
      <c r="N30" s="33" t="n">
        <v>0</v>
      </c>
      <c r="O30" s="34" t="n">
        <f aca="false">SUM(C30:N30)</f>
        <v>2586997</v>
      </c>
      <c r="P30" s="34" t="n">
        <f aca="false">AVERAGE(C30:H30)</f>
        <v>233852.833333333</v>
      </c>
      <c r="Q30" s="34" t="n">
        <f aca="false">AVERAGE(I30:K30)</f>
        <v>394626.666666667</v>
      </c>
      <c r="R30" s="34" t="n">
        <f aca="false">Q30-P30</f>
        <v>160773.833333333</v>
      </c>
    </row>
    <row r="31" customFormat="false" ht="15" hidden="false" customHeight="false" outlineLevel="0" collapsed="false">
      <c r="B31" s="6" t="s">
        <v>84</v>
      </c>
      <c r="C31" s="7" t="n">
        <v>10091</v>
      </c>
      <c r="D31" s="7" t="n">
        <v>15091</v>
      </c>
      <c r="E31" s="7" t="n">
        <v>6091</v>
      </c>
      <c r="F31" s="7" t="n">
        <v>11341</v>
      </c>
      <c r="G31" s="7" t="n">
        <v>40091</v>
      </c>
      <c r="H31" s="7" t="n">
        <v>0</v>
      </c>
      <c r="I31" s="7" t="n">
        <v>0</v>
      </c>
      <c r="J31" s="7" t="n">
        <v>0</v>
      </c>
      <c r="K31" s="7" t="n">
        <v>0</v>
      </c>
      <c r="L31" s="33" t="n">
        <v>0</v>
      </c>
      <c r="M31" s="33" t="n">
        <v>0</v>
      </c>
      <c r="N31" s="33" t="n">
        <v>0</v>
      </c>
      <c r="O31" s="34" t="n">
        <f aca="false">SUM(C31:N31)</f>
        <v>82705</v>
      </c>
      <c r="P31" s="34" t="n">
        <f aca="false">AVERAGE(C31:H31)</f>
        <v>13784.1666666667</v>
      </c>
      <c r="Q31" s="34" t="n">
        <f aca="false">AVERAGE(I31:K31)</f>
        <v>0</v>
      </c>
      <c r="R31" s="34" t="n">
        <f aca="false">Q31-P31</f>
        <v>-13784.1666666667</v>
      </c>
    </row>
    <row r="32" customFormat="false" ht="15" hidden="false" customHeight="false" outlineLevel="0" collapsed="false">
      <c r="B32" s="6" t="s">
        <v>85</v>
      </c>
      <c r="C32" s="7" t="n">
        <v>3815699</v>
      </c>
      <c r="D32" s="7" t="n">
        <v>3868032</v>
      </c>
      <c r="E32" s="7" t="n">
        <v>3961360</v>
      </c>
      <c r="F32" s="7" t="n">
        <v>3970858</v>
      </c>
      <c r="G32" s="7" t="n">
        <v>3964526</v>
      </c>
      <c r="H32" s="7" t="n">
        <v>3637873</v>
      </c>
      <c r="I32" s="7" t="n">
        <v>3637873</v>
      </c>
      <c r="J32" s="7" t="n">
        <v>3637873</v>
      </c>
      <c r="K32" s="7" t="n">
        <v>3637873</v>
      </c>
      <c r="L32" s="33" t="n">
        <v>2246731</v>
      </c>
      <c r="M32" s="33" t="n">
        <v>2246731</v>
      </c>
      <c r="N32" s="33" t="n">
        <v>2246731</v>
      </c>
      <c r="O32" s="34" t="n">
        <f aca="false">SUM(C32:N32)</f>
        <v>40872160</v>
      </c>
      <c r="P32" s="34" t="n">
        <f aca="false">AVERAGE(C32:H32)</f>
        <v>3869724.66666667</v>
      </c>
      <c r="Q32" s="34" t="n">
        <f aca="false">AVERAGE(I32:K32)</f>
        <v>3637873</v>
      </c>
      <c r="R32" s="34" t="n">
        <f aca="false">Q32-P32</f>
        <v>-231851.666666667</v>
      </c>
    </row>
    <row r="33" customFormat="false" ht="15" hidden="false" customHeight="false" outlineLevel="0" collapsed="false">
      <c r="B33" s="6" t="s">
        <v>86</v>
      </c>
      <c r="C33" s="7" t="n">
        <v>419018</v>
      </c>
      <c r="D33" s="7" t="n">
        <v>1656111</v>
      </c>
      <c r="E33" s="7" t="n">
        <v>825810</v>
      </c>
      <c r="F33" s="7" t="n">
        <v>1670919</v>
      </c>
      <c r="G33" s="7" t="n">
        <v>742917</v>
      </c>
      <c r="H33" s="7" t="n">
        <v>10153686</v>
      </c>
      <c r="I33" s="7" t="n">
        <v>515140</v>
      </c>
      <c r="J33" s="7" t="n">
        <v>619350</v>
      </c>
      <c r="K33" s="7" t="n">
        <v>-317039</v>
      </c>
      <c r="L33" s="33" t="n">
        <v>5546051</v>
      </c>
      <c r="M33" s="33" t="n">
        <v>5910511</v>
      </c>
      <c r="N33" s="33" t="n">
        <v>5571711</v>
      </c>
      <c r="O33" s="34" t="n">
        <f aca="false">SUM(C33:N33)</f>
        <v>33314185</v>
      </c>
      <c r="P33" s="34" t="n">
        <f aca="false">AVERAGE(C33:H33)</f>
        <v>2578076.83333333</v>
      </c>
      <c r="Q33" s="34" t="n">
        <f aca="false">AVERAGE(I33:K33)</f>
        <v>272483.666666667</v>
      </c>
      <c r="R33" s="34" t="n">
        <f aca="false">Q33-P33</f>
        <v>-2305593.16666667</v>
      </c>
    </row>
    <row r="34" customFormat="false" ht="15" hidden="false" customHeight="false" outlineLevel="0" collapsed="false">
      <c r="B34" s="37" t="s">
        <v>20</v>
      </c>
      <c r="C34" s="12" t="n">
        <f aca="false">SUM(C11:C33)</f>
        <v>25374892</v>
      </c>
      <c r="D34" s="12" t="n">
        <f aca="false">SUM(D11:D33)</f>
        <v>30963282</v>
      </c>
      <c r="E34" s="12" t="n">
        <f aca="false">SUM(E11:E33)</f>
        <v>38572456</v>
      </c>
      <c r="F34" s="12" t="n">
        <f aca="false">SUM(F11:F33)</f>
        <v>33761779</v>
      </c>
      <c r="G34" s="12" t="n">
        <f aca="false">SUM(G11:G33)</f>
        <v>34133901</v>
      </c>
      <c r="H34" s="12" t="n">
        <f aca="false">SUM(H11:H33)</f>
        <v>38737868</v>
      </c>
      <c r="I34" s="12" t="n">
        <f aca="false">SUM(I11:I33)</f>
        <v>25883967</v>
      </c>
      <c r="J34" s="12" t="n">
        <f aca="false">SUM(J11:J33)</f>
        <v>24529013</v>
      </c>
      <c r="K34" s="12" t="n">
        <f aca="false">SUM(K11:K33)</f>
        <v>24627286</v>
      </c>
      <c r="L34" s="12" t="n">
        <f aca="false">SUM(L11:L33)</f>
        <v>21021014</v>
      </c>
      <c r="M34" s="12" t="n">
        <f aca="false">SUM(M11:M33)</f>
        <v>23912797</v>
      </c>
      <c r="N34" s="12" t="n">
        <f aca="false">SUM(N11:N33)</f>
        <v>22414578</v>
      </c>
      <c r="O34" s="12" t="n">
        <f aca="false">SUM(C34:N34)</f>
        <v>343932833</v>
      </c>
      <c r="P34" s="12" t="n">
        <f aca="false">AVERAGE(C34:H34)</f>
        <v>33590696.3333333</v>
      </c>
      <c r="Q34" s="12" t="n">
        <f aca="false">AVERAGE(I34:K34)</f>
        <v>25013422</v>
      </c>
      <c r="R34" s="12" t="n">
        <f aca="false">Q34-P34</f>
        <v>-8577274.33333334</v>
      </c>
    </row>
    <row r="35" customFormat="false" ht="15" hidden="false" customHeight="false" outlineLevel="0" collapsed="false">
      <c r="B35" s="15" t="s">
        <v>21</v>
      </c>
      <c r="C35" s="16" t="n">
        <f aca="false">C8-C34</f>
        <v>-11088462</v>
      </c>
      <c r="D35" s="16" t="n">
        <f aca="false">D8-D34</f>
        <v>-3256174</v>
      </c>
      <c r="E35" s="16" t="n">
        <f aca="false">E8-E34</f>
        <v>-16617901</v>
      </c>
      <c r="F35" s="16" t="n">
        <f aca="false">F8-F34</f>
        <v>-17805770</v>
      </c>
      <c r="G35" s="16" t="n">
        <f aca="false">G8-G34</f>
        <v>-13913836</v>
      </c>
      <c r="H35" s="16" t="n">
        <f aca="false">H8-H34</f>
        <v>-24158947</v>
      </c>
      <c r="I35" s="16" t="n">
        <f aca="false">I8-I34</f>
        <v>-10204526</v>
      </c>
      <c r="J35" s="16" t="n">
        <f aca="false">J8-J34</f>
        <v>-6389820</v>
      </c>
      <c r="K35" s="16" t="n">
        <f aca="false">K8-K34</f>
        <v>-8295438</v>
      </c>
      <c r="L35" s="16" t="n">
        <f aca="false">L8-L34</f>
        <v>1072434</v>
      </c>
      <c r="M35" s="16" t="n">
        <f aca="false">M8-M34</f>
        <v>-9672102</v>
      </c>
      <c r="N35" s="16" t="n">
        <f aca="false">N8-N34</f>
        <v>5537114</v>
      </c>
      <c r="O35" s="16" t="n">
        <f aca="false">SUM(C35:N35)</f>
        <v>-114793428</v>
      </c>
    </row>
    <row r="37" customFormat="false" ht="15" hidden="false" customHeight="false" outlineLevel="0" collapsed="false">
      <c r="B37" s="30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5" min="3" style="0" width="17"/>
    <col collapsed="false" customWidth="true" hidden="false" outlineLevel="0" max="6" min="6" style="0" width="66"/>
  </cols>
  <sheetData>
    <row r="1" customFormat="false" ht="19.4" hidden="false" customHeight="false" outlineLevel="0" collapsed="false">
      <c r="B1" s="38" t="s">
        <v>88</v>
      </c>
    </row>
    <row r="2" customFormat="false" ht="15" hidden="false" customHeight="false" outlineLevel="0" collapsed="false">
      <c r="B2" s="3" t="s">
        <v>89</v>
      </c>
    </row>
    <row r="4" customFormat="false" ht="15" hidden="false" customHeight="false" outlineLevel="0" collapsed="false">
      <c r="B4" s="39" t="s">
        <v>90</v>
      </c>
      <c r="C4" s="40"/>
      <c r="D4" s="40"/>
      <c r="E4" s="40"/>
      <c r="F4" s="40"/>
      <c r="G4" s="40"/>
    </row>
    <row r="5" customFormat="false" ht="15" hidden="false" customHeight="false" outlineLevel="0" collapsed="false">
      <c r="B5" s="22" t="s">
        <v>91</v>
      </c>
      <c r="C5" s="41" t="s">
        <v>92</v>
      </c>
    </row>
    <row r="6" customFormat="false" ht="15" hidden="false" customHeight="false" outlineLevel="0" collapsed="false">
      <c r="B6" s="6" t="s">
        <v>60</v>
      </c>
      <c r="C6" s="42" t="n">
        <f aca="false">AVERAGE(④FY2026月次実績!I6:K6)</f>
        <v>32428397.3333333</v>
      </c>
      <c r="F6" s="43" t="s">
        <v>93</v>
      </c>
    </row>
    <row r="7" customFormat="false" ht="15" hidden="false" customHeight="false" outlineLevel="0" collapsed="false">
      <c r="B7" s="6" t="s">
        <v>62</v>
      </c>
      <c r="C7" s="42" t="n">
        <f aca="false">AVERAGE(④FY2026月次実績!I8:K8)</f>
        <v>16716827.3333333</v>
      </c>
    </row>
    <row r="8" customFormat="false" ht="15" hidden="false" customHeight="false" outlineLevel="0" collapsed="false">
      <c r="B8" s="6" t="s">
        <v>94</v>
      </c>
      <c r="C8" s="42" t="n">
        <f aca="false">AVERAGE(④FY2026月次実績!I34:K34)</f>
        <v>25013422</v>
      </c>
    </row>
    <row r="9" customFormat="false" ht="15" hidden="false" customHeight="false" outlineLevel="0" collapsed="false">
      <c r="B9" s="6" t="s">
        <v>95</v>
      </c>
      <c r="C9" s="44" t="n">
        <f aca="false">C7/C6</f>
        <v>0.515499645619243</v>
      </c>
    </row>
    <row r="11" customFormat="false" ht="15" hidden="false" customHeight="false" outlineLevel="0" collapsed="false">
      <c r="B11" s="39" t="s">
        <v>96</v>
      </c>
      <c r="C11" s="40"/>
      <c r="D11" s="40"/>
      <c r="E11" s="40"/>
      <c r="F11" s="40"/>
      <c r="G11" s="40"/>
    </row>
    <row r="12" customFormat="false" ht="15" hidden="false" customHeight="false" outlineLevel="0" collapsed="false">
      <c r="B12" s="22" t="s">
        <v>97</v>
      </c>
      <c r="C12" s="22" t="s">
        <v>98</v>
      </c>
      <c r="D12" s="22"/>
      <c r="E12" s="22" t="s">
        <v>99</v>
      </c>
    </row>
    <row r="13" customFormat="false" ht="15" hidden="false" customHeight="false" outlineLevel="0" collapsed="false">
      <c r="B13" s="6" t="s">
        <v>100</v>
      </c>
      <c r="C13" s="45" t="n">
        <v>10000000</v>
      </c>
      <c r="E13" s="6" t="s">
        <v>101</v>
      </c>
    </row>
    <row r="14" customFormat="false" ht="15" hidden="false" customHeight="false" outlineLevel="0" collapsed="false">
      <c r="B14" s="6" t="s">
        <v>102</v>
      </c>
      <c r="C14" s="45" t="n">
        <v>60000000</v>
      </c>
      <c r="E14" s="6" t="s">
        <v>101</v>
      </c>
    </row>
    <row r="15" customFormat="false" ht="15" hidden="false" customHeight="false" outlineLevel="0" collapsed="false">
      <c r="B15" s="6" t="s">
        <v>103</v>
      </c>
      <c r="C15" s="45" t="n">
        <v>10000000</v>
      </c>
      <c r="E15" s="6" t="s">
        <v>101</v>
      </c>
    </row>
    <row r="16" customFormat="false" ht="15" hidden="false" customHeight="false" outlineLevel="0" collapsed="false">
      <c r="B16" s="6" t="s">
        <v>104</v>
      </c>
      <c r="C16" s="45" t="n">
        <v>2500000</v>
      </c>
      <c r="E16" s="6" t="s">
        <v>101</v>
      </c>
    </row>
    <row r="17" customFormat="false" ht="15" hidden="false" customHeight="false" outlineLevel="0" collapsed="false">
      <c r="B17" s="6" t="s">
        <v>105</v>
      </c>
      <c r="C17" s="45" t="n">
        <v>10000000</v>
      </c>
      <c r="E17" s="6" t="s">
        <v>101</v>
      </c>
    </row>
    <row r="18" customFormat="false" ht="15" hidden="false" customHeight="false" outlineLevel="0" collapsed="false">
      <c r="B18" s="6" t="s">
        <v>106</v>
      </c>
      <c r="C18" s="45" t="n">
        <v>20000000</v>
      </c>
      <c r="E18" s="6" t="s">
        <v>107</v>
      </c>
    </row>
    <row r="19" customFormat="false" ht="15" hidden="false" customHeight="false" outlineLevel="0" collapsed="false">
      <c r="B19" s="6" t="s">
        <v>108</v>
      </c>
      <c r="C19" s="45" t="n">
        <v>20000000</v>
      </c>
      <c r="E19" s="6" t="s">
        <v>109</v>
      </c>
    </row>
    <row r="20" customFormat="false" ht="15" hidden="false" customHeight="false" outlineLevel="0" collapsed="false">
      <c r="B20" s="46" t="s">
        <v>110</v>
      </c>
      <c r="C20" s="34" t="n">
        <f aca="false">SUM(C13:C19)</f>
        <v>132500000</v>
      </c>
      <c r="F20" s="30" t="s">
        <v>111</v>
      </c>
    </row>
    <row r="21" customFormat="false" ht="15" hidden="false" customHeight="false" outlineLevel="0" collapsed="false">
      <c r="B21" s="6" t="s">
        <v>112</v>
      </c>
      <c r="C21" s="8" t="n">
        <f aca="false">SUM(C13:C18)</f>
        <v>112500000</v>
      </c>
      <c r="F21" s="30" t="s">
        <v>113</v>
      </c>
    </row>
    <row r="22" customFormat="false" ht="15" hidden="false" customHeight="false" outlineLevel="0" collapsed="false">
      <c r="B22" s="6" t="s">
        <v>114</v>
      </c>
      <c r="C22" s="8" t="n">
        <f aca="false">C19</f>
        <v>20000000</v>
      </c>
    </row>
    <row r="24" customFormat="false" ht="15" hidden="false" customHeight="false" outlineLevel="0" collapsed="false">
      <c r="B24" s="39" t="s">
        <v>115</v>
      </c>
      <c r="C24" s="40"/>
      <c r="D24" s="40"/>
      <c r="E24" s="40"/>
      <c r="F24" s="40"/>
      <c r="G24" s="40"/>
    </row>
    <row r="25" customFormat="false" ht="15" hidden="false" customHeight="false" outlineLevel="0" collapsed="false">
      <c r="B25" s="6" t="s">
        <v>116</v>
      </c>
      <c r="C25" s="45" t="n">
        <v>0</v>
      </c>
      <c r="F25" s="14" t="s">
        <v>117</v>
      </c>
    </row>
    <row r="26" customFormat="false" ht="15" hidden="false" customHeight="false" outlineLevel="0" collapsed="false">
      <c r="B26" s="6" t="s">
        <v>118</v>
      </c>
      <c r="C26" s="45" t="n">
        <v>15000000</v>
      </c>
      <c r="F26" s="3" t="s">
        <v>119</v>
      </c>
    </row>
    <row r="27" customFormat="false" ht="15" hidden="false" customHeight="false" outlineLevel="0" collapsed="false">
      <c r="B27" s="6" t="s">
        <v>120</v>
      </c>
      <c r="C27" s="47" t="n">
        <v>6</v>
      </c>
      <c r="F27" s="14" t="s">
        <v>121</v>
      </c>
    </row>
    <row r="28" customFormat="false" ht="15" hidden="false" customHeight="false" outlineLevel="0" collapsed="false">
      <c r="B28" s="6" t="s">
        <v>122</v>
      </c>
      <c r="C28" s="47" t="n">
        <v>6</v>
      </c>
      <c r="F28" s="14" t="s">
        <v>121</v>
      </c>
    </row>
    <row r="29" customFormat="false" ht="15" hidden="false" customHeight="false" outlineLevel="0" collapsed="false">
      <c r="B29" s="6" t="s">
        <v>123</v>
      </c>
      <c r="C29" s="45" t="n">
        <v>100000000</v>
      </c>
      <c r="F29" s="3" t="s">
        <v>124</v>
      </c>
    </row>
    <row r="30" customFormat="false" ht="15" hidden="false" customHeight="false" outlineLevel="0" collapsed="false">
      <c r="B30" s="6" t="s">
        <v>125</v>
      </c>
      <c r="C30" s="45" t="n">
        <v>1066000000</v>
      </c>
      <c r="F30" s="3" t="s">
        <v>126</v>
      </c>
    </row>
    <row r="31" customFormat="false" ht="31.5" hidden="false" customHeight="true" outlineLevel="0" collapsed="false">
      <c r="B31" s="6" t="s">
        <v>26</v>
      </c>
      <c r="C31" s="48" t="s">
        <v>127</v>
      </c>
      <c r="F31" s="49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15" min="4" style="0" width="13"/>
    <col collapsed="false" customWidth="true" hidden="false" outlineLevel="0" max="16" min="16" style="0" width="16"/>
  </cols>
  <sheetData>
    <row r="1" customFormat="false" ht="17.15" hidden="false" customHeight="false" outlineLevel="0" collapsed="false">
      <c r="B1" s="29" t="s">
        <v>129</v>
      </c>
    </row>
    <row r="2" customFormat="false" ht="15" hidden="false" customHeight="false" outlineLevel="0" collapsed="false">
      <c r="B2" s="14" t="s">
        <v>130</v>
      </c>
    </row>
    <row r="4" customFormat="false" ht="30" hidden="false" customHeight="true" outlineLevel="0" collapsed="false">
      <c r="B4" s="22" t="s">
        <v>3</v>
      </c>
      <c r="C4" s="23" t="s">
        <v>131</v>
      </c>
      <c r="D4" s="31" t="s">
        <v>132</v>
      </c>
      <c r="E4" s="31" t="s">
        <v>133</v>
      </c>
      <c r="F4" s="31" t="s">
        <v>134</v>
      </c>
      <c r="G4" s="31" t="s">
        <v>135</v>
      </c>
      <c r="H4" s="31" t="s">
        <v>136</v>
      </c>
      <c r="I4" s="31" t="s">
        <v>137</v>
      </c>
      <c r="J4" s="31" t="s">
        <v>138</v>
      </c>
      <c r="K4" s="31" t="s">
        <v>139</v>
      </c>
      <c r="L4" s="31" t="s">
        <v>140</v>
      </c>
      <c r="M4" s="31" t="s">
        <v>141</v>
      </c>
      <c r="N4" s="31" t="s">
        <v>142</v>
      </c>
      <c r="O4" s="31" t="s">
        <v>143</v>
      </c>
      <c r="P4" s="41" t="s">
        <v>144</v>
      </c>
    </row>
    <row r="5" customFormat="false" ht="15" hidden="false" customHeight="false" outlineLevel="0" collapsed="false">
      <c r="B5" s="36" t="s">
        <v>145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</row>
    <row r="6" customFormat="false" ht="15" hidden="false" customHeight="false" outlineLevel="0" collapsed="false">
      <c r="B6" s="6" t="s">
        <v>9</v>
      </c>
      <c r="C6" s="51" t="n">
        <f aca="false">②前提!$C$6</f>
        <v>32428397.3333333</v>
      </c>
      <c r="D6" s="8" t="n">
        <f aca="false">$C$6</f>
        <v>32428397.3333333</v>
      </c>
      <c r="E6" s="8" t="n">
        <f aca="false">$C$6</f>
        <v>32428397.3333333</v>
      </c>
      <c r="F6" s="8" t="n">
        <f aca="false">$C$6</f>
        <v>32428397.3333333</v>
      </c>
      <c r="G6" s="8" t="n">
        <f aca="false">$C$6</f>
        <v>32428397.3333333</v>
      </c>
      <c r="H6" s="8" t="n">
        <f aca="false">$C$6</f>
        <v>32428397.3333333</v>
      </c>
      <c r="I6" s="8" t="n">
        <f aca="false">$C$6</f>
        <v>32428397.3333333</v>
      </c>
      <c r="J6" s="8" t="n">
        <f aca="false">$C$6</f>
        <v>32428397.3333333</v>
      </c>
      <c r="K6" s="8" t="n">
        <f aca="false">$C$6</f>
        <v>32428397.3333333</v>
      </c>
      <c r="L6" s="8" t="n">
        <f aca="false">$C$6</f>
        <v>32428397.3333333</v>
      </c>
      <c r="M6" s="8" t="n">
        <f aca="false">$C$6</f>
        <v>32428397.3333333</v>
      </c>
      <c r="N6" s="8" t="n">
        <f aca="false">$C$6</f>
        <v>32428397.3333333</v>
      </c>
      <c r="O6" s="8" t="n">
        <f aca="false">$C$6</f>
        <v>32428397.3333333</v>
      </c>
      <c r="P6" s="34" t="n">
        <f aca="false">SUM(D6:O6)</f>
        <v>389140768</v>
      </c>
    </row>
    <row r="7" customFormat="false" ht="15" hidden="false" customHeight="false" outlineLevel="0" collapsed="false">
      <c r="B7" s="6" t="s">
        <v>146</v>
      </c>
      <c r="C7" s="51" t="n">
        <f aca="false">C6-C8</f>
        <v>15711570</v>
      </c>
      <c r="D7" s="8" t="n">
        <f aca="false">D6-D8</f>
        <v>15711570</v>
      </c>
      <c r="E7" s="8" t="n">
        <f aca="false">E6-E8</f>
        <v>15711570</v>
      </c>
      <c r="F7" s="8" t="n">
        <f aca="false">F6-F8</f>
        <v>15711570</v>
      </c>
      <c r="G7" s="8" t="n">
        <f aca="false">G6-G8</f>
        <v>15711570</v>
      </c>
      <c r="H7" s="8" t="n">
        <f aca="false">H6-H8</f>
        <v>15711570</v>
      </c>
      <c r="I7" s="8" t="n">
        <f aca="false">I6-I8</f>
        <v>15711570</v>
      </c>
      <c r="J7" s="8" t="n">
        <f aca="false">J6-J8</f>
        <v>15711570</v>
      </c>
      <c r="K7" s="8" t="n">
        <f aca="false">K6-K8</f>
        <v>15711570</v>
      </c>
      <c r="L7" s="8" t="n">
        <f aca="false">L6-L8</f>
        <v>15711570</v>
      </c>
      <c r="M7" s="8" t="n">
        <f aca="false">M6-M8</f>
        <v>15711570</v>
      </c>
      <c r="N7" s="8" t="n">
        <f aca="false">N6-N8</f>
        <v>15711570</v>
      </c>
      <c r="O7" s="8" t="n">
        <f aca="false">O6-O8</f>
        <v>15711570</v>
      </c>
      <c r="P7" s="34" t="n">
        <f aca="false">SUM(D7:O7)</f>
        <v>188538840</v>
      </c>
    </row>
    <row r="8" customFormat="false" ht="15" hidden="false" customHeight="false" outlineLevel="0" collapsed="false">
      <c r="B8" s="6" t="s">
        <v>147</v>
      </c>
      <c r="C8" s="51" t="n">
        <f aca="false">②前提!$C$7</f>
        <v>16716827.3333333</v>
      </c>
      <c r="D8" s="8" t="n">
        <f aca="false">$C$8</f>
        <v>16716827.3333333</v>
      </c>
      <c r="E8" s="8" t="n">
        <f aca="false">$C$8</f>
        <v>16716827.3333333</v>
      </c>
      <c r="F8" s="8" t="n">
        <f aca="false">$C$8</f>
        <v>16716827.3333333</v>
      </c>
      <c r="G8" s="8" t="n">
        <f aca="false">$C$8</f>
        <v>16716827.3333333</v>
      </c>
      <c r="H8" s="8" t="n">
        <f aca="false">$C$8</f>
        <v>16716827.3333333</v>
      </c>
      <c r="I8" s="8" t="n">
        <f aca="false">$C$8</f>
        <v>16716827.3333333</v>
      </c>
      <c r="J8" s="8" t="n">
        <f aca="false">$C$8</f>
        <v>16716827.3333333</v>
      </c>
      <c r="K8" s="8" t="n">
        <f aca="false">$C$8</f>
        <v>16716827.3333333</v>
      </c>
      <c r="L8" s="8" t="n">
        <f aca="false">$C$8</f>
        <v>16716827.3333333</v>
      </c>
      <c r="M8" s="8" t="n">
        <f aca="false">$C$8</f>
        <v>16716827.3333333</v>
      </c>
      <c r="N8" s="8" t="n">
        <f aca="false">$C$8</f>
        <v>16716827.3333333</v>
      </c>
      <c r="O8" s="8" t="n">
        <f aca="false">$C$8</f>
        <v>16716827.3333333</v>
      </c>
      <c r="P8" s="34" t="n">
        <f aca="false">SUM(D8:O8)</f>
        <v>200601928</v>
      </c>
    </row>
    <row r="9" customFormat="false" ht="15" hidden="false" customHeight="false" outlineLevel="0" collapsed="false">
      <c r="B9" s="6" t="s">
        <v>148</v>
      </c>
      <c r="C9" s="51" t="n">
        <f aca="false">②前提!$C$13/12</f>
        <v>833333.333333333</v>
      </c>
      <c r="D9" s="8" t="n">
        <f aca="false">$C$9</f>
        <v>833333.333333333</v>
      </c>
      <c r="E9" s="8" t="n">
        <f aca="false">$C$9</f>
        <v>833333.333333333</v>
      </c>
      <c r="F9" s="8" t="n">
        <f aca="false">$C$9</f>
        <v>833333.333333333</v>
      </c>
      <c r="G9" s="8" t="n">
        <f aca="false">$C$9</f>
        <v>833333.333333333</v>
      </c>
      <c r="H9" s="8" t="n">
        <f aca="false">$C$9</f>
        <v>833333.333333333</v>
      </c>
      <c r="I9" s="8" t="n">
        <f aca="false">$C$9</f>
        <v>833333.333333333</v>
      </c>
      <c r="J9" s="8" t="n">
        <f aca="false">$C$9</f>
        <v>833333.333333333</v>
      </c>
      <c r="K9" s="8" t="n">
        <f aca="false">$C$9</f>
        <v>833333.333333333</v>
      </c>
      <c r="L9" s="8" t="n">
        <f aca="false">$C$9</f>
        <v>833333.333333333</v>
      </c>
      <c r="M9" s="8" t="n">
        <f aca="false">$C$9</f>
        <v>833333.333333333</v>
      </c>
      <c r="N9" s="8" t="n">
        <f aca="false">$C$9</f>
        <v>833333.333333333</v>
      </c>
      <c r="O9" s="8" t="n">
        <f aca="false">$C$9</f>
        <v>833333.333333333</v>
      </c>
      <c r="P9" s="34" t="n">
        <f aca="false">SUM(D9:O9)</f>
        <v>10000000</v>
      </c>
    </row>
    <row r="10" customFormat="false" ht="15" hidden="false" customHeight="false" outlineLevel="0" collapsed="false">
      <c r="B10" s="6" t="s">
        <v>149</v>
      </c>
      <c r="C10" s="51" t="n">
        <f aca="false">②前提!$C$14/12</f>
        <v>5000000</v>
      </c>
      <c r="D10" s="8" t="n">
        <f aca="false">$C$10</f>
        <v>5000000</v>
      </c>
      <c r="E10" s="8" t="n">
        <f aca="false">$C$10</f>
        <v>5000000</v>
      </c>
      <c r="F10" s="8" t="n">
        <f aca="false">$C$10</f>
        <v>5000000</v>
      </c>
      <c r="G10" s="8" t="n">
        <f aca="false">$C$10</f>
        <v>5000000</v>
      </c>
      <c r="H10" s="8" t="n">
        <f aca="false">$C$10</f>
        <v>5000000</v>
      </c>
      <c r="I10" s="8" t="n">
        <f aca="false">$C$10</f>
        <v>5000000</v>
      </c>
      <c r="J10" s="8" t="n">
        <f aca="false">$C$10</f>
        <v>5000000</v>
      </c>
      <c r="K10" s="8" t="n">
        <f aca="false">$C$10</f>
        <v>5000000</v>
      </c>
      <c r="L10" s="8" t="n">
        <f aca="false">$C$10</f>
        <v>5000000</v>
      </c>
      <c r="M10" s="8" t="n">
        <f aca="false">$C$10</f>
        <v>5000000</v>
      </c>
      <c r="N10" s="8" t="n">
        <f aca="false">$C$10</f>
        <v>5000000</v>
      </c>
      <c r="O10" s="8" t="n">
        <f aca="false">$C$10</f>
        <v>5000000</v>
      </c>
      <c r="P10" s="34" t="n">
        <f aca="false">SUM(D10:O10)</f>
        <v>60000000</v>
      </c>
    </row>
    <row r="11" customFormat="false" ht="15" hidden="false" customHeight="false" outlineLevel="0" collapsed="false">
      <c r="B11" s="6" t="s">
        <v>150</v>
      </c>
      <c r="C11" s="51" t="n">
        <f aca="false">②前提!$C$15/12</f>
        <v>833333.333333333</v>
      </c>
      <c r="D11" s="8" t="n">
        <f aca="false">$C$11</f>
        <v>833333.333333333</v>
      </c>
      <c r="E11" s="8" t="n">
        <f aca="false">$C$11</f>
        <v>833333.333333333</v>
      </c>
      <c r="F11" s="8" t="n">
        <f aca="false">$C$11</f>
        <v>833333.333333333</v>
      </c>
      <c r="G11" s="8" t="n">
        <f aca="false">$C$11</f>
        <v>833333.333333333</v>
      </c>
      <c r="H11" s="8" t="n">
        <f aca="false">$C$11</f>
        <v>833333.333333333</v>
      </c>
      <c r="I11" s="8" t="n">
        <f aca="false">$C$11</f>
        <v>833333.333333333</v>
      </c>
      <c r="J11" s="8" t="n">
        <f aca="false">$C$11</f>
        <v>833333.333333333</v>
      </c>
      <c r="K11" s="8" t="n">
        <f aca="false">$C$11</f>
        <v>833333.333333333</v>
      </c>
      <c r="L11" s="8" t="n">
        <f aca="false">$C$11</f>
        <v>833333.333333333</v>
      </c>
      <c r="M11" s="8" t="n">
        <f aca="false">$C$11</f>
        <v>833333.333333333</v>
      </c>
      <c r="N11" s="8" t="n">
        <f aca="false">$C$11</f>
        <v>833333.333333333</v>
      </c>
      <c r="O11" s="8" t="n">
        <f aca="false">$C$11</f>
        <v>833333.333333333</v>
      </c>
      <c r="P11" s="34" t="n">
        <f aca="false">SUM(D11:O11)</f>
        <v>10000000</v>
      </c>
    </row>
    <row r="12" customFormat="false" ht="15" hidden="false" customHeight="false" outlineLevel="0" collapsed="false">
      <c r="B12" s="6" t="s">
        <v>151</v>
      </c>
      <c r="C12" s="51" t="n">
        <f aca="false">②前提!$C$16/12</f>
        <v>208333.333333333</v>
      </c>
      <c r="D12" s="8" t="n">
        <f aca="false">$C$12</f>
        <v>208333.333333333</v>
      </c>
      <c r="E12" s="8" t="n">
        <f aca="false">$C$12</f>
        <v>208333.333333333</v>
      </c>
      <c r="F12" s="8" t="n">
        <f aca="false">$C$12</f>
        <v>208333.333333333</v>
      </c>
      <c r="G12" s="8" t="n">
        <f aca="false">$C$12</f>
        <v>208333.333333333</v>
      </c>
      <c r="H12" s="8" t="n">
        <f aca="false">$C$12</f>
        <v>208333.333333333</v>
      </c>
      <c r="I12" s="8" t="n">
        <f aca="false">$C$12</f>
        <v>208333.333333333</v>
      </c>
      <c r="J12" s="8" t="n">
        <f aca="false">$C$12</f>
        <v>208333.333333333</v>
      </c>
      <c r="K12" s="8" t="n">
        <f aca="false">$C$12</f>
        <v>208333.333333333</v>
      </c>
      <c r="L12" s="8" t="n">
        <f aca="false">$C$12</f>
        <v>208333.333333333</v>
      </c>
      <c r="M12" s="8" t="n">
        <f aca="false">$C$12</f>
        <v>208333.333333333</v>
      </c>
      <c r="N12" s="8" t="n">
        <f aca="false">$C$12</f>
        <v>208333.333333333</v>
      </c>
      <c r="O12" s="8" t="n">
        <f aca="false">$C$12</f>
        <v>208333.333333333</v>
      </c>
      <c r="P12" s="34" t="n">
        <f aca="false">SUM(D12:O12)</f>
        <v>2500000</v>
      </c>
    </row>
    <row r="13" customFormat="false" ht="15" hidden="false" customHeight="false" outlineLevel="0" collapsed="false">
      <c r="B13" s="6" t="s">
        <v>152</v>
      </c>
      <c r="C13" s="51" t="n">
        <f aca="false">②前提!$C$17/12</f>
        <v>833333.333333333</v>
      </c>
      <c r="D13" s="8" t="n">
        <f aca="false">$C$13</f>
        <v>833333.333333333</v>
      </c>
      <c r="E13" s="8" t="n">
        <f aca="false">$C$13</f>
        <v>833333.333333333</v>
      </c>
      <c r="F13" s="8" t="n">
        <f aca="false">$C$13</f>
        <v>833333.333333333</v>
      </c>
      <c r="G13" s="8" t="n">
        <f aca="false">$C$13</f>
        <v>833333.333333333</v>
      </c>
      <c r="H13" s="8" t="n">
        <f aca="false">$C$13</f>
        <v>833333.333333333</v>
      </c>
      <c r="I13" s="8" t="n">
        <f aca="false">$C$13</f>
        <v>833333.333333333</v>
      </c>
      <c r="J13" s="8" t="n">
        <f aca="false">$C$13</f>
        <v>833333.333333333</v>
      </c>
      <c r="K13" s="8" t="n">
        <f aca="false">$C$13</f>
        <v>833333.333333333</v>
      </c>
      <c r="L13" s="8" t="n">
        <f aca="false">$C$13</f>
        <v>833333.333333333</v>
      </c>
      <c r="M13" s="8" t="n">
        <f aca="false">$C$13</f>
        <v>833333.333333333</v>
      </c>
      <c r="N13" s="8" t="n">
        <f aca="false">$C$13</f>
        <v>833333.333333333</v>
      </c>
      <c r="O13" s="8" t="n">
        <f aca="false">$C$13</f>
        <v>833333.333333333</v>
      </c>
      <c r="P13" s="34" t="n">
        <f aca="false">SUM(D13:O13)</f>
        <v>10000000</v>
      </c>
    </row>
    <row r="14" customFormat="false" ht="15" hidden="false" customHeight="false" outlineLevel="0" collapsed="false">
      <c r="B14" s="6" t="s">
        <v>153</v>
      </c>
      <c r="D14" s="8" t="n">
        <f aca="false">IF(1=②前提!$C$27,②前提!$C$18,0)</f>
        <v>0</v>
      </c>
      <c r="E14" s="8" t="n">
        <f aca="false">IF(2=②前提!$C$27,②前提!$C$18,0)</f>
        <v>0</v>
      </c>
      <c r="F14" s="8" t="n">
        <f aca="false">IF(3=②前提!$C$27,②前提!$C$18,0)</f>
        <v>0</v>
      </c>
      <c r="G14" s="8" t="n">
        <f aca="false">IF(4=②前提!$C$27,②前提!$C$18,0)</f>
        <v>0</v>
      </c>
      <c r="H14" s="8" t="n">
        <f aca="false">IF(5=②前提!$C$27,②前提!$C$18,0)</f>
        <v>0</v>
      </c>
      <c r="I14" s="8" t="n">
        <f aca="false">IF(6=②前提!$C$27,②前提!$C$18,0)</f>
        <v>20000000</v>
      </c>
      <c r="J14" s="8" t="n">
        <f aca="false">IF(7=②前提!$C$27,②前提!$C$18,0)</f>
        <v>0</v>
      </c>
      <c r="K14" s="8" t="n">
        <f aca="false">IF(8=②前提!$C$27,②前提!$C$18,0)</f>
        <v>0</v>
      </c>
      <c r="L14" s="8" t="n">
        <f aca="false">IF(9=②前提!$C$27,②前提!$C$18,0)</f>
        <v>0</v>
      </c>
      <c r="M14" s="8" t="n">
        <f aca="false">IF(10=②前提!$C$27,②前提!$C$18,0)</f>
        <v>0</v>
      </c>
      <c r="N14" s="8" t="n">
        <f aca="false">IF(11=②前提!$C$27,②前提!$C$18,0)</f>
        <v>0</v>
      </c>
      <c r="O14" s="8" t="n">
        <f aca="false">IF(12=②前提!$C$27,②前提!$C$18,0)</f>
        <v>0</v>
      </c>
      <c r="P14" s="34" t="n">
        <f aca="false">SUM(D14:O14)</f>
        <v>20000000</v>
      </c>
    </row>
    <row r="15" customFormat="false" ht="15" hidden="false" customHeight="false" outlineLevel="0" collapsed="false">
      <c r="B15" s="11" t="s">
        <v>15</v>
      </c>
      <c r="C15" s="12" t="n">
        <f aca="false">C8+SUM(C9:C13)</f>
        <v>24425160.6666667</v>
      </c>
      <c r="D15" s="12" t="n">
        <f aca="false">D8+SUM(D9:D14)</f>
        <v>24425160.6666667</v>
      </c>
      <c r="E15" s="12" t="n">
        <f aca="false">E8+SUM(E9:E14)</f>
        <v>24425160.6666667</v>
      </c>
      <c r="F15" s="12" t="n">
        <f aca="false">F8+SUM(F9:F14)</f>
        <v>24425160.6666667</v>
      </c>
      <c r="G15" s="12" t="n">
        <f aca="false">G8+SUM(G9:G14)</f>
        <v>24425160.6666667</v>
      </c>
      <c r="H15" s="12" t="n">
        <f aca="false">H8+SUM(H9:H14)</f>
        <v>24425160.6666667</v>
      </c>
      <c r="I15" s="12" t="n">
        <f aca="false">I8+SUM(I9:I14)</f>
        <v>44425160.6666667</v>
      </c>
      <c r="J15" s="12" t="n">
        <f aca="false">J8+SUM(J9:J14)</f>
        <v>24425160.6666667</v>
      </c>
      <c r="K15" s="12" t="n">
        <f aca="false">K8+SUM(K9:K14)</f>
        <v>24425160.6666667</v>
      </c>
      <c r="L15" s="12" t="n">
        <f aca="false">L8+SUM(L9:L14)</f>
        <v>24425160.6666667</v>
      </c>
      <c r="M15" s="12" t="n">
        <f aca="false">M8+SUM(M9:M14)</f>
        <v>24425160.6666667</v>
      </c>
      <c r="N15" s="12" t="n">
        <f aca="false">N8+SUM(N9:N14)</f>
        <v>24425160.6666667</v>
      </c>
      <c r="O15" s="12" t="n">
        <f aca="false">O8+SUM(O9:O14)</f>
        <v>24425160.6666667</v>
      </c>
      <c r="P15" s="12" t="n">
        <f aca="false">SUM(D15:O15)</f>
        <v>313101928</v>
      </c>
    </row>
    <row r="17" customFormat="false" ht="15" hidden="false" customHeight="false" outlineLevel="0" collapsed="false">
      <c r="B17" s="36" t="s">
        <v>154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</row>
    <row r="18" customFormat="false" ht="15" hidden="false" customHeight="false" outlineLevel="0" collapsed="false">
      <c r="B18" s="6" t="s">
        <v>64</v>
      </c>
      <c r="C18" s="51" t="n">
        <f aca="false">AVERAGE(④FY2026月次実績!I11:K11)</f>
        <v>2104000</v>
      </c>
      <c r="D18" s="8" t="n">
        <f aca="false">$C$18</f>
        <v>2104000</v>
      </c>
      <c r="E18" s="8" t="n">
        <f aca="false">$C$18</f>
        <v>2104000</v>
      </c>
      <c r="F18" s="8" t="n">
        <f aca="false">$C$18</f>
        <v>2104000</v>
      </c>
      <c r="G18" s="8" t="n">
        <f aca="false">$C$18</f>
        <v>2104000</v>
      </c>
      <c r="H18" s="8" t="n">
        <f aca="false">$C$18</f>
        <v>2104000</v>
      </c>
      <c r="I18" s="8" t="n">
        <f aca="false">$C$18</f>
        <v>2104000</v>
      </c>
      <c r="J18" s="8" t="n">
        <f aca="false">$C$18</f>
        <v>2104000</v>
      </c>
      <c r="K18" s="8" t="n">
        <f aca="false">$C$18</f>
        <v>2104000</v>
      </c>
      <c r="L18" s="8" t="n">
        <f aca="false">$C$18</f>
        <v>2104000</v>
      </c>
      <c r="M18" s="8" t="n">
        <f aca="false">$C$18</f>
        <v>2104000</v>
      </c>
      <c r="N18" s="8" t="n">
        <f aca="false">$C$18</f>
        <v>2104000</v>
      </c>
      <c r="O18" s="8" t="n">
        <f aca="false">$C$18</f>
        <v>2104000</v>
      </c>
      <c r="P18" s="34" t="n">
        <f aca="false">SUM(D18:O18)</f>
        <v>25248000</v>
      </c>
    </row>
    <row r="19" customFormat="false" ht="15" hidden="false" customHeight="false" outlineLevel="0" collapsed="false">
      <c r="B19" s="6" t="s">
        <v>65</v>
      </c>
      <c r="C19" s="51" t="n">
        <f aca="false">AVERAGE(④FY2026月次実績!I12:K12)</f>
        <v>2844602</v>
      </c>
      <c r="D19" s="8" t="n">
        <f aca="false">$C$19</f>
        <v>2844602</v>
      </c>
      <c r="E19" s="8" t="n">
        <f aca="false">$C$19</f>
        <v>2844602</v>
      </c>
      <c r="F19" s="8" t="n">
        <f aca="false">$C$19</f>
        <v>2844602</v>
      </c>
      <c r="G19" s="8" t="n">
        <f aca="false">$C$19</f>
        <v>2844602</v>
      </c>
      <c r="H19" s="8" t="n">
        <f aca="false">$C$19</f>
        <v>2844602</v>
      </c>
      <c r="I19" s="8" t="n">
        <f aca="false">$C$19</f>
        <v>2844602</v>
      </c>
      <c r="J19" s="8" t="n">
        <f aca="false">$C$19</f>
        <v>2844602</v>
      </c>
      <c r="K19" s="8" t="n">
        <f aca="false">$C$19</f>
        <v>2844602</v>
      </c>
      <c r="L19" s="8" t="n">
        <f aca="false">$C$19</f>
        <v>2844602</v>
      </c>
      <c r="M19" s="8" t="n">
        <f aca="false">$C$19</f>
        <v>2844602</v>
      </c>
      <c r="N19" s="8" t="n">
        <f aca="false">$C$19</f>
        <v>2844602</v>
      </c>
      <c r="O19" s="8" t="n">
        <f aca="false">$C$19</f>
        <v>2844602</v>
      </c>
      <c r="P19" s="34" t="n">
        <f aca="false">SUM(D19:O19)</f>
        <v>34135224</v>
      </c>
    </row>
    <row r="20" customFormat="false" ht="15" hidden="false" customHeight="false" outlineLevel="0" collapsed="false">
      <c r="B20" s="6" t="s">
        <v>66</v>
      </c>
      <c r="C20" s="51" t="n">
        <f aca="false">AVERAGE(④FY2026月次実績!I13:K13)</f>
        <v>198075</v>
      </c>
      <c r="D20" s="8" t="n">
        <f aca="false">$C$20</f>
        <v>198075</v>
      </c>
      <c r="E20" s="8" t="n">
        <f aca="false">$C$20</f>
        <v>198075</v>
      </c>
      <c r="F20" s="8" t="n">
        <f aca="false">$C$20</f>
        <v>198075</v>
      </c>
      <c r="G20" s="8" t="n">
        <f aca="false">$C$20</f>
        <v>198075</v>
      </c>
      <c r="H20" s="8" t="n">
        <f aca="false">$C$20</f>
        <v>198075</v>
      </c>
      <c r="I20" s="8" t="n">
        <f aca="false">$C$20</f>
        <v>198075</v>
      </c>
      <c r="J20" s="8" t="n">
        <f aca="false">$C$20</f>
        <v>198075</v>
      </c>
      <c r="K20" s="8" t="n">
        <f aca="false">$C$20</f>
        <v>198075</v>
      </c>
      <c r="L20" s="8" t="n">
        <f aca="false">$C$20</f>
        <v>198075</v>
      </c>
      <c r="M20" s="8" t="n">
        <f aca="false">$C$20</f>
        <v>198075</v>
      </c>
      <c r="N20" s="8" t="n">
        <f aca="false">$C$20</f>
        <v>198075</v>
      </c>
      <c r="O20" s="8" t="n">
        <f aca="false">$C$20</f>
        <v>198075</v>
      </c>
      <c r="P20" s="34" t="n">
        <f aca="false">SUM(D20:O20)</f>
        <v>2376900</v>
      </c>
    </row>
    <row r="21" customFormat="false" ht="15" hidden="false" customHeight="false" outlineLevel="0" collapsed="false">
      <c r="B21" s="6" t="s">
        <v>67</v>
      </c>
      <c r="C21" s="51" t="n">
        <f aca="false">AVERAGE(④FY2026月次実績!I14:K14)</f>
        <v>943189.333333333</v>
      </c>
      <c r="D21" s="8" t="n">
        <f aca="false">$C$21</f>
        <v>943189.333333333</v>
      </c>
      <c r="E21" s="8" t="n">
        <f aca="false">$C$21</f>
        <v>943189.333333333</v>
      </c>
      <c r="F21" s="8" t="n">
        <f aca="false">$C$21</f>
        <v>943189.333333333</v>
      </c>
      <c r="G21" s="8" t="n">
        <f aca="false">$C$21</f>
        <v>943189.333333333</v>
      </c>
      <c r="H21" s="8" t="n">
        <f aca="false">$C$21</f>
        <v>943189.333333333</v>
      </c>
      <c r="I21" s="8" t="n">
        <f aca="false">$C$21</f>
        <v>943189.333333333</v>
      </c>
      <c r="J21" s="8" t="n">
        <f aca="false">$C$21</f>
        <v>943189.333333333</v>
      </c>
      <c r="K21" s="8" t="n">
        <f aca="false">$C$21</f>
        <v>943189.333333333</v>
      </c>
      <c r="L21" s="8" t="n">
        <f aca="false">$C$21</f>
        <v>943189.333333333</v>
      </c>
      <c r="M21" s="8" t="n">
        <f aca="false">$C$21</f>
        <v>943189.333333333</v>
      </c>
      <c r="N21" s="8" t="n">
        <f aca="false">$C$21</f>
        <v>943189.333333333</v>
      </c>
      <c r="O21" s="8" t="n">
        <f aca="false">$C$21</f>
        <v>943189.333333333</v>
      </c>
      <c r="P21" s="34" t="n">
        <f aca="false">SUM(D21:O21)</f>
        <v>11318272</v>
      </c>
    </row>
    <row r="22" customFormat="false" ht="15" hidden="false" customHeight="false" outlineLevel="0" collapsed="false">
      <c r="B22" s="6" t="s">
        <v>68</v>
      </c>
      <c r="C22" s="51" t="n">
        <f aca="false">AVERAGE(④FY2026月次実績!I15:K15)</f>
        <v>520742.333333333</v>
      </c>
      <c r="D22" s="8" t="n">
        <f aca="false">$C$22</f>
        <v>520742.333333333</v>
      </c>
      <c r="E22" s="8" t="n">
        <f aca="false">$C$22</f>
        <v>520742.333333333</v>
      </c>
      <c r="F22" s="8" t="n">
        <f aca="false">$C$22</f>
        <v>520742.333333333</v>
      </c>
      <c r="G22" s="8" t="n">
        <f aca="false">$C$22</f>
        <v>520742.333333333</v>
      </c>
      <c r="H22" s="8" t="n">
        <f aca="false">$C$22</f>
        <v>520742.333333333</v>
      </c>
      <c r="I22" s="8" t="n">
        <f aca="false">$C$22</f>
        <v>520742.333333333</v>
      </c>
      <c r="J22" s="8" t="n">
        <f aca="false">$C$22</f>
        <v>520742.333333333</v>
      </c>
      <c r="K22" s="8" t="n">
        <f aca="false">$C$22</f>
        <v>520742.333333333</v>
      </c>
      <c r="L22" s="8" t="n">
        <f aca="false">$C$22</f>
        <v>520742.333333333</v>
      </c>
      <c r="M22" s="8" t="n">
        <f aca="false">$C$22</f>
        <v>520742.333333333</v>
      </c>
      <c r="N22" s="8" t="n">
        <f aca="false">$C$22</f>
        <v>520742.333333333</v>
      </c>
      <c r="O22" s="8" t="n">
        <f aca="false">$C$22</f>
        <v>520742.333333333</v>
      </c>
      <c r="P22" s="34" t="n">
        <f aca="false">SUM(D22:O22)</f>
        <v>6248908</v>
      </c>
    </row>
    <row r="23" customFormat="false" ht="15" hidden="false" customHeight="false" outlineLevel="0" collapsed="false">
      <c r="B23" s="6" t="s">
        <v>69</v>
      </c>
      <c r="C23" s="51" t="n">
        <f aca="false">AVERAGE(④FY2026月次実績!I16:K16)</f>
        <v>986309.666666667</v>
      </c>
      <c r="D23" s="8" t="n">
        <f aca="false">$C$23</f>
        <v>986309.666666667</v>
      </c>
      <c r="E23" s="8" t="n">
        <f aca="false">$C$23</f>
        <v>986309.666666667</v>
      </c>
      <c r="F23" s="8" t="n">
        <f aca="false">$C$23</f>
        <v>986309.666666667</v>
      </c>
      <c r="G23" s="8" t="n">
        <f aca="false">$C$23</f>
        <v>986309.666666667</v>
      </c>
      <c r="H23" s="8" t="n">
        <f aca="false">$C$23</f>
        <v>986309.666666667</v>
      </c>
      <c r="I23" s="8" t="n">
        <f aca="false">$C$23</f>
        <v>986309.666666667</v>
      </c>
      <c r="J23" s="8" t="n">
        <f aca="false">$C$23</f>
        <v>986309.666666667</v>
      </c>
      <c r="K23" s="8" t="n">
        <f aca="false">$C$23</f>
        <v>986309.666666667</v>
      </c>
      <c r="L23" s="8" t="n">
        <f aca="false">$C$23</f>
        <v>986309.666666667</v>
      </c>
      <c r="M23" s="8" t="n">
        <f aca="false">$C$23</f>
        <v>986309.666666667</v>
      </c>
      <c r="N23" s="8" t="n">
        <f aca="false">$C$23</f>
        <v>986309.666666667</v>
      </c>
      <c r="O23" s="8" t="n">
        <f aca="false">$C$23</f>
        <v>986309.666666667</v>
      </c>
      <c r="P23" s="34" t="n">
        <f aca="false">SUM(D23:O23)</f>
        <v>11835716</v>
      </c>
    </row>
    <row r="24" customFormat="false" ht="15" hidden="false" customHeight="false" outlineLevel="0" collapsed="false">
      <c r="B24" s="6" t="s">
        <v>70</v>
      </c>
      <c r="C24" s="51" t="n">
        <f aca="false">AVERAGE(④FY2026月次実績!I17:K17)</f>
        <v>3258950</v>
      </c>
      <c r="D24" s="8" t="n">
        <f aca="false">$C$24</f>
        <v>3258950</v>
      </c>
      <c r="E24" s="8" t="n">
        <f aca="false">$C$24</f>
        <v>3258950</v>
      </c>
      <c r="F24" s="8" t="n">
        <f aca="false">$C$24</f>
        <v>3258950</v>
      </c>
      <c r="G24" s="8" t="n">
        <f aca="false">$C$24</f>
        <v>3258950</v>
      </c>
      <c r="H24" s="8" t="n">
        <f aca="false">$C$24</f>
        <v>3258950</v>
      </c>
      <c r="I24" s="8" t="n">
        <f aca="false">$C$24</f>
        <v>3258950</v>
      </c>
      <c r="J24" s="8" t="n">
        <f aca="false">$C$24</f>
        <v>3258950</v>
      </c>
      <c r="K24" s="8" t="n">
        <f aca="false">$C$24</f>
        <v>3258950</v>
      </c>
      <c r="L24" s="8" t="n">
        <f aca="false">$C$24</f>
        <v>3258950</v>
      </c>
      <c r="M24" s="8" t="n">
        <f aca="false">$C$24</f>
        <v>3258950</v>
      </c>
      <c r="N24" s="8" t="n">
        <f aca="false">$C$24</f>
        <v>3258950</v>
      </c>
      <c r="O24" s="8" t="n">
        <f aca="false">$C$24</f>
        <v>3258950</v>
      </c>
      <c r="P24" s="34" t="n">
        <f aca="false">SUM(D24:O24)</f>
        <v>39107400</v>
      </c>
    </row>
    <row r="25" customFormat="false" ht="15" hidden="false" customHeight="false" outlineLevel="0" collapsed="false">
      <c r="B25" s="6" t="s">
        <v>71</v>
      </c>
      <c r="C25" s="51" t="n">
        <f aca="false">AVERAGE(④FY2026月次実績!I18:K18)</f>
        <v>3721702.66666667</v>
      </c>
      <c r="D25" s="8" t="n">
        <f aca="false">$C$25</f>
        <v>3721702.66666667</v>
      </c>
      <c r="E25" s="8" t="n">
        <f aca="false">$C$25</f>
        <v>3721702.66666667</v>
      </c>
      <c r="F25" s="8" t="n">
        <f aca="false">$C$25</f>
        <v>3721702.66666667</v>
      </c>
      <c r="G25" s="8" t="n">
        <f aca="false">$C$25</f>
        <v>3721702.66666667</v>
      </c>
      <c r="H25" s="8" t="n">
        <f aca="false">$C$25</f>
        <v>3721702.66666667</v>
      </c>
      <c r="I25" s="8" t="n">
        <f aca="false">$C$25</f>
        <v>3721702.66666667</v>
      </c>
      <c r="J25" s="8" t="n">
        <f aca="false">$C$25</f>
        <v>3721702.66666667</v>
      </c>
      <c r="K25" s="8" t="n">
        <f aca="false">$C$25</f>
        <v>3721702.66666667</v>
      </c>
      <c r="L25" s="8" t="n">
        <f aca="false">$C$25</f>
        <v>3721702.66666667</v>
      </c>
      <c r="M25" s="8" t="n">
        <f aca="false">$C$25</f>
        <v>3721702.66666667</v>
      </c>
      <c r="N25" s="8" t="n">
        <f aca="false">$C$25</f>
        <v>3721702.66666667</v>
      </c>
      <c r="O25" s="8" t="n">
        <f aca="false">$C$25</f>
        <v>3721702.66666667</v>
      </c>
      <c r="P25" s="34" t="n">
        <f aca="false">SUM(D25:O25)</f>
        <v>44660432</v>
      </c>
    </row>
    <row r="26" customFormat="false" ht="15" hidden="false" customHeight="false" outlineLevel="0" collapsed="false">
      <c r="B26" s="6" t="s">
        <v>72</v>
      </c>
      <c r="C26" s="51" t="n">
        <f aca="false">AVERAGE(④FY2026月次実績!I19:K19)</f>
        <v>400027.333333333</v>
      </c>
      <c r="D26" s="8" t="n">
        <f aca="false">$C$26</f>
        <v>400027.333333333</v>
      </c>
      <c r="E26" s="8" t="n">
        <f aca="false">$C$26</f>
        <v>400027.333333333</v>
      </c>
      <c r="F26" s="8" t="n">
        <f aca="false">$C$26</f>
        <v>400027.333333333</v>
      </c>
      <c r="G26" s="8" t="n">
        <f aca="false">$C$26</f>
        <v>400027.333333333</v>
      </c>
      <c r="H26" s="8" t="n">
        <f aca="false">$C$26</f>
        <v>400027.333333333</v>
      </c>
      <c r="I26" s="8" t="n">
        <f aca="false">$C$26</f>
        <v>400027.333333333</v>
      </c>
      <c r="J26" s="8" t="n">
        <f aca="false">$C$26</f>
        <v>400027.333333333</v>
      </c>
      <c r="K26" s="8" t="n">
        <f aca="false">$C$26</f>
        <v>400027.333333333</v>
      </c>
      <c r="L26" s="8" t="n">
        <f aca="false">$C$26</f>
        <v>400027.333333333</v>
      </c>
      <c r="M26" s="8" t="n">
        <f aca="false">$C$26</f>
        <v>400027.333333333</v>
      </c>
      <c r="N26" s="8" t="n">
        <f aca="false">$C$26</f>
        <v>400027.333333333</v>
      </c>
      <c r="O26" s="8" t="n">
        <f aca="false">$C$26</f>
        <v>400027.333333333</v>
      </c>
      <c r="P26" s="34" t="n">
        <f aca="false">SUM(D26:O26)</f>
        <v>4800328</v>
      </c>
    </row>
    <row r="27" customFormat="false" ht="15" hidden="false" customHeight="false" outlineLevel="0" collapsed="false">
      <c r="B27" s="6" t="s">
        <v>73</v>
      </c>
      <c r="C27" s="51" t="n">
        <f aca="false">AVERAGE(④FY2026月次実績!I20:K20)</f>
        <v>687496.333333333</v>
      </c>
      <c r="D27" s="8" t="n">
        <f aca="false">$C$27</f>
        <v>687496.333333333</v>
      </c>
      <c r="E27" s="8" t="n">
        <f aca="false">$C$27</f>
        <v>687496.333333333</v>
      </c>
      <c r="F27" s="8" t="n">
        <f aca="false">$C$27</f>
        <v>687496.333333333</v>
      </c>
      <c r="G27" s="8" t="n">
        <f aca="false">$C$27</f>
        <v>687496.333333333</v>
      </c>
      <c r="H27" s="8" t="n">
        <f aca="false">$C$27</f>
        <v>687496.333333333</v>
      </c>
      <c r="I27" s="8" t="n">
        <f aca="false">$C$27</f>
        <v>687496.333333333</v>
      </c>
      <c r="J27" s="8" t="n">
        <f aca="false">$C$27</f>
        <v>687496.333333333</v>
      </c>
      <c r="K27" s="8" t="n">
        <f aca="false">$C$27</f>
        <v>687496.333333333</v>
      </c>
      <c r="L27" s="8" t="n">
        <f aca="false">$C$27</f>
        <v>687496.333333333</v>
      </c>
      <c r="M27" s="8" t="n">
        <f aca="false">$C$27</f>
        <v>687496.333333333</v>
      </c>
      <c r="N27" s="8" t="n">
        <f aca="false">$C$27</f>
        <v>687496.333333333</v>
      </c>
      <c r="O27" s="8" t="n">
        <f aca="false">$C$27</f>
        <v>687496.333333333</v>
      </c>
      <c r="P27" s="34" t="n">
        <f aca="false">SUM(D27:O27)</f>
        <v>8249956</v>
      </c>
    </row>
    <row r="28" customFormat="false" ht="15" hidden="false" customHeight="false" outlineLevel="0" collapsed="false">
      <c r="B28" s="6" t="s">
        <v>74</v>
      </c>
      <c r="C28" s="51" t="n">
        <f aca="false">AVERAGE(④FY2026月次実績!I21:K21)</f>
        <v>154132.333333333</v>
      </c>
      <c r="D28" s="8" t="n">
        <f aca="false">$C$28</f>
        <v>154132.333333333</v>
      </c>
      <c r="E28" s="8" t="n">
        <f aca="false">$C$28</f>
        <v>154132.333333333</v>
      </c>
      <c r="F28" s="8" t="n">
        <f aca="false">$C$28</f>
        <v>154132.333333333</v>
      </c>
      <c r="G28" s="8" t="n">
        <f aca="false">$C$28</f>
        <v>154132.333333333</v>
      </c>
      <c r="H28" s="8" t="n">
        <f aca="false">$C$28</f>
        <v>154132.333333333</v>
      </c>
      <c r="I28" s="8" t="n">
        <f aca="false">$C$28</f>
        <v>154132.333333333</v>
      </c>
      <c r="J28" s="8" t="n">
        <f aca="false">$C$28</f>
        <v>154132.333333333</v>
      </c>
      <c r="K28" s="8" t="n">
        <f aca="false">$C$28</f>
        <v>154132.333333333</v>
      </c>
      <c r="L28" s="8" t="n">
        <f aca="false">$C$28</f>
        <v>154132.333333333</v>
      </c>
      <c r="M28" s="8" t="n">
        <f aca="false">$C$28</f>
        <v>154132.333333333</v>
      </c>
      <c r="N28" s="8" t="n">
        <f aca="false">$C$28</f>
        <v>154132.333333333</v>
      </c>
      <c r="O28" s="8" t="n">
        <f aca="false">$C$28</f>
        <v>154132.333333333</v>
      </c>
      <c r="P28" s="34" t="n">
        <f aca="false">SUM(D28:O28)</f>
        <v>1849588</v>
      </c>
    </row>
    <row r="29" customFormat="false" ht="15" hidden="false" customHeight="false" outlineLevel="0" collapsed="false">
      <c r="B29" s="6" t="s">
        <v>75</v>
      </c>
      <c r="C29" s="51" t="n">
        <f aca="false">AVERAGE(④FY2026月次実績!I22:K22)</f>
        <v>122950.333333333</v>
      </c>
      <c r="D29" s="8" t="n">
        <f aca="false">$C$29</f>
        <v>122950.333333333</v>
      </c>
      <c r="E29" s="8" t="n">
        <f aca="false">$C$29</f>
        <v>122950.333333333</v>
      </c>
      <c r="F29" s="8" t="n">
        <f aca="false">$C$29</f>
        <v>122950.333333333</v>
      </c>
      <c r="G29" s="8" t="n">
        <f aca="false">$C$29</f>
        <v>122950.333333333</v>
      </c>
      <c r="H29" s="8" t="n">
        <f aca="false">$C$29</f>
        <v>122950.333333333</v>
      </c>
      <c r="I29" s="8" t="n">
        <f aca="false">$C$29</f>
        <v>122950.333333333</v>
      </c>
      <c r="J29" s="8" t="n">
        <f aca="false">$C$29</f>
        <v>122950.333333333</v>
      </c>
      <c r="K29" s="8" t="n">
        <f aca="false">$C$29</f>
        <v>122950.333333333</v>
      </c>
      <c r="L29" s="8" t="n">
        <f aca="false">$C$29</f>
        <v>122950.333333333</v>
      </c>
      <c r="M29" s="8" t="n">
        <f aca="false">$C$29</f>
        <v>122950.333333333</v>
      </c>
      <c r="N29" s="8" t="n">
        <f aca="false">$C$29</f>
        <v>122950.333333333</v>
      </c>
      <c r="O29" s="8" t="n">
        <f aca="false">$C$29</f>
        <v>122950.333333333</v>
      </c>
      <c r="P29" s="34" t="n">
        <f aca="false">SUM(D29:O29)</f>
        <v>1475404</v>
      </c>
    </row>
    <row r="30" customFormat="false" ht="15" hidden="false" customHeight="false" outlineLevel="0" collapsed="false">
      <c r="B30" s="6" t="s">
        <v>76</v>
      </c>
      <c r="C30" s="51" t="n">
        <f aca="false">AVERAGE(④FY2026月次実績!I23:K23)</f>
        <v>0</v>
      </c>
      <c r="D30" s="8" t="n">
        <f aca="false">$C$30</f>
        <v>0</v>
      </c>
      <c r="E30" s="8" t="n">
        <f aca="false">$C$30</f>
        <v>0</v>
      </c>
      <c r="F30" s="8" t="n">
        <f aca="false">$C$30</f>
        <v>0</v>
      </c>
      <c r="G30" s="8" t="n">
        <f aca="false">$C$30</f>
        <v>0</v>
      </c>
      <c r="H30" s="8" t="n">
        <f aca="false">$C$30</f>
        <v>0</v>
      </c>
      <c r="I30" s="8" t="n">
        <f aca="false">$C$30</f>
        <v>0</v>
      </c>
      <c r="J30" s="8" t="n">
        <f aca="false">$C$30</f>
        <v>0</v>
      </c>
      <c r="K30" s="8" t="n">
        <f aca="false">$C$30</f>
        <v>0</v>
      </c>
      <c r="L30" s="8" t="n">
        <f aca="false">$C$30</f>
        <v>0</v>
      </c>
      <c r="M30" s="8" t="n">
        <f aca="false">$C$30</f>
        <v>0</v>
      </c>
      <c r="N30" s="8" t="n">
        <f aca="false">$C$30</f>
        <v>0</v>
      </c>
      <c r="O30" s="8" t="n">
        <f aca="false">$C$30</f>
        <v>0</v>
      </c>
      <c r="P30" s="34" t="n">
        <f aca="false">SUM(D30:O30)</f>
        <v>0</v>
      </c>
    </row>
    <row r="31" customFormat="false" ht="15" hidden="false" customHeight="false" outlineLevel="0" collapsed="false">
      <c r="B31" s="6" t="s">
        <v>77</v>
      </c>
      <c r="C31" s="51" t="n">
        <f aca="false">AVERAGE(④FY2026月次実績!I24:K24)</f>
        <v>246493.666666667</v>
      </c>
      <c r="D31" s="8" t="n">
        <f aca="false">$C$31</f>
        <v>246493.666666667</v>
      </c>
      <c r="E31" s="8" t="n">
        <f aca="false">$C$31</f>
        <v>246493.666666667</v>
      </c>
      <c r="F31" s="8" t="n">
        <f aca="false">$C$31</f>
        <v>246493.666666667</v>
      </c>
      <c r="G31" s="8" t="n">
        <f aca="false">$C$31</f>
        <v>246493.666666667</v>
      </c>
      <c r="H31" s="8" t="n">
        <f aca="false">$C$31</f>
        <v>246493.666666667</v>
      </c>
      <c r="I31" s="8" t="n">
        <f aca="false">$C$31</f>
        <v>246493.666666667</v>
      </c>
      <c r="J31" s="8" t="n">
        <f aca="false">$C$31</f>
        <v>246493.666666667</v>
      </c>
      <c r="K31" s="8" t="n">
        <f aca="false">$C$31</f>
        <v>246493.666666667</v>
      </c>
      <c r="L31" s="8" t="n">
        <f aca="false">$C$31</f>
        <v>246493.666666667</v>
      </c>
      <c r="M31" s="8" t="n">
        <f aca="false">$C$31</f>
        <v>246493.666666667</v>
      </c>
      <c r="N31" s="8" t="n">
        <f aca="false">$C$31</f>
        <v>246493.666666667</v>
      </c>
      <c r="O31" s="8" t="n">
        <f aca="false">$C$31</f>
        <v>246493.666666667</v>
      </c>
      <c r="P31" s="34" t="n">
        <f aca="false">SUM(D31:O31)</f>
        <v>2957924</v>
      </c>
    </row>
    <row r="32" customFormat="false" ht="15" hidden="false" customHeight="false" outlineLevel="0" collapsed="false">
      <c r="B32" s="6" t="s">
        <v>78</v>
      </c>
      <c r="C32" s="51" t="n">
        <f aca="false">AVERAGE(④FY2026月次実績!I25:K25)</f>
        <v>1213002</v>
      </c>
      <c r="D32" s="8" t="n">
        <f aca="false">$C$32</f>
        <v>1213002</v>
      </c>
      <c r="E32" s="8" t="n">
        <f aca="false">$C$32</f>
        <v>1213002</v>
      </c>
      <c r="F32" s="8" t="n">
        <f aca="false">$C$32</f>
        <v>1213002</v>
      </c>
      <c r="G32" s="8" t="n">
        <f aca="false">$C$32</f>
        <v>1213002</v>
      </c>
      <c r="H32" s="8" t="n">
        <f aca="false">$C$32</f>
        <v>1213002</v>
      </c>
      <c r="I32" s="8" t="n">
        <f aca="false">$C$32</f>
        <v>1213002</v>
      </c>
      <c r="J32" s="8" t="n">
        <f aca="false">$C$32</f>
        <v>1213002</v>
      </c>
      <c r="K32" s="8" t="n">
        <f aca="false">$C$32</f>
        <v>1213002</v>
      </c>
      <c r="L32" s="8" t="n">
        <f aca="false">$C$32</f>
        <v>1213002</v>
      </c>
      <c r="M32" s="8" t="n">
        <f aca="false">$C$32</f>
        <v>1213002</v>
      </c>
      <c r="N32" s="8" t="n">
        <f aca="false">$C$32</f>
        <v>1213002</v>
      </c>
      <c r="O32" s="8" t="n">
        <f aca="false">$C$32</f>
        <v>1213002</v>
      </c>
      <c r="P32" s="34" t="n">
        <f aca="false">SUM(D32:O32)</f>
        <v>14556024</v>
      </c>
    </row>
    <row r="33" customFormat="false" ht="15" hidden="false" customHeight="false" outlineLevel="0" collapsed="false">
      <c r="B33" s="6" t="s">
        <v>79</v>
      </c>
      <c r="C33" s="51" t="n">
        <f aca="false">AVERAGE(④FY2026月次実績!I26:K26)</f>
        <v>0</v>
      </c>
      <c r="D33" s="8" t="n">
        <f aca="false">$C$33</f>
        <v>0</v>
      </c>
      <c r="E33" s="8" t="n">
        <f aca="false">$C$33</f>
        <v>0</v>
      </c>
      <c r="F33" s="8" t="n">
        <f aca="false">$C$33</f>
        <v>0</v>
      </c>
      <c r="G33" s="8" t="n">
        <f aca="false">$C$33</f>
        <v>0</v>
      </c>
      <c r="H33" s="8" t="n">
        <f aca="false">$C$33</f>
        <v>0</v>
      </c>
      <c r="I33" s="8" t="n">
        <f aca="false">$C$33</f>
        <v>0</v>
      </c>
      <c r="J33" s="8" t="n">
        <f aca="false">$C$33</f>
        <v>0</v>
      </c>
      <c r="K33" s="8" t="n">
        <f aca="false">$C$33</f>
        <v>0</v>
      </c>
      <c r="L33" s="8" t="n">
        <f aca="false">$C$33</f>
        <v>0</v>
      </c>
      <c r="M33" s="8" t="n">
        <f aca="false">$C$33</f>
        <v>0</v>
      </c>
      <c r="N33" s="8" t="n">
        <f aca="false">$C$33</f>
        <v>0</v>
      </c>
      <c r="O33" s="8" t="n">
        <f aca="false">$C$33</f>
        <v>0</v>
      </c>
      <c r="P33" s="34" t="n">
        <f aca="false">SUM(D33:O33)</f>
        <v>0</v>
      </c>
    </row>
    <row r="34" customFormat="false" ht="15" hidden="false" customHeight="false" outlineLevel="0" collapsed="false">
      <c r="B34" s="6" t="s">
        <v>80</v>
      </c>
      <c r="C34" s="51" t="n">
        <f aca="false">AVERAGE(④FY2026月次実績!I27:K27)</f>
        <v>3250243.33333333</v>
      </c>
      <c r="D34" s="8" t="n">
        <f aca="false">$C$34</f>
        <v>3250243.33333333</v>
      </c>
      <c r="E34" s="8" t="n">
        <f aca="false">$C$34</f>
        <v>3250243.33333333</v>
      </c>
      <c r="F34" s="8" t="n">
        <f aca="false">$C$34</f>
        <v>3250243.33333333</v>
      </c>
      <c r="G34" s="8" t="n">
        <f aca="false">$C$34</f>
        <v>3250243.33333333</v>
      </c>
      <c r="H34" s="8" t="n">
        <f aca="false">$C$34</f>
        <v>3250243.33333333</v>
      </c>
      <c r="I34" s="8" t="n">
        <f aca="false">$C$34</f>
        <v>3250243.33333333</v>
      </c>
      <c r="J34" s="8" t="n">
        <f aca="false">$C$34</f>
        <v>3250243.33333333</v>
      </c>
      <c r="K34" s="8" t="n">
        <f aca="false">$C$34</f>
        <v>3250243.33333333</v>
      </c>
      <c r="L34" s="8" t="n">
        <f aca="false">$C$34</f>
        <v>3250243.33333333</v>
      </c>
      <c r="M34" s="8" t="n">
        <f aca="false">$C$34</f>
        <v>3250243.33333333</v>
      </c>
      <c r="N34" s="8" t="n">
        <f aca="false">$C$34</f>
        <v>3250243.33333333</v>
      </c>
      <c r="O34" s="8" t="n">
        <f aca="false">$C$34</f>
        <v>3250243.33333333</v>
      </c>
      <c r="P34" s="34" t="n">
        <f aca="false">SUM(D34:O34)</f>
        <v>39002920</v>
      </c>
    </row>
    <row r="35" customFormat="false" ht="15" hidden="false" customHeight="false" outlineLevel="0" collapsed="false">
      <c r="B35" s="6" t="s">
        <v>81</v>
      </c>
      <c r="C35" s="51" t="n">
        <f aca="false">AVERAGE(④FY2026月次実績!I28:K28)</f>
        <v>49855.6666666667</v>
      </c>
      <c r="D35" s="8" t="n">
        <f aca="false">$C$35</f>
        <v>49855.6666666667</v>
      </c>
      <c r="E35" s="8" t="n">
        <f aca="false">$C$35</f>
        <v>49855.6666666667</v>
      </c>
      <c r="F35" s="8" t="n">
        <f aca="false">$C$35</f>
        <v>49855.6666666667</v>
      </c>
      <c r="G35" s="8" t="n">
        <f aca="false">$C$35</f>
        <v>49855.6666666667</v>
      </c>
      <c r="H35" s="8" t="n">
        <f aca="false">$C$35</f>
        <v>49855.6666666667</v>
      </c>
      <c r="I35" s="8" t="n">
        <f aca="false">$C$35</f>
        <v>49855.6666666667</v>
      </c>
      <c r="J35" s="8" t="n">
        <f aca="false">$C$35</f>
        <v>49855.6666666667</v>
      </c>
      <c r="K35" s="8" t="n">
        <f aca="false">$C$35</f>
        <v>49855.6666666667</v>
      </c>
      <c r="L35" s="8" t="n">
        <f aca="false">$C$35</f>
        <v>49855.6666666667</v>
      </c>
      <c r="M35" s="8" t="n">
        <f aca="false">$C$35</f>
        <v>49855.6666666667</v>
      </c>
      <c r="N35" s="8" t="n">
        <f aca="false">$C$35</f>
        <v>49855.6666666667</v>
      </c>
      <c r="O35" s="8" t="n">
        <f aca="false">$C$35</f>
        <v>49855.6666666667</v>
      </c>
      <c r="P35" s="34" t="n">
        <f aca="false">SUM(D35:O35)</f>
        <v>598268</v>
      </c>
    </row>
    <row r="36" customFormat="false" ht="15" hidden="false" customHeight="false" outlineLevel="0" collapsed="false">
      <c r="B36" s="6" t="s">
        <v>82</v>
      </c>
      <c r="C36" s="51" t="n">
        <f aca="false">AVERAGE(④FY2026月次実績!I29:K29)</f>
        <v>6666.66666666667</v>
      </c>
      <c r="D36" s="8" t="n">
        <f aca="false">$C$36</f>
        <v>6666.66666666667</v>
      </c>
      <c r="E36" s="8" t="n">
        <f aca="false">$C$36</f>
        <v>6666.66666666667</v>
      </c>
      <c r="F36" s="8" t="n">
        <f aca="false">$C$36</f>
        <v>6666.66666666667</v>
      </c>
      <c r="G36" s="8" t="n">
        <f aca="false">$C$36</f>
        <v>6666.66666666667</v>
      </c>
      <c r="H36" s="8" t="n">
        <f aca="false">$C$36</f>
        <v>6666.66666666667</v>
      </c>
      <c r="I36" s="8" t="n">
        <f aca="false">$C$36</f>
        <v>6666.66666666667</v>
      </c>
      <c r="J36" s="8" t="n">
        <f aca="false">$C$36</f>
        <v>6666.66666666667</v>
      </c>
      <c r="K36" s="8" t="n">
        <f aca="false">$C$36</f>
        <v>6666.66666666667</v>
      </c>
      <c r="L36" s="8" t="n">
        <f aca="false">$C$36</f>
        <v>6666.66666666667</v>
      </c>
      <c r="M36" s="8" t="n">
        <f aca="false">$C$36</f>
        <v>6666.66666666667</v>
      </c>
      <c r="N36" s="8" t="n">
        <f aca="false">$C$36</f>
        <v>6666.66666666667</v>
      </c>
      <c r="O36" s="8" t="n">
        <f aca="false">$C$36</f>
        <v>6666.66666666667</v>
      </c>
      <c r="P36" s="34" t="n">
        <f aca="false">SUM(D36:O36)</f>
        <v>80000</v>
      </c>
    </row>
    <row r="37" customFormat="false" ht="15" hidden="false" customHeight="false" outlineLevel="0" collapsed="false">
      <c r="B37" s="6" t="s">
        <v>83</v>
      </c>
      <c r="C37" s="51" t="n">
        <f aca="false">AVERAGE(④FY2026月次実績!I30:K30)</f>
        <v>394626.666666667</v>
      </c>
      <c r="D37" s="8" t="n">
        <f aca="false">$C$37</f>
        <v>394626.666666667</v>
      </c>
      <c r="E37" s="8" t="n">
        <f aca="false">$C$37</f>
        <v>394626.666666667</v>
      </c>
      <c r="F37" s="8" t="n">
        <f aca="false">$C$37</f>
        <v>394626.666666667</v>
      </c>
      <c r="G37" s="8" t="n">
        <f aca="false">$C$37</f>
        <v>394626.666666667</v>
      </c>
      <c r="H37" s="8" t="n">
        <f aca="false">$C$37</f>
        <v>394626.666666667</v>
      </c>
      <c r="I37" s="8" t="n">
        <f aca="false">$C$37</f>
        <v>394626.666666667</v>
      </c>
      <c r="J37" s="8" t="n">
        <f aca="false">$C$37</f>
        <v>394626.666666667</v>
      </c>
      <c r="K37" s="8" t="n">
        <f aca="false">$C$37</f>
        <v>394626.666666667</v>
      </c>
      <c r="L37" s="8" t="n">
        <f aca="false">$C$37</f>
        <v>394626.666666667</v>
      </c>
      <c r="M37" s="8" t="n">
        <f aca="false">$C$37</f>
        <v>394626.666666667</v>
      </c>
      <c r="N37" s="8" t="n">
        <f aca="false">$C$37</f>
        <v>394626.666666667</v>
      </c>
      <c r="O37" s="8" t="n">
        <f aca="false">$C$37</f>
        <v>394626.666666667</v>
      </c>
      <c r="P37" s="34" t="n">
        <f aca="false">SUM(D37:O37)</f>
        <v>4735520</v>
      </c>
    </row>
    <row r="38" customFormat="false" ht="15" hidden="false" customHeight="false" outlineLevel="0" collapsed="false">
      <c r="B38" s="6" t="s">
        <v>84</v>
      </c>
      <c r="C38" s="51" t="n">
        <f aca="false">AVERAGE(④FY2026月次実績!I31:K31)</f>
        <v>0</v>
      </c>
      <c r="D38" s="8" t="n">
        <f aca="false">$C$38</f>
        <v>0</v>
      </c>
      <c r="E38" s="8" t="n">
        <f aca="false">$C$38</f>
        <v>0</v>
      </c>
      <c r="F38" s="8" t="n">
        <f aca="false">$C$38</f>
        <v>0</v>
      </c>
      <c r="G38" s="8" t="n">
        <f aca="false">$C$38</f>
        <v>0</v>
      </c>
      <c r="H38" s="8" t="n">
        <f aca="false">$C$38</f>
        <v>0</v>
      </c>
      <c r="I38" s="8" t="n">
        <f aca="false">$C$38</f>
        <v>0</v>
      </c>
      <c r="J38" s="8" t="n">
        <f aca="false">$C$38</f>
        <v>0</v>
      </c>
      <c r="K38" s="8" t="n">
        <f aca="false">$C$38</f>
        <v>0</v>
      </c>
      <c r="L38" s="8" t="n">
        <f aca="false">$C$38</f>
        <v>0</v>
      </c>
      <c r="M38" s="8" t="n">
        <f aca="false">$C$38</f>
        <v>0</v>
      </c>
      <c r="N38" s="8" t="n">
        <f aca="false">$C$38</f>
        <v>0</v>
      </c>
      <c r="O38" s="8" t="n">
        <f aca="false">$C$38</f>
        <v>0</v>
      </c>
      <c r="P38" s="34" t="n">
        <f aca="false">SUM(D38:O38)</f>
        <v>0</v>
      </c>
    </row>
    <row r="39" customFormat="false" ht="15" hidden="false" customHeight="false" outlineLevel="0" collapsed="false">
      <c r="B39" s="6" t="s">
        <v>85</v>
      </c>
      <c r="C39" s="51" t="n">
        <f aca="false">AVERAGE(④FY2026月次実績!I32:K32)</f>
        <v>3637873</v>
      </c>
      <c r="D39" s="8" t="n">
        <f aca="false">$C$39</f>
        <v>3637873</v>
      </c>
      <c r="E39" s="8" t="n">
        <f aca="false">$C$39</f>
        <v>3637873</v>
      </c>
      <c r="F39" s="8" t="n">
        <f aca="false">$C$39</f>
        <v>3637873</v>
      </c>
      <c r="G39" s="8" t="n">
        <f aca="false">$C$39</f>
        <v>3637873</v>
      </c>
      <c r="H39" s="8" t="n">
        <f aca="false">$C$39</f>
        <v>3637873</v>
      </c>
      <c r="I39" s="8" t="n">
        <f aca="false">$C$39</f>
        <v>3637873</v>
      </c>
      <c r="J39" s="8" t="n">
        <f aca="false">$C$39</f>
        <v>3637873</v>
      </c>
      <c r="K39" s="8" t="n">
        <f aca="false">$C$39</f>
        <v>3637873</v>
      </c>
      <c r="L39" s="8" t="n">
        <f aca="false">$C$39</f>
        <v>3637873</v>
      </c>
      <c r="M39" s="8" t="n">
        <f aca="false">$C$39</f>
        <v>3637873</v>
      </c>
      <c r="N39" s="8" t="n">
        <f aca="false">$C$39</f>
        <v>3637873</v>
      </c>
      <c r="O39" s="8" t="n">
        <f aca="false">$C$39</f>
        <v>3637873</v>
      </c>
      <c r="P39" s="34" t="n">
        <f aca="false">SUM(D39:O39)</f>
        <v>43654476</v>
      </c>
    </row>
    <row r="40" customFormat="false" ht="15" hidden="false" customHeight="false" outlineLevel="0" collapsed="false">
      <c r="B40" s="6" t="s">
        <v>86</v>
      </c>
      <c r="C40" s="51" t="n">
        <f aca="false">AVERAGE(④FY2026月次実績!I33:K33)</f>
        <v>272483.666666667</v>
      </c>
      <c r="D40" s="8" t="n">
        <f aca="false">$C$40</f>
        <v>272483.666666667</v>
      </c>
      <c r="E40" s="8" t="n">
        <f aca="false">$C$40</f>
        <v>272483.666666667</v>
      </c>
      <c r="F40" s="8" t="n">
        <f aca="false">$C$40</f>
        <v>272483.666666667</v>
      </c>
      <c r="G40" s="8" t="n">
        <f aca="false">$C$40</f>
        <v>272483.666666667</v>
      </c>
      <c r="H40" s="8" t="n">
        <f aca="false">$C$40</f>
        <v>272483.666666667</v>
      </c>
      <c r="I40" s="8" t="n">
        <f aca="false">$C$40</f>
        <v>272483.666666667</v>
      </c>
      <c r="J40" s="8" t="n">
        <f aca="false">$C$40</f>
        <v>272483.666666667</v>
      </c>
      <c r="K40" s="8" t="n">
        <f aca="false">$C$40</f>
        <v>272483.666666667</v>
      </c>
      <c r="L40" s="8" t="n">
        <f aca="false">$C$40</f>
        <v>272483.666666667</v>
      </c>
      <c r="M40" s="8" t="n">
        <f aca="false">$C$40</f>
        <v>272483.666666667</v>
      </c>
      <c r="N40" s="8" t="n">
        <f aca="false">$C$40</f>
        <v>272483.666666667</v>
      </c>
      <c r="O40" s="8" t="n">
        <f aca="false">$C$40</f>
        <v>272483.666666667</v>
      </c>
      <c r="P40" s="34" t="n">
        <f aca="false">SUM(D40:O40)</f>
        <v>3269804</v>
      </c>
    </row>
    <row r="41" customFormat="false" ht="15" hidden="false" customHeight="false" outlineLevel="0" collapsed="false">
      <c r="B41" s="11" t="s">
        <v>16</v>
      </c>
      <c r="C41" s="12" t="n">
        <f aca="false">SUM(C18:C40)</f>
        <v>25013422</v>
      </c>
      <c r="D41" s="12" t="n">
        <f aca="false">SUM(D18:D40)</f>
        <v>25013422</v>
      </c>
      <c r="E41" s="12" t="n">
        <f aca="false">SUM(E18:E40)</f>
        <v>25013422</v>
      </c>
      <c r="F41" s="12" t="n">
        <f aca="false">SUM(F18:F40)</f>
        <v>25013422</v>
      </c>
      <c r="G41" s="12" t="n">
        <f aca="false">SUM(G18:G40)</f>
        <v>25013422</v>
      </c>
      <c r="H41" s="12" t="n">
        <f aca="false">SUM(H18:H40)</f>
        <v>25013422</v>
      </c>
      <c r="I41" s="12" t="n">
        <f aca="false">SUM(I18:I40)</f>
        <v>25013422</v>
      </c>
      <c r="J41" s="12" t="n">
        <f aca="false">SUM(J18:J40)</f>
        <v>25013422</v>
      </c>
      <c r="K41" s="12" t="n">
        <f aca="false">SUM(K18:K40)</f>
        <v>25013422</v>
      </c>
      <c r="L41" s="12" t="n">
        <f aca="false">SUM(L18:L40)</f>
        <v>25013422</v>
      </c>
      <c r="M41" s="12" t="n">
        <f aca="false">SUM(M18:M40)</f>
        <v>25013422</v>
      </c>
      <c r="N41" s="12" t="n">
        <f aca="false">SUM(N18:N40)</f>
        <v>25013422</v>
      </c>
      <c r="O41" s="12" t="n">
        <f aca="false">SUM(O18:O40)</f>
        <v>25013422</v>
      </c>
      <c r="P41" s="12" t="n">
        <f aca="false">SUM(D41:O41)</f>
        <v>300161064</v>
      </c>
    </row>
    <row r="42" customFormat="false" ht="15" hidden="false" customHeight="false" outlineLevel="0" collapsed="false">
      <c r="B42" s="6" t="s">
        <v>18</v>
      </c>
      <c r="C42" s="51" t="n">
        <f aca="false">②前提!$C$25/12</f>
        <v>0</v>
      </c>
      <c r="D42" s="8" t="n">
        <f aca="false">$C$42</f>
        <v>0</v>
      </c>
      <c r="E42" s="8" t="n">
        <f aca="false">$C$42</f>
        <v>0</v>
      </c>
      <c r="F42" s="8" t="n">
        <f aca="false">$C$42</f>
        <v>0</v>
      </c>
      <c r="G42" s="8" t="n">
        <f aca="false">$C$42</f>
        <v>0</v>
      </c>
      <c r="H42" s="8" t="n">
        <f aca="false">$C$42</f>
        <v>0</v>
      </c>
      <c r="I42" s="8" t="n">
        <f aca="false">$C$42</f>
        <v>0</v>
      </c>
      <c r="J42" s="8" t="n">
        <f aca="false">$C$42</f>
        <v>0</v>
      </c>
      <c r="K42" s="8" t="n">
        <f aca="false">$C$42</f>
        <v>0</v>
      </c>
      <c r="L42" s="8" t="n">
        <f aca="false">$C$42</f>
        <v>0</v>
      </c>
      <c r="M42" s="8" t="n">
        <f aca="false">$C$42</f>
        <v>0</v>
      </c>
      <c r="N42" s="8" t="n">
        <f aca="false">$C$42</f>
        <v>0</v>
      </c>
      <c r="O42" s="8" t="n">
        <f aca="false">$C$42</f>
        <v>0</v>
      </c>
      <c r="P42" s="34" t="n">
        <f aca="false">SUM(D42:O42)</f>
        <v>0</v>
      </c>
    </row>
    <row r="43" customFormat="false" ht="15" hidden="false" customHeight="false" outlineLevel="0" collapsed="false">
      <c r="B43" s="11" t="s">
        <v>20</v>
      </c>
      <c r="C43" s="12" t="n">
        <f aca="false">C41+C42</f>
        <v>25013422</v>
      </c>
      <c r="D43" s="12" t="n">
        <f aca="false">D41+D42</f>
        <v>25013422</v>
      </c>
      <c r="E43" s="12" t="n">
        <f aca="false">E41+E42</f>
        <v>25013422</v>
      </c>
      <c r="F43" s="12" t="n">
        <f aca="false">F41+F42</f>
        <v>25013422</v>
      </c>
      <c r="G43" s="12" t="n">
        <f aca="false">G41+G42</f>
        <v>25013422</v>
      </c>
      <c r="H43" s="12" t="n">
        <f aca="false">H41+H42</f>
        <v>25013422</v>
      </c>
      <c r="I43" s="12" t="n">
        <f aca="false">I41+I42</f>
        <v>25013422</v>
      </c>
      <c r="J43" s="12" t="n">
        <f aca="false">J41+J42</f>
        <v>25013422</v>
      </c>
      <c r="K43" s="12" t="n">
        <f aca="false">K41+K42</f>
        <v>25013422</v>
      </c>
      <c r="L43" s="12" t="n">
        <f aca="false">L41+L42</f>
        <v>25013422</v>
      </c>
      <c r="M43" s="12" t="n">
        <f aca="false">M41+M42</f>
        <v>25013422</v>
      </c>
      <c r="N43" s="12" t="n">
        <f aca="false">N41+N42</f>
        <v>25013422</v>
      </c>
      <c r="O43" s="12" t="n">
        <f aca="false">O41+O42</f>
        <v>25013422</v>
      </c>
      <c r="P43" s="12" t="n">
        <f aca="false">SUM(D43:O43)</f>
        <v>300161064</v>
      </c>
    </row>
    <row r="45" customFormat="false" ht="15" hidden="false" customHeight="false" outlineLevel="0" collapsed="false">
      <c r="B45" s="36" t="s">
        <v>155</v>
      </c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</row>
    <row r="46" customFormat="false" ht="15" hidden="false" customHeight="false" outlineLevel="0" collapsed="false">
      <c r="B46" s="15" t="s">
        <v>21</v>
      </c>
      <c r="C46" s="16" t="n">
        <f aca="false">C15-C43</f>
        <v>-588261.333333332</v>
      </c>
      <c r="D46" s="16" t="n">
        <f aca="false">D15-D43</f>
        <v>-588261.333333332</v>
      </c>
      <c r="E46" s="16" t="n">
        <f aca="false">E15-E43</f>
        <v>-588261.333333332</v>
      </c>
      <c r="F46" s="16" t="n">
        <f aca="false">F15-F43</f>
        <v>-588261.333333332</v>
      </c>
      <c r="G46" s="16" t="n">
        <f aca="false">G15-G43</f>
        <v>-588261.333333332</v>
      </c>
      <c r="H46" s="16" t="n">
        <f aca="false">H15-H43</f>
        <v>-588261.333333332</v>
      </c>
      <c r="I46" s="16" t="n">
        <f aca="false">I15-I43</f>
        <v>19411738.6666667</v>
      </c>
      <c r="J46" s="16" t="n">
        <f aca="false">J15-J43</f>
        <v>-588261.333333332</v>
      </c>
      <c r="K46" s="16" t="n">
        <f aca="false">K15-K43</f>
        <v>-588261.333333332</v>
      </c>
      <c r="L46" s="16" t="n">
        <f aca="false">L15-L43</f>
        <v>-588261.333333332</v>
      </c>
      <c r="M46" s="16" t="n">
        <f aca="false">M15-M43</f>
        <v>-588261.333333332</v>
      </c>
      <c r="N46" s="16" t="n">
        <f aca="false">N15-N43</f>
        <v>-588261.333333332</v>
      </c>
      <c r="O46" s="16" t="n">
        <f aca="false">O15-O43</f>
        <v>-588261.333333332</v>
      </c>
      <c r="P46" s="16" t="n">
        <f aca="false">SUM(D46:O46)</f>
        <v>12940864</v>
      </c>
    </row>
    <row r="47" customFormat="false" ht="15" hidden="false" customHeight="false" outlineLevel="0" collapsed="false">
      <c r="B47" s="6" t="s">
        <v>23</v>
      </c>
      <c r="D47" s="8" t="n">
        <f aca="false">IF(1=②前提!$C$28,②前提!$C$19,0)</f>
        <v>0</v>
      </c>
      <c r="E47" s="8" t="n">
        <f aca="false">IF(2=②前提!$C$28,②前提!$C$19,0)</f>
        <v>0</v>
      </c>
      <c r="F47" s="8" t="n">
        <f aca="false">IF(3=②前提!$C$28,②前提!$C$19,0)</f>
        <v>0</v>
      </c>
      <c r="G47" s="8" t="n">
        <f aca="false">IF(4=②前提!$C$28,②前提!$C$19,0)</f>
        <v>0</v>
      </c>
      <c r="H47" s="8" t="n">
        <f aca="false">IF(5=②前提!$C$28,②前提!$C$19,0)</f>
        <v>0</v>
      </c>
      <c r="I47" s="8" t="n">
        <f aca="false">IF(6=②前提!$C$28,②前提!$C$19,0)</f>
        <v>20000000</v>
      </c>
      <c r="J47" s="8" t="n">
        <f aca="false">IF(7=②前提!$C$28,②前提!$C$19,0)</f>
        <v>0</v>
      </c>
      <c r="K47" s="8" t="n">
        <f aca="false">IF(8=②前提!$C$28,②前提!$C$19,0)</f>
        <v>0</v>
      </c>
      <c r="L47" s="8" t="n">
        <f aca="false">IF(9=②前提!$C$28,②前提!$C$19,0)</f>
        <v>0</v>
      </c>
      <c r="M47" s="8" t="n">
        <f aca="false">IF(10=②前提!$C$28,②前提!$C$19,0)</f>
        <v>0</v>
      </c>
      <c r="N47" s="8" t="n">
        <f aca="false">IF(11=②前提!$C$28,②前提!$C$19,0)</f>
        <v>0</v>
      </c>
      <c r="O47" s="8" t="n">
        <f aca="false">IF(12=②前提!$C$28,②前提!$C$19,0)</f>
        <v>0</v>
      </c>
      <c r="P47" s="34" t="n">
        <f aca="false">SUM(D47:O47)</f>
        <v>20000000</v>
      </c>
    </row>
    <row r="48" customFormat="false" ht="15" hidden="false" customHeight="false" outlineLevel="0" collapsed="false">
      <c r="B48" s="6" t="s">
        <v>156</v>
      </c>
      <c r="C48" s="51" t="n">
        <f aca="false">②前提!$C$26/12</f>
        <v>1250000</v>
      </c>
      <c r="D48" s="8" t="n">
        <f aca="false">$C$48</f>
        <v>1250000</v>
      </c>
      <c r="E48" s="8" t="n">
        <f aca="false">$C$48</f>
        <v>1250000</v>
      </c>
      <c r="F48" s="8" t="n">
        <f aca="false">$C$48</f>
        <v>1250000</v>
      </c>
      <c r="G48" s="8" t="n">
        <f aca="false">$C$48</f>
        <v>1250000</v>
      </c>
      <c r="H48" s="8" t="n">
        <f aca="false">$C$48</f>
        <v>1250000</v>
      </c>
      <c r="I48" s="8" t="n">
        <f aca="false">$C$48</f>
        <v>1250000</v>
      </c>
      <c r="J48" s="8" t="n">
        <f aca="false">$C$48</f>
        <v>1250000</v>
      </c>
      <c r="K48" s="8" t="n">
        <f aca="false">$C$48</f>
        <v>1250000</v>
      </c>
      <c r="L48" s="8" t="n">
        <f aca="false">$C$48</f>
        <v>1250000</v>
      </c>
      <c r="M48" s="8" t="n">
        <f aca="false">$C$48</f>
        <v>1250000</v>
      </c>
      <c r="N48" s="8" t="n">
        <f aca="false">$C$48</f>
        <v>1250000</v>
      </c>
      <c r="O48" s="8" t="n">
        <f aca="false">$C$48</f>
        <v>1250000</v>
      </c>
      <c r="P48" s="34" t="n">
        <f aca="false">SUM(D48:O48)</f>
        <v>15000000</v>
      </c>
    </row>
    <row r="49" customFormat="false" ht="15" hidden="false" customHeight="false" outlineLevel="0" collapsed="false">
      <c r="B49" s="18" t="s">
        <v>25</v>
      </c>
      <c r="C49" s="19" t="n">
        <f aca="false">C46+C47-C48</f>
        <v>-1838261.33333333</v>
      </c>
      <c r="D49" s="19" t="n">
        <f aca="false">D46+D47-D48</f>
        <v>-1838261.33333333</v>
      </c>
      <c r="E49" s="19" t="n">
        <f aca="false">E46+E47-E48</f>
        <v>-1838261.33333333</v>
      </c>
      <c r="F49" s="19" t="n">
        <f aca="false">F46+F47-F48</f>
        <v>-1838261.33333333</v>
      </c>
      <c r="G49" s="19" t="n">
        <f aca="false">G46+G47-G48</f>
        <v>-1838261.33333333</v>
      </c>
      <c r="H49" s="19" t="n">
        <f aca="false">H46+H47-H48</f>
        <v>-1838261.33333333</v>
      </c>
      <c r="I49" s="19" t="n">
        <f aca="false">I46+I47-I48</f>
        <v>38161738.6666667</v>
      </c>
      <c r="J49" s="19" t="n">
        <f aca="false">J46+J47-J48</f>
        <v>-1838261.33333333</v>
      </c>
      <c r="K49" s="19" t="n">
        <f aca="false">K46+K47-K48</f>
        <v>-1838261.33333333</v>
      </c>
      <c r="L49" s="19" t="n">
        <f aca="false">L46+L47-L48</f>
        <v>-1838261.33333333</v>
      </c>
      <c r="M49" s="19" t="n">
        <f aca="false">M46+M47-M48</f>
        <v>-1838261.33333333</v>
      </c>
      <c r="N49" s="19" t="n">
        <f aca="false">N46+N47-N48</f>
        <v>-1838261.33333333</v>
      </c>
      <c r="O49" s="19" t="n">
        <f aca="false">O46+O47-O48</f>
        <v>-1838261.33333333</v>
      </c>
      <c r="P49" s="19" t="n">
        <f aca="false">SUM(D49:O49)</f>
        <v>17940864</v>
      </c>
    </row>
    <row r="50" customFormat="false" ht="15" hidden="false" customHeight="false" outlineLevel="0" collapsed="false">
      <c r="B50" s="46" t="s">
        <v>157</v>
      </c>
      <c r="D50" s="52" t="n">
        <f aca="false">D49</f>
        <v>-1838261.33333333</v>
      </c>
      <c r="E50" s="52" t="n">
        <f aca="false">D50+E49</f>
        <v>-3676522.66666666</v>
      </c>
      <c r="F50" s="52" t="n">
        <f aca="false">E50+F49</f>
        <v>-5514784</v>
      </c>
      <c r="G50" s="52" t="n">
        <f aca="false">F50+G49</f>
        <v>-7353045.33333333</v>
      </c>
      <c r="H50" s="52" t="n">
        <f aca="false">G50+H49</f>
        <v>-9191306.66666666</v>
      </c>
      <c r="I50" s="52" t="n">
        <f aca="false">H50+I49</f>
        <v>28970432</v>
      </c>
      <c r="J50" s="52" t="n">
        <f aca="false">I50+J49</f>
        <v>27132170.6666667</v>
      </c>
      <c r="K50" s="52" t="n">
        <f aca="false">J50+K49</f>
        <v>25293909.3333333</v>
      </c>
      <c r="L50" s="52" t="n">
        <f aca="false">K50+L49</f>
        <v>23455648</v>
      </c>
      <c r="M50" s="52" t="n">
        <f aca="false">L50+M49</f>
        <v>21617386.6666667</v>
      </c>
      <c r="N50" s="52" t="n">
        <f aca="false">M50+N49</f>
        <v>19779125.3333333</v>
      </c>
      <c r="O50" s="52" t="n">
        <f aca="false">N50+O49</f>
        <v>17940864</v>
      </c>
    </row>
    <row r="52" customFormat="false" ht="15" hidden="false" customHeight="false" outlineLevel="0" collapsed="false">
      <c r="B52" s="3" t="s">
        <v>158</v>
      </c>
    </row>
    <row r="53" customFormat="false" ht="15" hidden="false" customHeight="false" outlineLevel="0" collapsed="false">
      <c r="B53" s="3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4" min="3" style="0" width="20"/>
    <col collapsed="false" customWidth="true" hidden="false" outlineLevel="0" max="5" min="5" style="0" width="58"/>
  </cols>
  <sheetData>
    <row r="1" customFormat="false" ht="19.4" hidden="false" customHeight="false" outlineLevel="0" collapsed="false">
      <c r="B1" s="38" t="s">
        <v>160</v>
      </c>
    </row>
    <row r="2" customFormat="false" ht="15" hidden="false" customHeight="false" outlineLevel="0" collapsed="false">
      <c r="B2" s="3" t="s">
        <v>161</v>
      </c>
    </row>
    <row r="4" customFormat="false" ht="15" hidden="false" customHeight="false" outlineLevel="0" collapsed="false">
      <c r="B4" s="39" t="s">
        <v>91</v>
      </c>
      <c r="C4" s="39" t="s">
        <v>162</v>
      </c>
      <c r="D4" s="39" t="s">
        <v>163</v>
      </c>
      <c r="E4" s="39" t="s">
        <v>164</v>
      </c>
    </row>
    <row r="5" customFormat="false" ht="15" hidden="false" customHeight="false" outlineLevel="0" collapsed="false">
      <c r="B5" s="53" t="s">
        <v>165</v>
      </c>
      <c r="C5" s="54" t="n">
        <v>-114793431</v>
      </c>
      <c r="D5" s="34" t="n">
        <f aca="false">C5</f>
        <v>-114793431</v>
      </c>
      <c r="E5" s="3" t="s">
        <v>166</v>
      </c>
    </row>
    <row r="6" customFormat="false" ht="15" hidden="false" customHeight="false" outlineLevel="0" collapsed="false">
      <c r="B6" s="6" t="s">
        <v>167</v>
      </c>
      <c r="C6" s="8" t="n">
        <f aca="false">②前提!$C$7*12-229139405</f>
        <v>-28537477</v>
      </c>
      <c r="D6" s="34" t="n">
        <f aca="false">D5+C6</f>
        <v>-143330908</v>
      </c>
      <c r="E6" s="14" t="s">
        <v>168</v>
      </c>
    </row>
    <row r="7" customFormat="false" ht="15" hidden="false" customHeight="false" outlineLevel="0" collapsed="false">
      <c r="B7" s="6" t="s">
        <v>169</v>
      </c>
      <c r="C7" s="8" t="n">
        <f aca="false">343932836-②前提!$C$8*12</f>
        <v>43771772</v>
      </c>
      <c r="D7" s="34" t="n">
        <f aca="false">D6+C7</f>
        <v>-99559136</v>
      </c>
      <c r="E7" s="3" t="s">
        <v>170</v>
      </c>
    </row>
    <row r="8" customFormat="false" ht="15" hidden="false" customHeight="false" outlineLevel="0" collapsed="false">
      <c r="B8" s="6" t="s">
        <v>171</v>
      </c>
      <c r="C8" s="8" t="n">
        <f aca="false">②前提!$C$21</f>
        <v>112500000</v>
      </c>
      <c r="D8" s="34" t="n">
        <f aca="false">D7+C8</f>
        <v>12940864</v>
      </c>
      <c r="E8" s="3" t="s">
        <v>12</v>
      </c>
    </row>
    <row r="9" customFormat="false" ht="15" hidden="false" customHeight="false" outlineLevel="0" collapsed="false">
      <c r="B9" s="6" t="s">
        <v>172</v>
      </c>
      <c r="C9" s="8" t="n">
        <f aca="false">-②前提!$C$25</f>
        <v>-0</v>
      </c>
      <c r="D9" s="34" t="n">
        <f aca="false">D8+C9</f>
        <v>12940864</v>
      </c>
      <c r="E9" s="14" t="s">
        <v>173</v>
      </c>
    </row>
    <row r="10" customFormat="false" ht="15" hidden="false" customHeight="false" outlineLevel="0" collapsed="false">
      <c r="B10" s="55" t="s">
        <v>174</v>
      </c>
      <c r="D10" s="16" t="n">
        <f aca="false">D9</f>
        <v>12940864</v>
      </c>
      <c r="E10" s="3" t="s">
        <v>175</v>
      </c>
    </row>
    <row r="12" customFormat="false" ht="16.4" hidden="false" customHeight="false" outlineLevel="0" collapsed="false">
      <c r="B12" s="21" t="s">
        <v>176</v>
      </c>
    </row>
    <row r="13" customFormat="false" ht="15" hidden="false" customHeight="false" outlineLevel="0" collapsed="false">
      <c r="B13" s="6" t="s">
        <v>177</v>
      </c>
      <c r="C13" s="24" t="n">
        <f aca="false">①サマリー!C23</f>
        <v>168883018.135581</v>
      </c>
      <c r="E13" s="56" t="n">
        <f aca="false">①サマリー!D23</f>
        <v>0.158426846281033</v>
      </c>
      <c r="F13" s="3" t="s">
        <v>178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5"/>
    <col collapsed="false" customWidth="true" hidden="false" outlineLevel="0" max="15" min="4" style="0" width="13"/>
    <col collapsed="false" customWidth="true" hidden="false" outlineLevel="0" max="16" min="16" style="0" width="16"/>
    <col collapsed="false" customWidth="true" hidden="false" outlineLevel="0" max="17" min="17" style="0" width="52"/>
  </cols>
  <sheetData>
    <row r="1" customFormat="false" ht="19.4" hidden="false" customHeight="false" outlineLevel="0" collapsed="false">
      <c r="B1" s="57" t="s">
        <v>179</v>
      </c>
    </row>
    <row r="2" customFormat="false" ht="15" hidden="false" customHeight="false" outlineLevel="0" collapsed="false">
      <c r="B2" s="30" t="s">
        <v>180</v>
      </c>
    </row>
    <row r="4" customFormat="false" ht="15" hidden="false" customHeight="false" outlineLevel="0" collapsed="false">
      <c r="B4" s="39" t="s">
        <v>181</v>
      </c>
      <c r="C4" s="40"/>
      <c r="D4" s="40"/>
      <c r="E4" s="40"/>
      <c r="F4" s="40"/>
      <c r="G4" s="40"/>
      <c r="H4" s="40"/>
    </row>
    <row r="5" customFormat="false" ht="15" hidden="false" customHeight="false" outlineLevel="0" collapsed="false">
      <c r="B5" s="22" t="s">
        <v>182</v>
      </c>
      <c r="C5" s="31" t="s">
        <v>183</v>
      </c>
      <c r="D5" s="31" t="s">
        <v>184</v>
      </c>
      <c r="E5" s="31" t="s">
        <v>185</v>
      </c>
      <c r="F5" s="31" t="s">
        <v>186</v>
      </c>
      <c r="G5" s="31" t="s">
        <v>187</v>
      </c>
    </row>
    <row r="6" customFormat="false" ht="15" hidden="false" customHeight="false" outlineLevel="0" collapsed="false">
      <c r="B6" s="6" t="s">
        <v>188</v>
      </c>
      <c r="C6" s="58" t="n">
        <v>560</v>
      </c>
      <c r="D6" s="58" t="n">
        <v>470</v>
      </c>
      <c r="E6" s="58" t="n">
        <v>480</v>
      </c>
      <c r="F6" s="58" t="n">
        <v>530</v>
      </c>
      <c r="G6" s="58" t="n">
        <v>620</v>
      </c>
    </row>
    <row r="7" customFormat="false" ht="15" hidden="false" customHeight="false" outlineLevel="0" collapsed="false">
      <c r="B7" s="53" t="s">
        <v>189</v>
      </c>
      <c r="C7" s="59" t="n">
        <f aca="false">G6-E6</f>
        <v>140</v>
      </c>
      <c r="D7" s="3" t="s">
        <v>190</v>
      </c>
      <c r="E7" s="60" t="n">
        <f aca="false">C7/6</f>
        <v>23.3333333333333</v>
      </c>
      <c r="F7" s="30" t="s">
        <v>191</v>
      </c>
    </row>
    <row r="8" customFormat="false" ht="15" hidden="false" customHeight="false" outlineLevel="0" collapsed="false">
      <c r="B8" s="3" t="s">
        <v>192</v>
      </c>
    </row>
    <row r="10" customFormat="false" ht="15" hidden="false" customHeight="false" outlineLevel="0" collapsed="false">
      <c r="B10" s="39" t="s">
        <v>193</v>
      </c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40"/>
    </row>
    <row r="11" customFormat="false" ht="15" hidden="false" customHeight="false" outlineLevel="0" collapsed="false">
      <c r="B11" s="22" t="s">
        <v>3</v>
      </c>
      <c r="C11" s="41" t="s">
        <v>194</v>
      </c>
      <c r="D11" s="31" t="s">
        <v>132</v>
      </c>
      <c r="E11" s="31" t="s">
        <v>133</v>
      </c>
      <c r="F11" s="31" t="s">
        <v>134</v>
      </c>
      <c r="G11" s="31" t="s">
        <v>135</v>
      </c>
      <c r="H11" s="31" t="s">
        <v>136</v>
      </c>
      <c r="I11" s="31" t="s">
        <v>137</v>
      </c>
      <c r="J11" s="31" t="s">
        <v>138</v>
      </c>
      <c r="K11" s="31" t="s">
        <v>139</v>
      </c>
      <c r="L11" s="31" t="s">
        <v>140</v>
      </c>
      <c r="M11" s="31" t="s">
        <v>141</v>
      </c>
      <c r="N11" s="31" t="s">
        <v>142</v>
      </c>
      <c r="O11" s="31" t="s">
        <v>143</v>
      </c>
      <c r="P11" s="41" t="s">
        <v>56</v>
      </c>
    </row>
    <row r="12" customFormat="false" ht="15" hidden="false" customHeight="false" outlineLevel="0" collapsed="false">
      <c r="B12" s="6" t="s">
        <v>195</v>
      </c>
      <c r="C12" s="45" t="n">
        <v>420000000</v>
      </c>
      <c r="Q12" s="43" t="s">
        <v>196</v>
      </c>
    </row>
    <row r="13" customFormat="false" ht="15" hidden="false" customHeight="false" outlineLevel="0" collapsed="false">
      <c r="B13" s="6" t="s">
        <v>197</v>
      </c>
      <c r="C13" s="45" t="n">
        <v>0</v>
      </c>
      <c r="Q13" s="14" t="s">
        <v>198</v>
      </c>
    </row>
    <row r="14" customFormat="false" ht="15" hidden="false" customHeight="false" outlineLevel="0" collapsed="false">
      <c r="B14" s="6" t="s">
        <v>199</v>
      </c>
      <c r="D14" s="45" t="n">
        <v>0</v>
      </c>
      <c r="E14" s="45" t="n">
        <v>0</v>
      </c>
      <c r="F14" s="45" t="n">
        <v>0</v>
      </c>
      <c r="G14" s="45" t="n">
        <v>0</v>
      </c>
      <c r="H14" s="45" t="n">
        <v>0</v>
      </c>
      <c r="I14" s="45" t="n">
        <v>0</v>
      </c>
      <c r="J14" s="45" t="n">
        <v>0</v>
      </c>
      <c r="K14" s="45" t="n">
        <v>0</v>
      </c>
      <c r="L14" s="45" t="n">
        <v>0</v>
      </c>
      <c r="M14" s="45" t="n">
        <v>0</v>
      </c>
      <c r="N14" s="45" t="n">
        <v>0</v>
      </c>
      <c r="O14" s="45" t="n">
        <v>0</v>
      </c>
      <c r="P14" s="34" t="n">
        <f aca="false">SUM(D14:O14)</f>
        <v>0</v>
      </c>
      <c r="Q14" s="3" t="s">
        <v>200</v>
      </c>
    </row>
    <row r="15" customFormat="false" ht="15" hidden="false" customHeight="false" outlineLevel="0" collapsed="false">
      <c r="B15" s="6" t="s">
        <v>201</v>
      </c>
      <c r="D15" s="45" t="n">
        <v>0</v>
      </c>
      <c r="E15" s="45" t="n">
        <v>0</v>
      </c>
      <c r="F15" s="45" t="n">
        <v>0</v>
      </c>
      <c r="G15" s="45" t="n">
        <v>0</v>
      </c>
      <c r="H15" s="45" t="n">
        <v>0</v>
      </c>
      <c r="I15" s="45" t="n">
        <v>0</v>
      </c>
      <c r="J15" s="45" t="n">
        <v>0</v>
      </c>
      <c r="K15" s="45" t="n">
        <v>0</v>
      </c>
      <c r="L15" s="45" t="n">
        <v>0</v>
      </c>
      <c r="M15" s="45" t="n">
        <v>0</v>
      </c>
      <c r="N15" s="45" t="n">
        <v>0</v>
      </c>
      <c r="O15" s="45" t="n">
        <v>0</v>
      </c>
      <c r="P15" s="34" t="n">
        <f aca="false">SUM(D15:O15)</f>
        <v>0</v>
      </c>
      <c r="Q15" s="3" t="s">
        <v>202</v>
      </c>
    </row>
    <row r="16" customFormat="false" ht="15" hidden="false" customHeight="false" outlineLevel="0" collapsed="false">
      <c r="B16" s="37" t="s">
        <v>203</v>
      </c>
      <c r="D16" s="12" t="n">
        <f aca="false">D17+$C$13+D14+D15</f>
        <v>15711570</v>
      </c>
      <c r="E16" s="12" t="n">
        <f aca="false">E17+$C$13+E14+E15</f>
        <v>15711570</v>
      </c>
      <c r="F16" s="12" t="n">
        <f aca="false">F17+$C$13+F14+F15</f>
        <v>15711570</v>
      </c>
      <c r="G16" s="12" t="n">
        <f aca="false">G17+$C$13+G14+G15</f>
        <v>15711570</v>
      </c>
      <c r="H16" s="12" t="n">
        <f aca="false">H17+$C$13+H14+H15</f>
        <v>15711570</v>
      </c>
      <c r="I16" s="12" t="n">
        <f aca="false">I17+$C$13+I14+I15</f>
        <v>15711570</v>
      </c>
      <c r="J16" s="12" t="n">
        <f aca="false">J17+$C$13+J14+J15</f>
        <v>15711570</v>
      </c>
      <c r="K16" s="12" t="n">
        <f aca="false">K17+$C$13+K14+K15</f>
        <v>15711570</v>
      </c>
      <c r="L16" s="12" t="n">
        <f aca="false">L17+$C$13+L14+L15</f>
        <v>15711570</v>
      </c>
      <c r="M16" s="12" t="n">
        <f aca="false">M17+$C$13+M14+M15</f>
        <v>15711570</v>
      </c>
      <c r="N16" s="12" t="n">
        <f aca="false">N17+$C$13+N14+N15</f>
        <v>15711570</v>
      </c>
      <c r="O16" s="12" t="n">
        <f aca="false">O17+$C$13+O14+O15</f>
        <v>15711570</v>
      </c>
      <c r="P16" s="34" t="n">
        <f aca="false">SUM(D16:O16)</f>
        <v>188538840</v>
      </c>
    </row>
    <row r="17" customFormat="false" ht="15" hidden="false" customHeight="false" outlineLevel="0" collapsed="false">
      <c r="B17" s="6" t="s">
        <v>204</v>
      </c>
      <c r="D17" s="51" t="n">
        <f aca="false">③FY2027月次推移!D7</f>
        <v>15711570</v>
      </c>
      <c r="E17" s="51" t="n">
        <f aca="false">③FY2027月次推移!E7</f>
        <v>15711570</v>
      </c>
      <c r="F17" s="51" t="n">
        <f aca="false">③FY2027月次推移!F7</f>
        <v>15711570</v>
      </c>
      <c r="G17" s="51" t="n">
        <f aca="false">③FY2027月次推移!G7</f>
        <v>15711570</v>
      </c>
      <c r="H17" s="51" t="n">
        <f aca="false">③FY2027月次推移!H7</f>
        <v>15711570</v>
      </c>
      <c r="I17" s="51" t="n">
        <f aca="false">③FY2027月次推移!I7</f>
        <v>15711570</v>
      </c>
      <c r="J17" s="51" t="n">
        <f aca="false">③FY2027月次推移!J7</f>
        <v>15711570</v>
      </c>
      <c r="K17" s="51" t="n">
        <f aca="false">③FY2027月次推移!K7</f>
        <v>15711570</v>
      </c>
      <c r="L17" s="51" t="n">
        <f aca="false">③FY2027月次推移!L7</f>
        <v>15711570</v>
      </c>
      <c r="M17" s="51" t="n">
        <f aca="false">③FY2027月次推移!M7</f>
        <v>15711570</v>
      </c>
      <c r="N17" s="51" t="n">
        <f aca="false">③FY2027月次推移!N7</f>
        <v>15711570</v>
      </c>
      <c r="O17" s="51" t="n">
        <f aca="false">③FY2027月次推移!O7</f>
        <v>15711570</v>
      </c>
      <c r="P17" s="34" t="n">
        <f aca="false">SUM(D17:O17)</f>
        <v>188538840</v>
      </c>
    </row>
    <row r="18" customFormat="false" ht="15" hidden="false" customHeight="false" outlineLevel="0" collapsed="false">
      <c r="B18" s="37" t="s">
        <v>205</v>
      </c>
      <c r="D18" s="61" t="n">
        <f aca="false">$C$12+D16-D17</f>
        <v>420000000</v>
      </c>
      <c r="E18" s="61" t="n">
        <f aca="false">D18+E16-E17</f>
        <v>420000000</v>
      </c>
      <c r="F18" s="61" t="n">
        <f aca="false">E18+F16-F17</f>
        <v>420000000</v>
      </c>
      <c r="G18" s="61" t="n">
        <f aca="false">F18+G16-G17</f>
        <v>420000000</v>
      </c>
      <c r="H18" s="61" t="n">
        <f aca="false">G18+H16-H17</f>
        <v>420000000</v>
      </c>
      <c r="I18" s="61" t="n">
        <f aca="false">H18+I16-I17</f>
        <v>420000000</v>
      </c>
      <c r="J18" s="61" t="n">
        <f aca="false">I18+J16-J17</f>
        <v>420000000</v>
      </c>
      <c r="K18" s="61" t="n">
        <f aca="false">J18+K16-K17</f>
        <v>420000000</v>
      </c>
      <c r="L18" s="61" t="n">
        <f aca="false">K18+L16-L17</f>
        <v>420000000</v>
      </c>
      <c r="M18" s="61" t="n">
        <f aca="false">L18+M16-M17</f>
        <v>420000000</v>
      </c>
      <c r="N18" s="61" t="n">
        <f aca="false">M18+N16-N17</f>
        <v>420000000</v>
      </c>
      <c r="O18" s="61" t="n">
        <f aca="false">N18+O16-O17</f>
        <v>420000000</v>
      </c>
      <c r="P18" s="62" t="n">
        <f aca="false">O18</f>
        <v>420000000</v>
      </c>
    </row>
    <row r="20" customFormat="false" ht="15" hidden="false" customHeight="false" outlineLevel="0" collapsed="false">
      <c r="B20" s="30" t="s">
        <v>206</v>
      </c>
    </row>
    <row r="21" customFormat="false" ht="15" hidden="false" customHeight="false" outlineLevel="0" collapsed="false">
      <c r="B21" s="30" t="s">
        <v>207</v>
      </c>
    </row>
    <row r="22" customFormat="false" ht="15" hidden="false" customHeight="false" outlineLevel="0" collapsed="false">
      <c r="B22" s="43" t="s">
        <v>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2" topLeftCell="D13" activePane="bottomRight" state="frozen"/>
      <selection pane="topLeft" activeCell="A1" activeCellId="0" sqref="A1"/>
      <selection pane="topRight" activeCell="D1" activeCellId="0" sqref="D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15" min="4" style="0" width="12.5"/>
    <col collapsed="false" customWidth="true" hidden="false" outlineLevel="0" max="16" min="16" style="0" width="15"/>
    <col collapsed="false" customWidth="true" hidden="false" outlineLevel="0" max="17" min="17" style="0" width="46"/>
  </cols>
  <sheetData>
    <row r="1" customFormat="false" ht="19.4" hidden="false" customHeight="false" outlineLevel="0" collapsed="false">
      <c r="B1" s="38" t="s">
        <v>209</v>
      </c>
    </row>
    <row r="2" customFormat="false" ht="15" hidden="false" customHeight="false" outlineLevel="0" collapsed="false">
      <c r="B2" s="3" t="s">
        <v>210</v>
      </c>
    </row>
    <row r="4" customFormat="false" ht="15" hidden="false" customHeight="false" outlineLevel="0" collapsed="false">
      <c r="B4" s="39" t="s">
        <v>211</v>
      </c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</row>
    <row r="5" customFormat="false" ht="15" hidden="false" customHeight="false" outlineLevel="0" collapsed="false">
      <c r="B5" s="6" t="s">
        <v>212</v>
      </c>
      <c r="C5" s="45" t="n">
        <v>24390278</v>
      </c>
      <c r="D5" s="30" t="s">
        <v>213</v>
      </c>
    </row>
    <row r="6" customFormat="false" ht="15" hidden="false" customHeight="false" outlineLevel="0" collapsed="false">
      <c r="B6" s="6" t="s">
        <v>214</v>
      </c>
      <c r="C6" s="63" t="n">
        <v>0.1</v>
      </c>
      <c r="D6" s="3"/>
    </row>
    <row r="7" customFormat="false" ht="15" hidden="false" customHeight="false" outlineLevel="0" collapsed="false">
      <c r="B7" s="6" t="s">
        <v>215</v>
      </c>
      <c r="C7" s="64" t="n">
        <v>1</v>
      </c>
      <c r="D7" s="3" t="s">
        <v>216</v>
      </c>
    </row>
    <row r="8" customFormat="false" ht="15" hidden="false" customHeight="false" outlineLevel="0" collapsed="false">
      <c r="B8" s="6" t="s">
        <v>217</v>
      </c>
      <c r="C8" s="64" t="n">
        <v>1</v>
      </c>
      <c r="D8" s="3" t="s">
        <v>218</v>
      </c>
    </row>
    <row r="9" customFormat="false" ht="15" hidden="false" customHeight="false" outlineLevel="0" collapsed="false">
      <c r="B9" s="6" t="s">
        <v>219</v>
      </c>
      <c r="C9" s="45" t="n">
        <v>2662179</v>
      </c>
      <c r="D9" s="30" t="s">
        <v>220</v>
      </c>
    </row>
    <row r="10" customFormat="false" ht="15" hidden="false" customHeight="false" outlineLevel="0" collapsed="false">
      <c r="B10" s="6" t="s">
        <v>221</v>
      </c>
      <c r="C10" s="7" t="n">
        <v>0</v>
      </c>
      <c r="D10" s="3" t="s">
        <v>222</v>
      </c>
    </row>
    <row r="12" customFormat="false" ht="15" hidden="false" customHeight="false" outlineLevel="0" collapsed="false">
      <c r="B12" s="22" t="s">
        <v>3</v>
      </c>
      <c r="C12" s="41" t="s">
        <v>194</v>
      </c>
      <c r="D12" s="31" t="s">
        <v>132</v>
      </c>
      <c r="E12" s="31" t="s">
        <v>133</v>
      </c>
      <c r="F12" s="31" t="s">
        <v>134</v>
      </c>
      <c r="G12" s="31" t="s">
        <v>135</v>
      </c>
      <c r="H12" s="31" t="s">
        <v>136</v>
      </c>
      <c r="I12" s="31" t="s">
        <v>137</v>
      </c>
      <c r="J12" s="31" t="s">
        <v>138</v>
      </c>
      <c r="K12" s="31" t="s">
        <v>139</v>
      </c>
      <c r="L12" s="31" t="s">
        <v>140</v>
      </c>
      <c r="M12" s="31" t="s">
        <v>141</v>
      </c>
      <c r="N12" s="31" t="s">
        <v>142</v>
      </c>
      <c r="O12" s="31" t="s">
        <v>143</v>
      </c>
      <c r="P12" s="41" t="s">
        <v>56</v>
      </c>
    </row>
    <row r="13" customFormat="false" ht="15" hidden="false" customHeight="false" outlineLevel="0" collapsed="false">
      <c r="B13" s="36" t="s">
        <v>223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</row>
    <row r="14" customFormat="false" ht="15" hidden="false" customHeight="false" outlineLevel="0" collapsed="false">
      <c r="B14" s="65" t="s">
        <v>224</v>
      </c>
      <c r="D14" s="51" t="n">
        <f aca="false">③FY2027月次推移!D6*(1+$C$6)</f>
        <v>35671237.0666667</v>
      </c>
      <c r="E14" s="51" t="n">
        <f aca="false">③FY2027月次推移!E6*(1+$C$6)</f>
        <v>35671237.0666667</v>
      </c>
      <c r="F14" s="51" t="n">
        <f aca="false">③FY2027月次推移!F6*(1+$C$6)</f>
        <v>35671237.0666667</v>
      </c>
      <c r="G14" s="51" t="n">
        <f aca="false">③FY2027月次推移!G6*(1+$C$6)</f>
        <v>35671237.0666667</v>
      </c>
      <c r="H14" s="51" t="n">
        <f aca="false">③FY2027月次推移!H6*(1+$C$6)</f>
        <v>35671237.0666667</v>
      </c>
      <c r="I14" s="51" t="n">
        <f aca="false">③FY2027月次推移!I6*(1+$C$6)</f>
        <v>35671237.0666667</v>
      </c>
      <c r="J14" s="51" t="n">
        <f aca="false">③FY2027月次推移!J6*(1+$C$6)</f>
        <v>35671237.0666667</v>
      </c>
      <c r="K14" s="51" t="n">
        <f aca="false">③FY2027月次推移!K6*(1+$C$6)</f>
        <v>35671237.0666667</v>
      </c>
      <c r="L14" s="51" t="n">
        <f aca="false">③FY2027月次推移!L6*(1+$C$6)</f>
        <v>35671237.0666667</v>
      </c>
      <c r="M14" s="51" t="n">
        <f aca="false">③FY2027月次推移!M6*(1+$C$6)</f>
        <v>35671237.0666667</v>
      </c>
      <c r="N14" s="51" t="n">
        <f aca="false">③FY2027月次推移!N6*(1+$C$6)</f>
        <v>35671237.0666667</v>
      </c>
      <c r="O14" s="51" t="n">
        <f aca="false">③FY2027月次推移!O6*(1+$C$6)</f>
        <v>35671237.0666667</v>
      </c>
      <c r="P14" s="34" t="n">
        <f aca="false">SUM(D14:O14)</f>
        <v>428054844.8</v>
      </c>
    </row>
    <row r="15" customFormat="false" ht="15" hidden="false" customHeight="false" outlineLevel="0" collapsed="false">
      <c r="B15" s="65" t="s">
        <v>225</v>
      </c>
      <c r="D15" s="51" t="n">
        <f aca="false">SUM(③FY2027月次推移!D9:D13)*(1+$C$6)</f>
        <v>8479166.66666667</v>
      </c>
      <c r="E15" s="51" t="n">
        <f aca="false">SUM(③FY2027月次推移!E9:E13)*(1+$C$6)</f>
        <v>8479166.66666667</v>
      </c>
      <c r="F15" s="51" t="n">
        <f aca="false">SUM(③FY2027月次推移!F9:F13)*(1+$C$6)</f>
        <v>8479166.66666667</v>
      </c>
      <c r="G15" s="51" t="n">
        <f aca="false">SUM(③FY2027月次推移!G9:G13)*(1+$C$6)</f>
        <v>8479166.66666667</v>
      </c>
      <c r="H15" s="51" t="n">
        <f aca="false">SUM(③FY2027月次推移!H9:H13)*(1+$C$6)</f>
        <v>8479166.66666667</v>
      </c>
      <c r="I15" s="51" t="n">
        <f aca="false">SUM(③FY2027月次推移!I9:I13)*(1+$C$6)</f>
        <v>8479166.66666667</v>
      </c>
      <c r="J15" s="51" t="n">
        <f aca="false">SUM(③FY2027月次推移!J9:J13)*(1+$C$6)</f>
        <v>8479166.66666667</v>
      </c>
      <c r="K15" s="51" t="n">
        <f aca="false">SUM(③FY2027月次推移!K9:K13)*(1+$C$6)</f>
        <v>8479166.66666667</v>
      </c>
      <c r="L15" s="51" t="n">
        <f aca="false">SUM(③FY2027月次推移!L9:L13)*(1+$C$6)</f>
        <v>8479166.66666667</v>
      </c>
      <c r="M15" s="51" t="n">
        <f aca="false">SUM(③FY2027月次推移!M9:M13)*(1+$C$6)</f>
        <v>8479166.66666667</v>
      </c>
      <c r="N15" s="51" t="n">
        <f aca="false">SUM(③FY2027月次推移!N9:N13)*(1+$C$6)</f>
        <v>8479166.66666667</v>
      </c>
      <c r="O15" s="51" t="n">
        <f aca="false">SUM(③FY2027月次推移!O9:O13)*(1+$C$6)</f>
        <v>8479166.66666667</v>
      </c>
      <c r="P15" s="34" t="n">
        <f aca="false">SUM(D15:O15)</f>
        <v>101750000</v>
      </c>
    </row>
    <row r="16" customFormat="false" ht="15" hidden="false" customHeight="false" outlineLevel="0" collapsed="false">
      <c r="B16" s="65" t="s">
        <v>226</v>
      </c>
      <c r="D16" s="51" t="n">
        <f aca="false">③FY2027月次推移!D14*(1+$C$6)</f>
        <v>0</v>
      </c>
      <c r="E16" s="51" t="n">
        <f aca="false">③FY2027月次推移!E14*(1+$C$6)</f>
        <v>0</v>
      </c>
      <c r="F16" s="51" t="n">
        <f aca="false">③FY2027月次推移!F14*(1+$C$6)</f>
        <v>0</v>
      </c>
      <c r="G16" s="51" t="n">
        <f aca="false">③FY2027月次推移!G14*(1+$C$6)</f>
        <v>0</v>
      </c>
      <c r="H16" s="51" t="n">
        <f aca="false">③FY2027月次推移!H14*(1+$C$6)</f>
        <v>0</v>
      </c>
      <c r="I16" s="51" t="n">
        <f aca="false">③FY2027月次推移!I14*(1+$C$6)</f>
        <v>22000000</v>
      </c>
      <c r="J16" s="51" t="n">
        <f aca="false">③FY2027月次推移!J14*(1+$C$6)</f>
        <v>0</v>
      </c>
      <c r="K16" s="51" t="n">
        <f aca="false">③FY2027月次推移!K14*(1+$C$6)</f>
        <v>0</v>
      </c>
      <c r="L16" s="51" t="n">
        <f aca="false">③FY2027月次推移!L14*(1+$C$6)</f>
        <v>0</v>
      </c>
      <c r="M16" s="51" t="n">
        <f aca="false">③FY2027月次推移!M14*(1+$C$6)</f>
        <v>0</v>
      </c>
      <c r="N16" s="51" t="n">
        <f aca="false">③FY2027月次推移!N14*(1+$C$6)</f>
        <v>0</v>
      </c>
      <c r="O16" s="51" t="n">
        <f aca="false">③FY2027月次推移!O14*(1+$C$6)</f>
        <v>0</v>
      </c>
      <c r="P16" s="34" t="n">
        <f aca="false">SUM(D16:O16)</f>
        <v>22000000</v>
      </c>
    </row>
    <row r="17" customFormat="false" ht="15" hidden="false" customHeight="false" outlineLevel="0" collapsed="false">
      <c r="B17" s="6" t="s">
        <v>227</v>
      </c>
      <c r="D17" s="45" t="n">
        <v>220000000</v>
      </c>
      <c r="E17" s="45" t="n">
        <v>0</v>
      </c>
      <c r="F17" s="45" t="n">
        <v>0</v>
      </c>
      <c r="G17" s="45" t="n">
        <v>0</v>
      </c>
      <c r="H17" s="45" t="n">
        <v>0</v>
      </c>
      <c r="I17" s="45" t="n">
        <v>0</v>
      </c>
      <c r="J17" s="45" t="n">
        <v>0</v>
      </c>
      <c r="K17" s="45" t="n">
        <v>0</v>
      </c>
      <c r="L17" s="45" t="n">
        <v>0</v>
      </c>
      <c r="M17" s="45" t="n">
        <v>0</v>
      </c>
      <c r="N17" s="45" t="n">
        <v>0</v>
      </c>
      <c r="O17" s="45" t="n">
        <v>0</v>
      </c>
      <c r="P17" s="34" t="n">
        <f aca="false">SUM(D17:O17)</f>
        <v>220000000</v>
      </c>
      <c r="Q17" s="43" t="s">
        <v>228</v>
      </c>
    </row>
    <row r="18" customFormat="false" ht="15" hidden="false" customHeight="false" outlineLevel="0" collapsed="false">
      <c r="B18" s="11" t="s">
        <v>229</v>
      </c>
      <c r="D18" s="12" t="n">
        <f aca="false">SUM(D14:D17)</f>
        <v>264150403.733333</v>
      </c>
      <c r="E18" s="12" t="n">
        <f aca="false">SUM(E14:E17)</f>
        <v>44150403.7333333</v>
      </c>
      <c r="F18" s="12" t="n">
        <f aca="false">SUM(F14:F17)</f>
        <v>44150403.7333333</v>
      </c>
      <c r="G18" s="12" t="n">
        <f aca="false">SUM(G14:G17)</f>
        <v>44150403.7333333</v>
      </c>
      <c r="H18" s="12" t="n">
        <f aca="false">SUM(H14:H17)</f>
        <v>44150403.7333333</v>
      </c>
      <c r="I18" s="12" t="n">
        <f aca="false">SUM(I14:I17)</f>
        <v>66150403.7333333</v>
      </c>
      <c r="J18" s="12" t="n">
        <f aca="false">SUM(J14:J17)</f>
        <v>44150403.7333333</v>
      </c>
      <c r="K18" s="12" t="n">
        <f aca="false">SUM(K14:K17)</f>
        <v>44150403.7333333</v>
      </c>
      <c r="L18" s="12" t="n">
        <f aca="false">SUM(L14:L17)</f>
        <v>44150403.7333333</v>
      </c>
      <c r="M18" s="12" t="n">
        <f aca="false">SUM(M14:M17)</f>
        <v>44150403.7333333</v>
      </c>
      <c r="N18" s="12" t="n">
        <f aca="false">SUM(N14:N17)</f>
        <v>44150403.7333333</v>
      </c>
      <c r="O18" s="12" t="n">
        <f aca="false">SUM(O14:O17)</f>
        <v>44150403.7333333</v>
      </c>
      <c r="P18" s="12" t="n">
        <f aca="false">SUM(D18:O18)</f>
        <v>771804844.8</v>
      </c>
    </row>
    <row r="20" customFormat="false" ht="15" hidden="false" customHeight="false" outlineLevel="0" collapsed="false">
      <c r="B20" s="36" t="s">
        <v>230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</row>
    <row r="21" customFormat="false" ht="15" hidden="false" customHeight="false" outlineLevel="0" collapsed="false">
      <c r="B21" s="65" t="s">
        <v>231</v>
      </c>
      <c r="D21" s="51" t="n">
        <f aca="false">⑥ワイン仕入・在庫計画!D16*(1+$C$6)</f>
        <v>17282727</v>
      </c>
      <c r="E21" s="51" t="n">
        <f aca="false">⑥ワイン仕入・在庫計画!D16*(1+$C$6)</f>
        <v>17282727</v>
      </c>
      <c r="F21" s="51" t="n">
        <f aca="false">⑥ワイン仕入・在庫計画!E16*(1+$C$6)</f>
        <v>17282727</v>
      </c>
      <c r="G21" s="51" t="n">
        <f aca="false">⑥ワイン仕入・在庫計画!F16*(1+$C$6)</f>
        <v>17282727</v>
      </c>
      <c r="H21" s="51" t="n">
        <f aca="false">⑥ワイン仕入・在庫計画!G16*(1+$C$6)</f>
        <v>17282727</v>
      </c>
      <c r="I21" s="51" t="n">
        <f aca="false">⑥ワイン仕入・在庫計画!H16*(1+$C$6)</f>
        <v>17282727</v>
      </c>
      <c r="J21" s="51" t="n">
        <f aca="false">⑥ワイン仕入・在庫計画!I16*(1+$C$6)</f>
        <v>17282727</v>
      </c>
      <c r="K21" s="51" t="n">
        <f aca="false">⑥ワイン仕入・在庫計画!J16*(1+$C$6)</f>
        <v>17282727</v>
      </c>
      <c r="L21" s="51" t="n">
        <f aca="false">⑥ワイン仕入・在庫計画!K16*(1+$C$6)</f>
        <v>17282727</v>
      </c>
      <c r="M21" s="51" t="n">
        <f aca="false">⑥ワイン仕入・在庫計画!L16*(1+$C$6)</f>
        <v>17282727</v>
      </c>
      <c r="N21" s="51" t="n">
        <f aca="false">⑥ワイン仕入・在庫計画!M16*(1+$C$6)</f>
        <v>17282727</v>
      </c>
      <c r="O21" s="51" t="n">
        <f aca="false">⑥ワイン仕入・在庫計画!N16*(1+$C$6)</f>
        <v>17282727</v>
      </c>
      <c r="P21" s="34" t="n">
        <f aca="false">SUM(D21:O21)</f>
        <v>207392724</v>
      </c>
    </row>
    <row r="22" customFormat="false" ht="15" hidden="false" customHeight="false" outlineLevel="0" collapsed="false">
      <c r="B22" s="65" t="s">
        <v>232</v>
      </c>
      <c r="D22" s="51" t="n">
        <f aca="false">AVERAGE(④FY2026月次実績!I11:K11)+AVERAGE(④FY2026月次実績!I12:K12)+AVERAGE(④FY2026月次実績!I13:K13)+AVERAGE(④FY2026月次実績!I14:K14)</f>
        <v>6089866.33333333</v>
      </c>
      <c r="E22" s="51" t="n">
        <f aca="false">AVERAGE(④FY2026月次実績!I11:K11)+AVERAGE(④FY2026月次実績!I12:K12)+AVERAGE(④FY2026月次実績!I13:K13)+AVERAGE(④FY2026月次実績!I14:K14)</f>
        <v>6089866.33333333</v>
      </c>
      <c r="F22" s="51" t="n">
        <f aca="false">AVERAGE(④FY2026月次実績!I11:K11)+AVERAGE(④FY2026月次実績!I12:K12)+AVERAGE(④FY2026月次実績!I13:K13)+AVERAGE(④FY2026月次実績!I14:K14)</f>
        <v>6089866.33333333</v>
      </c>
      <c r="G22" s="51" t="n">
        <f aca="false">AVERAGE(④FY2026月次実績!I11:K11)+AVERAGE(④FY2026月次実績!I12:K12)+AVERAGE(④FY2026月次実績!I13:K13)+AVERAGE(④FY2026月次実績!I14:K14)</f>
        <v>6089866.33333333</v>
      </c>
      <c r="H22" s="51" t="n">
        <f aca="false">AVERAGE(④FY2026月次実績!I11:K11)+AVERAGE(④FY2026月次実績!I12:K12)+AVERAGE(④FY2026月次実績!I13:K13)+AVERAGE(④FY2026月次実績!I14:K14)</f>
        <v>6089866.33333333</v>
      </c>
      <c r="I22" s="51" t="n">
        <f aca="false">AVERAGE(④FY2026月次実績!I11:K11)+AVERAGE(④FY2026月次実績!I12:K12)+AVERAGE(④FY2026月次実績!I13:K13)+AVERAGE(④FY2026月次実績!I14:K14)</f>
        <v>6089866.33333333</v>
      </c>
      <c r="J22" s="51" t="n">
        <f aca="false">AVERAGE(④FY2026月次実績!I11:K11)+AVERAGE(④FY2026月次実績!I12:K12)+AVERAGE(④FY2026月次実績!I13:K13)+AVERAGE(④FY2026月次実績!I14:K14)</f>
        <v>6089866.33333333</v>
      </c>
      <c r="K22" s="51" t="n">
        <f aca="false">AVERAGE(④FY2026月次実績!I11:K11)+AVERAGE(④FY2026月次実績!I12:K12)+AVERAGE(④FY2026月次実績!I13:K13)+AVERAGE(④FY2026月次実績!I14:K14)</f>
        <v>6089866.33333333</v>
      </c>
      <c r="L22" s="51" t="n">
        <f aca="false">AVERAGE(④FY2026月次実績!I11:K11)+AVERAGE(④FY2026月次実績!I12:K12)+AVERAGE(④FY2026月次実績!I13:K13)+AVERAGE(④FY2026月次実績!I14:K14)</f>
        <v>6089866.33333333</v>
      </c>
      <c r="M22" s="51" t="n">
        <f aca="false">AVERAGE(④FY2026月次実績!I11:K11)+AVERAGE(④FY2026月次実績!I12:K12)+AVERAGE(④FY2026月次実績!I13:K13)+AVERAGE(④FY2026月次実績!I14:K14)</f>
        <v>6089866.33333333</v>
      </c>
      <c r="N22" s="51" t="n">
        <f aca="false">AVERAGE(④FY2026月次実績!I11:K11)+AVERAGE(④FY2026月次実績!I12:K12)+AVERAGE(④FY2026月次実績!I13:K13)+AVERAGE(④FY2026月次実績!I14:K14)</f>
        <v>6089866.33333333</v>
      </c>
      <c r="O22" s="51" t="n">
        <f aca="false">AVERAGE(④FY2026月次実績!I11:K11)+AVERAGE(④FY2026月次実績!I12:K12)+AVERAGE(④FY2026月次実績!I13:K13)+AVERAGE(④FY2026月次実績!I14:K14)</f>
        <v>6089866.33333333</v>
      </c>
      <c r="P22" s="34" t="n">
        <f aca="false">SUM(D22:O22)</f>
        <v>73078396</v>
      </c>
    </row>
    <row r="23" customFormat="false" ht="15" hidden="false" customHeight="false" outlineLevel="0" collapsed="false">
      <c r="B23" s="65" t="s">
        <v>233</v>
      </c>
      <c r="D23" s="51" t="n">
        <f aca="false">((③FY2027月次推移!D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E23" s="51" t="n">
        <f aca="false">((③FY2027月次推移!E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F23" s="51" t="n">
        <f aca="false">((③FY2027月次推移!F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G23" s="51" t="n">
        <f aca="false">((③FY2027月次推移!G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H23" s="51" t="n">
        <f aca="false">((③FY2027月次推移!H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I23" s="51" t="n">
        <f aca="false">((③FY2027月次推移!I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J23" s="51" t="n">
        <f aca="false">((③FY2027月次推移!J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K23" s="51" t="n">
        <f aca="false">((③FY2027月次推移!K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L23" s="51" t="n">
        <f aca="false">((③FY2027月次推移!L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M23" s="51" t="n">
        <f aca="false">((③FY2027月次推移!M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N23" s="51" t="n">
        <f aca="false">((③FY2027月次推移!N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O23" s="51" t="n">
        <f aca="false">((③FY2027月次推移!O41-AVERAGE(④FY2026月次実績!I32:K32)-(AVERAGE(④FY2026月次実績!I11:K11)+AVERAGE(④FY2026月次実績!I12:K12)+AVERAGE(④FY2026月次実績!I13:K13)+AVERAGE(④FY2026月次実績!I14:K14))-(AVERAGE(④FY2026月次実績!I30:K30)+AVERAGE(④FY2026月次実績!I22:K22)))*(1+$C$6))+(AVERAGE(④FY2026月次実績!I30:K30)+AVERAGE(④FY2026月次実績!I22:K22))</f>
        <v>16762493.2333333</v>
      </c>
      <c r="P23" s="34" t="n">
        <f aca="false">SUM(D23:O23)</f>
        <v>201149918.8</v>
      </c>
    </row>
    <row r="24" customFormat="false" ht="15" hidden="false" customHeight="false" outlineLevel="0" collapsed="false">
      <c r="B24" s="65" t="s">
        <v>234</v>
      </c>
      <c r="D24" s="51" t="n">
        <f aca="false">③FY2027月次推移!D42*(1+$C$6)</f>
        <v>0</v>
      </c>
      <c r="E24" s="51" t="n">
        <f aca="false">③FY2027月次推移!E42*(1+$C$6)</f>
        <v>0</v>
      </c>
      <c r="F24" s="51" t="n">
        <f aca="false">③FY2027月次推移!F42*(1+$C$6)</f>
        <v>0</v>
      </c>
      <c r="G24" s="51" t="n">
        <f aca="false">③FY2027月次推移!G42*(1+$C$6)</f>
        <v>0</v>
      </c>
      <c r="H24" s="51" t="n">
        <f aca="false">③FY2027月次推移!H42*(1+$C$6)</f>
        <v>0</v>
      </c>
      <c r="I24" s="51" t="n">
        <f aca="false">③FY2027月次推移!I42*(1+$C$6)</f>
        <v>0</v>
      </c>
      <c r="J24" s="51" t="n">
        <f aca="false">③FY2027月次推移!J42*(1+$C$6)</f>
        <v>0</v>
      </c>
      <c r="K24" s="51" t="n">
        <f aca="false">③FY2027月次推移!K42*(1+$C$6)</f>
        <v>0</v>
      </c>
      <c r="L24" s="51" t="n">
        <f aca="false">③FY2027月次推移!L42*(1+$C$6)</f>
        <v>0</v>
      </c>
      <c r="M24" s="51" t="n">
        <f aca="false">③FY2027月次推移!M42*(1+$C$6)</f>
        <v>0</v>
      </c>
      <c r="N24" s="51" t="n">
        <f aca="false">③FY2027月次推移!N42*(1+$C$6)</f>
        <v>0</v>
      </c>
      <c r="O24" s="51" t="n">
        <f aca="false">③FY2027月次推移!O42*(1+$C$6)</f>
        <v>0</v>
      </c>
      <c r="P24" s="34" t="n">
        <f aca="false">SUM(D24:O24)</f>
        <v>0</v>
      </c>
    </row>
    <row r="25" customFormat="false" ht="15" hidden="false" customHeight="false" outlineLevel="0" collapsed="false">
      <c r="B25" s="65" t="s">
        <v>235</v>
      </c>
      <c r="D25" s="51" t="n">
        <f aca="false">③FY2027月次推移!D48</f>
        <v>1250000</v>
      </c>
      <c r="E25" s="51" t="n">
        <f aca="false">③FY2027月次推移!E48</f>
        <v>1250000</v>
      </c>
      <c r="F25" s="51" t="n">
        <f aca="false">③FY2027月次推移!F48</f>
        <v>1250000</v>
      </c>
      <c r="G25" s="51" t="n">
        <f aca="false">③FY2027月次推移!G48</f>
        <v>1250000</v>
      </c>
      <c r="H25" s="51" t="n">
        <f aca="false">③FY2027月次推移!H48</f>
        <v>1250000</v>
      </c>
      <c r="I25" s="51" t="n">
        <f aca="false">③FY2027月次推移!I48</f>
        <v>1250000</v>
      </c>
      <c r="J25" s="51" t="n">
        <f aca="false">③FY2027月次推移!J48</f>
        <v>1250000</v>
      </c>
      <c r="K25" s="51" t="n">
        <f aca="false">③FY2027月次推移!K48</f>
        <v>1250000</v>
      </c>
      <c r="L25" s="51" t="n">
        <f aca="false">③FY2027月次推移!L48</f>
        <v>1250000</v>
      </c>
      <c r="M25" s="51" t="n">
        <f aca="false">③FY2027月次推移!M48</f>
        <v>1250000</v>
      </c>
      <c r="N25" s="51" t="n">
        <f aca="false">③FY2027月次推移!N48</f>
        <v>1250000</v>
      </c>
      <c r="O25" s="51" t="n">
        <f aca="false">③FY2027月次推移!O48</f>
        <v>1250000</v>
      </c>
      <c r="P25" s="34" t="n">
        <f aca="false">SUM(D25:O25)</f>
        <v>15000000</v>
      </c>
    </row>
    <row r="26" customFormat="false" ht="15" hidden="false" customHeight="false" outlineLevel="0" collapsed="false">
      <c r="B26" s="6" t="s">
        <v>236</v>
      </c>
      <c r="D26" s="45" t="n">
        <v>0</v>
      </c>
      <c r="E26" s="45" t="n">
        <v>30000000</v>
      </c>
      <c r="F26" s="45" t="n">
        <v>0</v>
      </c>
      <c r="G26" s="45" t="n">
        <v>0</v>
      </c>
      <c r="H26" s="45" t="n">
        <v>0</v>
      </c>
      <c r="I26" s="45" t="n">
        <v>0</v>
      </c>
      <c r="J26" s="45" t="n">
        <v>0</v>
      </c>
      <c r="K26" s="45" t="n">
        <v>5000000</v>
      </c>
      <c r="L26" s="45" t="n">
        <v>0</v>
      </c>
      <c r="M26" s="45" t="n">
        <v>0</v>
      </c>
      <c r="N26" s="45" t="n">
        <v>0</v>
      </c>
      <c r="O26" s="45" t="n">
        <v>0</v>
      </c>
      <c r="P26" s="34" t="n">
        <f aca="false">SUM(D26:O26)</f>
        <v>35000000</v>
      </c>
      <c r="Q26" s="43" t="s">
        <v>237</v>
      </c>
    </row>
    <row r="27" customFormat="false" ht="15" hidden="false" customHeight="false" outlineLevel="0" collapsed="false">
      <c r="B27" s="6" t="s">
        <v>238</v>
      </c>
      <c r="D27" s="45" t="n">
        <v>0</v>
      </c>
      <c r="E27" s="45" t="n">
        <v>463105</v>
      </c>
      <c r="F27" s="45" t="n">
        <v>0</v>
      </c>
      <c r="G27" s="45" t="n">
        <v>0</v>
      </c>
      <c r="H27" s="45" t="n">
        <v>0</v>
      </c>
      <c r="I27" s="45" t="n">
        <v>0</v>
      </c>
      <c r="J27" s="45" t="n">
        <v>0</v>
      </c>
      <c r="K27" s="45" t="n">
        <v>0</v>
      </c>
      <c r="L27" s="45" t="n">
        <v>0</v>
      </c>
      <c r="M27" s="45" t="n">
        <v>0</v>
      </c>
      <c r="N27" s="45" t="n">
        <v>0</v>
      </c>
      <c r="O27" s="45" t="n">
        <v>0</v>
      </c>
      <c r="P27" s="34" t="n">
        <f aca="false">SUM(D27:O27)</f>
        <v>463105</v>
      </c>
    </row>
    <row r="28" customFormat="false" ht="15" hidden="false" customHeight="false" outlineLevel="0" collapsed="false">
      <c r="B28" s="11" t="s">
        <v>239</v>
      </c>
      <c r="D28" s="12" t="n">
        <f aca="false">SUM(D21:D27)</f>
        <v>41385086.5666667</v>
      </c>
      <c r="E28" s="12" t="n">
        <f aca="false">SUM(E21:E27)</f>
        <v>71848191.5666667</v>
      </c>
      <c r="F28" s="12" t="n">
        <f aca="false">SUM(F21:F27)</f>
        <v>41385086.5666667</v>
      </c>
      <c r="G28" s="12" t="n">
        <f aca="false">SUM(G21:G27)</f>
        <v>41385086.5666667</v>
      </c>
      <c r="H28" s="12" t="n">
        <f aca="false">SUM(H21:H27)</f>
        <v>41385086.5666667</v>
      </c>
      <c r="I28" s="12" t="n">
        <f aca="false">SUM(I21:I27)</f>
        <v>41385086.5666667</v>
      </c>
      <c r="J28" s="12" t="n">
        <f aca="false">SUM(J21:J27)</f>
        <v>41385086.5666667</v>
      </c>
      <c r="K28" s="12" t="n">
        <f aca="false">SUM(K21:K27)</f>
        <v>46385086.5666667</v>
      </c>
      <c r="L28" s="12" t="n">
        <f aca="false">SUM(L21:L27)</f>
        <v>41385086.5666667</v>
      </c>
      <c r="M28" s="12" t="n">
        <f aca="false">SUM(M21:M27)</f>
        <v>41385086.5666667</v>
      </c>
      <c r="N28" s="12" t="n">
        <f aca="false">SUM(N21:N27)</f>
        <v>41385086.5666667</v>
      </c>
      <c r="O28" s="12" t="n">
        <f aca="false">SUM(O21:O27)</f>
        <v>41385086.5666667</v>
      </c>
      <c r="P28" s="12" t="n">
        <f aca="false">SUM(D28:O28)</f>
        <v>532084143.8</v>
      </c>
    </row>
    <row r="29" customFormat="false" ht="15" hidden="false" customHeight="false" outlineLevel="0" collapsed="false">
      <c r="B29" s="15" t="s">
        <v>240</v>
      </c>
      <c r="D29" s="16" t="n">
        <f aca="false">D18-D28</f>
        <v>222765317.166667</v>
      </c>
      <c r="E29" s="16" t="n">
        <f aca="false">E18-E28</f>
        <v>-27697787.8333333</v>
      </c>
      <c r="F29" s="16" t="n">
        <f aca="false">F18-F28</f>
        <v>2765317.16666666</v>
      </c>
      <c r="G29" s="16" t="n">
        <f aca="false">G18-G28</f>
        <v>2765317.16666666</v>
      </c>
      <c r="H29" s="16" t="n">
        <f aca="false">H18-H28</f>
        <v>2765317.16666666</v>
      </c>
      <c r="I29" s="16" t="n">
        <f aca="false">I18-I28</f>
        <v>24765317.1666667</v>
      </c>
      <c r="J29" s="16" t="n">
        <f aca="false">J18-J28</f>
        <v>2765317.16666666</v>
      </c>
      <c r="K29" s="16" t="n">
        <f aca="false">K18-K28</f>
        <v>-2234682.83333334</v>
      </c>
      <c r="L29" s="16" t="n">
        <f aca="false">L18-L28</f>
        <v>2765317.16666666</v>
      </c>
      <c r="M29" s="16" t="n">
        <f aca="false">M18-M28</f>
        <v>2765317.16666666</v>
      </c>
      <c r="N29" s="16" t="n">
        <f aca="false">N18-N28</f>
        <v>2765317.16666666</v>
      </c>
      <c r="O29" s="16" t="n">
        <f aca="false">O18-O28</f>
        <v>2765317.16666666</v>
      </c>
      <c r="P29" s="16" t="n">
        <f aca="false">SUM(D29:O29)</f>
        <v>239720701</v>
      </c>
    </row>
    <row r="31" customFormat="false" ht="15" hidden="false" customHeight="false" outlineLevel="0" collapsed="false">
      <c r="B31" s="36" t="s">
        <v>241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</row>
    <row r="32" customFormat="false" ht="15" hidden="false" customHeight="false" outlineLevel="0" collapsed="false">
      <c r="B32" s="65" t="s">
        <v>242</v>
      </c>
      <c r="D32" s="51" t="n">
        <f aca="false">-$C$9</f>
        <v>-2662179</v>
      </c>
      <c r="E32" s="51" t="n">
        <f aca="false">-$C$9</f>
        <v>-2662179</v>
      </c>
      <c r="F32" s="51" t="n">
        <f aca="false">-$C$9</f>
        <v>-2662179</v>
      </c>
      <c r="G32" s="51" t="n">
        <f aca="false">-$C$9</f>
        <v>-2662179</v>
      </c>
      <c r="H32" s="51" t="n">
        <f aca="false">-$C$9</f>
        <v>-2662179</v>
      </c>
      <c r="I32" s="51" t="n">
        <f aca="false">-$C$9</f>
        <v>-2662179</v>
      </c>
      <c r="J32" s="51" t="n">
        <f aca="false">-$C$9</f>
        <v>-2662179</v>
      </c>
      <c r="K32" s="51" t="n">
        <f aca="false">-$C$9</f>
        <v>-2662179</v>
      </c>
      <c r="L32" s="51" t="n">
        <f aca="false">-$C$9</f>
        <v>-2662179</v>
      </c>
      <c r="M32" s="51" t="n">
        <f aca="false">-$C$9</f>
        <v>-2662179</v>
      </c>
      <c r="N32" s="51" t="n">
        <f aca="false">-$C$9</f>
        <v>-2662179</v>
      </c>
      <c r="O32" s="51" t="n">
        <f aca="false">-$C$9</f>
        <v>-2662179</v>
      </c>
      <c r="P32" s="34" t="n">
        <f aca="false">SUM(D32:O32)</f>
        <v>-31946148</v>
      </c>
    </row>
    <row r="33" customFormat="false" ht="15" hidden="false" customHeight="false" outlineLevel="0" collapsed="false">
      <c r="B33" s="65" t="s">
        <v>243</v>
      </c>
      <c r="D33" s="51" t="n">
        <f aca="false">$C$10</f>
        <v>0</v>
      </c>
      <c r="E33" s="51" t="n">
        <f aca="false">$C$10</f>
        <v>0</v>
      </c>
      <c r="F33" s="51" t="n">
        <f aca="false">$C$10</f>
        <v>0</v>
      </c>
      <c r="G33" s="51" t="n">
        <f aca="false">$C$10</f>
        <v>0</v>
      </c>
      <c r="H33" s="51" t="n">
        <f aca="false">$C$10</f>
        <v>0</v>
      </c>
      <c r="I33" s="51" t="n">
        <f aca="false">$C$10</f>
        <v>0</v>
      </c>
      <c r="J33" s="51" t="n">
        <f aca="false">$C$10</f>
        <v>0</v>
      </c>
      <c r="K33" s="51" t="n">
        <f aca="false">$C$10</f>
        <v>0</v>
      </c>
      <c r="L33" s="51" t="n">
        <f aca="false">$C$10</f>
        <v>0</v>
      </c>
      <c r="M33" s="51" t="n">
        <f aca="false">$C$10</f>
        <v>0</v>
      </c>
      <c r="N33" s="51" t="n">
        <f aca="false">$C$10</f>
        <v>0</v>
      </c>
      <c r="O33" s="51" t="n">
        <f aca="false">$C$10</f>
        <v>0</v>
      </c>
      <c r="P33" s="34" t="n">
        <f aca="false">SUM(D33:O33)</f>
        <v>0</v>
      </c>
    </row>
    <row r="34" customFormat="false" ht="15" hidden="false" customHeight="false" outlineLevel="0" collapsed="false">
      <c r="B34" s="6" t="s">
        <v>244</v>
      </c>
      <c r="D34" s="45" t="n">
        <v>0</v>
      </c>
      <c r="E34" s="45" t="n">
        <v>0</v>
      </c>
      <c r="F34" s="45" t="n">
        <v>0</v>
      </c>
      <c r="G34" s="45" t="n">
        <v>0</v>
      </c>
      <c r="H34" s="45" t="n">
        <v>0</v>
      </c>
      <c r="I34" s="45" t="n">
        <v>0</v>
      </c>
      <c r="J34" s="45" t="n">
        <v>0</v>
      </c>
      <c r="K34" s="45" t="n">
        <v>0</v>
      </c>
      <c r="L34" s="45" t="n">
        <v>0</v>
      </c>
      <c r="M34" s="45" t="n">
        <v>0</v>
      </c>
      <c r="N34" s="45" t="n">
        <v>0</v>
      </c>
      <c r="O34" s="45" t="n">
        <v>0</v>
      </c>
      <c r="P34" s="34" t="n">
        <f aca="false">SUM(D34:O34)</f>
        <v>0</v>
      </c>
    </row>
    <row r="35" customFormat="false" ht="15" hidden="false" customHeight="false" outlineLevel="0" collapsed="false">
      <c r="B35" s="65" t="s">
        <v>245</v>
      </c>
      <c r="D35" s="51" t="n">
        <f aca="false">③FY2027月次推移!D47</f>
        <v>0</v>
      </c>
      <c r="E35" s="51" t="n">
        <f aca="false">③FY2027月次推移!E47</f>
        <v>0</v>
      </c>
      <c r="F35" s="51" t="n">
        <f aca="false">③FY2027月次推移!F47</f>
        <v>0</v>
      </c>
      <c r="G35" s="51" t="n">
        <f aca="false">③FY2027月次推移!G47</f>
        <v>0</v>
      </c>
      <c r="H35" s="51" t="n">
        <f aca="false">③FY2027月次推移!H47</f>
        <v>0</v>
      </c>
      <c r="I35" s="51" t="n">
        <f aca="false">③FY2027月次推移!I47</f>
        <v>20000000</v>
      </c>
      <c r="J35" s="51" t="n">
        <f aca="false">③FY2027月次推移!J47</f>
        <v>0</v>
      </c>
      <c r="K35" s="51" t="n">
        <f aca="false">③FY2027月次推移!K47</f>
        <v>0</v>
      </c>
      <c r="L35" s="51" t="n">
        <f aca="false">③FY2027月次推移!L47</f>
        <v>0</v>
      </c>
      <c r="M35" s="51" t="n">
        <f aca="false">③FY2027月次推移!M47</f>
        <v>0</v>
      </c>
      <c r="N35" s="51" t="n">
        <f aca="false">③FY2027月次推移!N47</f>
        <v>0</v>
      </c>
      <c r="O35" s="51" t="n">
        <f aca="false">③FY2027月次推移!O47</f>
        <v>0</v>
      </c>
      <c r="P35" s="34" t="n">
        <f aca="false">SUM(D35:O35)</f>
        <v>20000000</v>
      </c>
    </row>
    <row r="36" customFormat="false" ht="15" hidden="false" customHeight="false" outlineLevel="0" collapsed="false">
      <c r="B36" s="6" t="s">
        <v>246</v>
      </c>
      <c r="D36" s="45" t="n">
        <v>-200000000</v>
      </c>
      <c r="E36" s="45" t="n">
        <v>0</v>
      </c>
      <c r="F36" s="45" t="n">
        <v>0</v>
      </c>
      <c r="G36" s="45" t="n">
        <v>0</v>
      </c>
      <c r="H36" s="45" t="n">
        <v>0</v>
      </c>
      <c r="I36" s="45" t="n">
        <v>0</v>
      </c>
      <c r="J36" s="45" t="n">
        <v>0</v>
      </c>
      <c r="K36" s="45" t="n">
        <v>0</v>
      </c>
      <c r="L36" s="45" t="n">
        <v>0</v>
      </c>
      <c r="M36" s="45" t="n">
        <v>0</v>
      </c>
      <c r="N36" s="45" t="n">
        <v>0</v>
      </c>
      <c r="O36" s="45" t="n">
        <v>0</v>
      </c>
      <c r="P36" s="34" t="n">
        <f aca="false">SUM(D36:O36)</f>
        <v>-200000000</v>
      </c>
      <c r="Q36" s="30" t="s">
        <v>247</v>
      </c>
    </row>
    <row r="37" customFormat="false" ht="15" hidden="false" customHeight="false" outlineLevel="0" collapsed="false">
      <c r="B37" s="11" t="s">
        <v>248</v>
      </c>
      <c r="D37" s="12" t="n">
        <f aca="false">SUM(D32:D36)</f>
        <v>-202662179</v>
      </c>
      <c r="E37" s="12" t="n">
        <f aca="false">SUM(E32:E36)</f>
        <v>-2662179</v>
      </c>
      <c r="F37" s="12" t="n">
        <f aca="false">SUM(F32:F36)</f>
        <v>-2662179</v>
      </c>
      <c r="G37" s="12" t="n">
        <f aca="false">SUM(G32:G36)</f>
        <v>-2662179</v>
      </c>
      <c r="H37" s="12" t="n">
        <f aca="false">SUM(H32:H36)</f>
        <v>-2662179</v>
      </c>
      <c r="I37" s="12" t="n">
        <f aca="false">SUM(I32:I36)</f>
        <v>17337821</v>
      </c>
      <c r="J37" s="12" t="n">
        <f aca="false">SUM(J32:J36)</f>
        <v>-2662179</v>
      </c>
      <c r="K37" s="12" t="n">
        <f aca="false">SUM(K32:K36)</f>
        <v>-2662179</v>
      </c>
      <c r="L37" s="12" t="n">
        <f aca="false">SUM(L32:L36)</f>
        <v>-2662179</v>
      </c>
      <c r="M37" s="12" t="n">
        <f aca="false">SUM(M32:M36)</f>
        <v>-2662179</v>
      </c>
      <c r="N37" s="12" t="n">
        <f aca="false">SUM(N32:N36)</f>
        <v>-2662179</v>
      </c>
      <c r="O37" s="12" t="n">
        <f aca="false">SUM(O32:O36)</f>
        <v>-2662179</v>
      </c>
      <c r="P37" s="12" t="n">
        <f aca="false">SUM(D37:O37)</f>
        <v>-211946148</v>
      </c>
    </row>
    <row r="39" customFormat="false" ht="15" hidden="false" customHeight="false" outlineLevel="0" collapsed="false">
      <c r="B39" s="11" t="s">
        <v>249</v>
      </c>
      <c r="D39" s="12" t="n">
        <f aca="false">D29+D37</f>
        <v>20103138.1666667</v>
      </c>
      <c r="E39" s="12" t="n">
        <f aca="false">E29+E37</f>
        <v>-30359966.8333333</v>
      </c>
      <c r="F39" s="12" t="n">
        <f aca="false">F29+F37</f>
        <v>103138.166666664</v>
      </c>
      <c r="G39" s="12" t="n">
        <f aca="false">G29+G37</f>
        <v>103138.166666664</v>
      </c>
      <c r="H39" s="12" t="n">
        <f aca="false">H29+H37</f>
        <v>103138.166666664</v>
      </c>
      <c r="I39" s="12" t="n">
        <f aca="false">I29+I37</f>
        <v>42103138.1666667</v>
      </c>
      <c r="J39" s="12" t="n">
        <f aca="false">J29+J37</f>
        <v>103138.166666664</v>
      </c>
      <c r="K39" s="12" t="n">
        <f aca="false">K29+K37</f>
        <v>-4896861.83333334</v>
      </c>
      <c r="L39" s="12" t="n">
        <f aca="false">L29+L37</f>
        <v>103138.166666664</v>
      </c>
      <c r="M39" s="12" t="n">
        <f aca="false">M29+M37</f>
        <v>103138.166666664</v>
      </c>
      <c r="N39" s="12" t="n">
        <f aca="false">N29+N37</f>
        <v>103138.166666664</v>
      </c>
      <c r="O39" s="12" t="n">
        <f aca="false">O29+O37</f>
        <v>103138.166666664</v>
      </c>
      <c r="P39" s="12" t="n">
        <f aca="false">SUM(D39:O39)</f>
        <v>27774553</v>
      </c>
    </row>
    <row r="40" customFormat="false" ht="15" hidden="false" customHeight="false" outlineLevel="0" collapsed="false">
      <c r="B40" s="6" t="s">
        <v>250</v>
      </c>
      <c r="D40" s="8" t="n">
        <f aca="false">$C$5</f>
        <v>24390278</v>
      </c>
      <c r="E40" s="8" t="n">
        <f aca="false">D41</f>
        <v>44493416.1666667</v>
      </c>
      <c r="F40" s="8" t="n">
        <f aca="false">E41</f>
        <v>14133449.3333334</v>
      </c>
      <c r="G40" s="8" t="n">
        <f aca="false">F41</f>
        <v>14236587.5</v>
      </c>
      <c r="H40" s="8" t="n">
        <f aca="false">G41</f>
        <v>14339725.6666667</v>
      </c>
      <c r="I40" s="8" t="n">
        <f aca="false">H41</f>
        <v>14442863.8333334</v>
      </c>
      <c r="J40" s="8" t="n">
        <f aca="false">I41</f>
        <v>56546002</v>
      </c>
      <c r="K40" s="8" t="n">
        <f aca="false">J41</f>
        <v>56649140.1666667</v>
      </c>
      <c r="L40" s="8" t="n">
        <f aca="false">K41</f>
        <v>51752278.3333333</v>
      </c>
      <c r="M40" s="8" t="n">
        <f aca="false">L41</f>
        <v>51855416.5</v>
      </c>
      <c r="N40" s="8" t="n">
        <f aca="false">M41</f>
        <v>51958554.6666667</v>
      </c>
      <c r="O40" s="8" t="n">
        <f aca="false">N41</f>
        <v>52061692.8333333</v>
      </c>
    </row>
    <row r="41" customFormat="false" ht="15" hidden="false" customHeight="false" outlineLevel="0" collapsed="false">
      <c r="B41" s="18" t="s">
        <v>251</v>
      </c>
      <c r="D41" s="19" t="n">
        <f aca="false">D40+D39</f>
        <v>44493416.1666667</v>
      </c>
      <c r="E41" s="19" t="n">
        <f aca="false">E40+E39</f>
        <v>14133449.3333334</v>
      </c>
      <c r="F41" s="19" t="n">
        <f aca="false">F40+F39</f>
        <v>14236587.5</v>
      </c>
      <c r="G41" s="19" t="n">
        <f aca="false">G40+G39</f>
        <v>14339725.6666667</v>
      </c>
      <c r="H41" s="19" t="n">
        <f aca="false">H40+H39</f>
        <v>14442863.8333334</v>
      </c>
      <c r="I41" s="19" t="n">
        <f aca="false">I40+I39</f>
        <v>56546002</v>
      </c>
      <c r="J41" s="19" t="n">
        <f aca="false">J40+J39</f>
        <v>56649140.1666667</v>
      </c>
      <c r="K41" s="19" t="n">
        <f aca="false">K40+K39</f>
        <v>51752278.3333333</v>
      </c>
      <c r="L41" s="19" t="n">
        <f aca="false">L40+L39</f>
        <v>51855416.5</v>
      </c>
      <c r="M41" s="19" t="n">
        <f aca="false">M40+M39</f>
        <v>51958554.6666667</v>
      </c>
      <c r="N41" s="19" t="n">
        <f aca="false">N40+N39</f>
        <v>52061692.8333333</v>
      </c>
      <c r="O41" s="19" t="n">
        <f aca="false">O40+O39</f>
        <v>52164831</v>
      </c>
      <c r="P41" s="52" t="n">
        <f aca="false">O41</f>
        <v>52164831</v>
      </c>
    </row>
    <row r="42" customFormat="false" ht="15" hidden="false" customHeight="false" outlineLevel="0" collapsed="false">
      <c r="B42" s="66" t="s">
        <v>252</v>
      </c>
      <c r="D42" s="67" t="n">
        <f aca="false">IF(D41&lt;0,D41,0)</f>
        <v>0</v>
      </c>
      <c r="E42" s="67" t="n">
        <f aca="false">IF(E41&lt;0,E41,0)</f>
        <v>0</v>
      </c>
      <c r="F42" s="67" t="n">
        <f aca="false">IF(F41&lt;0,F41,0)</f>
        <v>0</v>
      </c>
      <c r="G42" s="67" t="n">
        <f aca="false">IF(G41&lt;0,G41,0)</f>
        <v>0</v>
      </c>
      <c r="H42" s="67" t="n">
        <f aca="false">IF(H41&lt;0,H41,0)</f>
        <v>0</v>
      </c>
      <c r="I42" s="67" t="n">
        <f aca="false">IF(I41&lt;0,I41,0)</f>
        <v>0</v>
      </c>
      <c r="J42" s="67" t="n">
        <f aca="false">IF(J41&lt;0,J41,0)</f>
        <v>0</v>
      </c>
      <c r="K42" s="67" t="n">
        <f aca="false">IF(K41&lt;0,K41,0)</f>
        <v>0</v>
      </c>
      <c r="L42" s="67" t="n">
        <f aca="false">IF(L41&lt;0,L41,0)</f>
        <v>0</v>
      </c>
      <c r="M42" s="67" t="n">
        <f aca="false">IF(M41&lt;0,M41,0)</f>
        <v>0</v>
      </c>
      <c r="N42" s="67" t="n">
        <f aca="false">IF(N41&lt;0,N41,0)</f>
        <v>0</v>
      </c>
      <c r="O42" s="67" t="n">
        <f aca="false">IF(O41&lt;0,O41,0)</f>
        <v>0</v>
      </c>
      <c r="P42" s="67" t="n">
        <f aca="false">MIN(D42:O42)</f>
        <v>0</v>
      </c>
      <c r="Q42" s="30" t="s">
        <v>253</v>
      </c>
    </row>
    <row r="44" customFormat="false" ht="15" hidden="false" customHeight="false" outlineLevel="0" collapsed="false">
      <c r="B44" s="3" t="s">
        <v>254</v>
      </c>
    </row>
    <row r="45" customFormat="false" ht="15" hidden="false" customHeight="false" outlineLevel="0" collapsed="false">
      <c r="B45" s="3" t="s">
        <v>255</v>
      </c>
    </row>
    <row r="46" customFormat="false" ht="15" hidden="false" customHeight="false" outlineLevel="0" collapsed="false">
      <c r="B46" s="3" t="s">
        <v>256</v>
      </c>
    </row>
    <row r="47" customFormat="false" ht="15" hidden="false" customHeight="false" outlineLevel="0" collapsed="false">
      <c r="B47" s="30" t="s">
        <v>257</v>
      </c>
    </row>
    <row r="48" customFormat="false" ht="15" hidden="false" customHeight="false" outlineLevel="0" collapsed="false">
      <c r="B48" s="30" t="s">
        <v>258</v>
      </c>
    </row>
    <row r="50" customFormat="false" ht="15" hidden="false" customHeight="false" outlineLevel="0" collapsed="false">
      <c r="B50" s="39" t="s">
        <v>259</v>
      </c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</row>
    <row r="51" customFormat="false" ht="15" hidden="false" customHeight="false" outlineLevel="0" collapsed="false">
      <c r="B51" s="22" t="s">
        <v>260</v>
      </c>
      <c r="C51" s="23" t="s">
        <v>261</v>
      </c>
      <c r="D51" s="23" t="s">
        <v>262</v>
      </c>
      <c r="E51" s="23" t="s">
        <v>263</v>
      </c>
      <c r="F51" s="22" t="s">
        <v>264</v>
      </c>
    </row>
    <row r="52" customFormat="false" ht="15" hidden="false" customHeight="false" outlineLevel="0" collapsed="false">
      <c r="B52" s="53" t="s">
        <v>265</v>
      </c>
      <c r="C52" s="34" t="n">
        <f aca="false">O41</f>
        <v>52164831</v>
      </c>
      <c r="D52" s="34" t="n">
        <f aca="false">MIN(D41:O41)</f>
        <v>14133449.3333334</v>
      </c>
      <c r="E52" s="24" t="n">
        <f aca="false">IF(C52&lt;0,-MIN(C52,D52)+$C$56,MAX(0,-D52+$C$56))</f>
        <v>21537787.7333333</v>
      </c>
      <c r="F52" s="3" t="s">
        <v>266</v>
      </c>
    </row>
    <row r="53" customFormat="false" ht="15" hidden="false" customHeight="false" outlineLevel="0" collapsed="false">
      <c r="B53" s="68" t="s">
        <v>267</v>
      </c>
      <c r="C53" s="67" t="n">
        <f aca="false">C52-(P16+P35)</f>
        <v>10164831</v>
      </c>
      <c r="D53" s="67" t="n">
        <f aca="false">D52-(P16+P35)</f>
        <v>-27866550.6666666</v>
      </c>
      <c r="E53" s="24" t="n">
        <f aca="false">IF(C53&lt;0,-MIN(C53,D53)+$C$56,MAX(0,-D53+$C$56))</f>
        <v>63537787.7333333</v>
      </c>
      <c r="F53" s="3" t="s">
        <v>268</v>
      </c>
    </row>
    <row r="54" customFormat="false" ht="15" hidden="false" customHeight="false" outlineLevel="0" collapsed="false">
      <c r="B54" s="68" t="s">
        <v>269</v>
      </c>
      <c r="C54" s="67" t="n">
        <f aca="false">C52-23333333*(1+$C$6)*12</f>
        <v>-255835164.6</v>
      </c>
      <c r="D54" s="67" t="n">
        <f aca="false">D52-23333333*(1+$C$6)*12</f>
        <v>-293866546.266667</v>
      </c>
      <c r="E54" s="24" t="n">
        <f aca="false">IF(C54&lt;0,-MIN(C54,D54)+$C$56,MAX(0,-D54+$C$56))</f>
        <v>329537783.333333</v>
      </c>
      <c r="F54" s="3" t="s">
        <v>270</v>
      </c>
    </row>
    <row r="55" customFormat="false" ht="15" hidden="false" customHeight="false" outlineLevel="0" collapsed="false">
      <c r="B55" s="68" t="s">
        <v>271</v>
      </c>
      <c r="C55" s="67" t="n">
        <f aca="false">C52-(5043131-$C$9)*12</f>
        <v>23593407</v>
      </c>
      <c r="D55" s="67" t="n">
        <f aca="false">D52-(5043131-$C$9)*12</f>
        <v>-14437974.6666666</v>
      </c>
      <c r="E55" s="24" t="n">
        <f aca="false">IF(C55&lt;0,-MIN(C55,D55)+$C$56,MAX(0,-D55+$C$56))</f>
        <v>50109211.7333333</v>
      </c>
      <c r="F55" s="3" t="s">
        <v>272</v>
      </c>
    </row>
    <row r="56" customFormat="false" ht="15" hidden="false" customHeight="false" outlineLevel="0" collapsed="false">
      <c r="B56" s="6" t="s">
        <v>273</v>
      </c>
      <c r="C56" s="51" t="n">
        <f aca="false">③FY2027月次推移!$C$6*(1+$C$6)</f>
        <v>35671237.0666667</v>
      </c>
      <c r="F56" s="3" t="s">
        <v>274</v>
      </c>
    </row>
    <row r="58" customFormat="false" ht="15" hidden="false" customHeight="false" outlineLevel="0" collapsed="false">
      <c r="B58" s="30" t="s">
        <v>275</v>
      </c>
    </row>
    <row r="59" customFormat="false" ht="15" hidden="false" customHeight="false" outlineLevel="0" collapsed="false">
      <c r="B59" s="30" t="s">
        <v>276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2026-08-22T07:11:25Z</dcterms:created>
  <dc:creator>openpyxl</dc:creator>
  <dc:description/>
  <dc:language>en-US</dc:language>
  <cp:lastModifiedBy/>
  <dcterms:modified xsi:type="dcterms:W3CDTF">2026-08-22T07:11:28Z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