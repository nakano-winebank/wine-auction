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サマリー" sheetId="1" state="visible" r:id="rId3"/>
    <sheet name="②前提" sheetId="2" state="visible" r:id="rId4"/>
    <sheet name="③FY2027月次" sheetId="3" state="visible" r:id="rId5"/>
    <sheet name="④FY2026月次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<sst xmlns="http://schemas.openxmlformats.org/spreadsheetml/2006/main" count="159" uniqueCount="126">
  <si>
    <r>
      <rPr>
        <b val="true"/>
        <sz val="15"/>
        <rFont val="Arial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（</t>
    </r>
    <r>
      <rPr>
        <b val="true"/>
        <sz val="15"/>
        <rFont val="Arial"/>
        <family val="0"/>
        <charset val="1"/>
      </rPr>
      <t xml:space="preserve">2027</t>
    </r>
    <r>
      <rPr>
        <b val="true"/>
        <sz val="15"/>
        <rFont val="WenQuanYi Zen Hei"/>
        <family val="2"/>
      </rPr>
      <t xml:space="preserve">年</t>
    </r>
    <r>
      <rPr>
        <b val="true"/>
        <sz val="15"/>
        <rFont val="Arial"/>
        <family val="0"/>
        <charset val="1"/>
      </rPr>
      <t xml:space="preserve">9</t>
    </r>
    <r>
      <rPr>
        <b val="true"/>
        <sz val="15"/>
        <rFont val="WenQuanYi Zen Hei"/>
        <family val="2"/>
      </rPr>
      <t xml:space="preserve">月期）利益予測　シナリオ比較</t>
    </r>
  </si>
  <si>
    <r>
      <rPr>
        <sz val="10"/>
        <color rgb="FF595959"/>
        <rFont val="WenQuanYi Zen Hei"/>
        <family val="2"/>
      </rPr>
      <t xml:space="preserve">直近</t>
    </r>
    <r>
      <rPr>
        <sz val="10"/>
        <color rgb="FF595959"/>
        <rFont val="Arial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か月を横ばい延伸 ＋ 上乗せ案件</t>
    </r>
    <r>
      <rPr>
        <sz val="10"/>
        <color rgb="FF595959"/>
        <rFont val="Arial"/>
        <family val="0"/>
        <charset val="1"/>
      </rPr>
      <t xml:space="preserve">132.5</t>
    </r>
    <r>
      <rPr>
        <sz val="10"/>
        <color rgb="FF595959"/>
        <rFont val="WenQuanYi Zen Hei"/>
        <family val="2"/>
      </rPr>
      <t xml:space="preserve">百万円</t>
    </r>
  </si>
  <si>
    <r>
      <rPr>
        <sz val="9"/>
        <color rgb="FF595959"/>
        <rFont val="WenQuanYi Zen Hei"/>
        <family val="2"/>
      </rPr>
      <t xml:space="preserve">作成日 </t>
    </r>
    <r>
      <rPr>
        <sz val="9"/>
        <color rgb="FF595959"/>
        <rFont val="Arial"/>
        <family val="0"/>
        <charset val="1"/>
      </rPr>
      <t xml:space="preserve">2026/08/21</t>
    </r>
    <r>
      <rPr>
        <sz val="9"/>
        <color rgb="FF595959"/>
        <rFont val="WenQuanYi Zen Hei"/>
        <family val="2"/>
      </rPr>
      <t xml:space="preserve">　単位：円（税別）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（銀行様）月次／決算報告書 第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WenQuanYi Zen Hei"/>
        <family val="2"/>
      </rPr>
      <t xml:space="preserve">期</t>
    </r>
  </si>
  <si>
    <t xml:space="preserve">科目</t>
  </si>
  <si>
    <r>
      <rPr>
        <b val="true"/>
        <sz val="11"/>
        <color rgb="FFFFFFFF"/>
        <rFont val="Arial"/>
        <family val="0"/>
        <charset val="1"/>
      </rPr>
      <t xml:space="preserve">FY2026 </t>
    </r>
    <r>
      <rPr>
        <b val="true"/>
        <sz val="11"/>
        <color rgb="FFFFFFFF"/>
        <rFont val="WenQuanYi Zen Hei"/>
        <family val="2"/>
      </rPr>
      <t xml:space="preserve">見込
（現行計画）</t>
    </r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</si>
  <si>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WenQuanYi Zen Hei"/>
        <family val="2"/>
      </rPr>
      <t xml:space="preserve">実績横ばい
上乗せなし</t>
    </r>
  </si>
  <si>
    <r>
      <rPr>
        <b val="true"/>
        <sz val="11"/>
        <color rgb="FFFFFFFF"/>
        <rFont val="Arial"/>
        <family val="0"/>
        <charset val="1"/>
      </rPr>
      <t xml:space="preserve">B. </t>
    </r>
    <r>
      <rPr>
        <b val="true"/>
        <sz val="11"/>
        <color rgb="FFFFFFFF"/>
        <rFont val="WenQuanYi Zen Hei"/>
        <family val="2"/>
      </rPr>
      <t xml:space="preserve">実績横ばい
＋</t>
    </r>
    <r>
      <rPr>
        <b val="true"/>
        <sz val="11"/>
        <color rgb="FFFFFFFF"/>
        <rFont val="Arial"/>
        <family val="0"/>
        <charset val="1"/>
      </rPr>
      <t xml:space="preserve">132.5</t>
    </r>
    <r>
      <rPr>
        <b val="true"/>
        <sz val="11"/>
        <color rgb="FFFFFFFF"/>
        <rFont val="WenQuanYi Zen Hei"/>
        <family val="2"/>
      </rPr>
      <t xml:space="preserve">百万円</t>
    </r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</si>
  <si>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WenQuanYi Zen Hei"/>
        <family val="2"/>
      </rPr>
      <t xml:space="preserve">見込横ばい
＋</t>
    </r>
    <r>
      <rPr>
        <b val="true"/>
        <sz val="11"/>
        <color rgb="FFFFFFFF"/>
        <rFont val="Arial"/>
        <family val="0"/>
        <charset val="1"/>
      </rPr>
      <t xml:space="preserve">132.5</t>
    </r>
    <r>
      <rPr>
        <b val="true"/>
        <sz val="11"/>
        <color rgb="FFFFFFFF"/>
        <rFont val="WenQuanYi Zen Hei"/>
        <family val="2"/>
      </rPr>
      <t xml:space="preserve">百万円</t>
    </r>
  </si>
  <si>
    <r>
      <rPr>
        <b val="true"/>
        <sz val="11"/>
        <color rgb="FFFFFFFF"/>
        <rFont val="Arial"/>
        <family val="0"/>
        <charset val="1"/>
      </rPr>
      <t xml:space="preserve">D. </t>
    </r>
    <r>
      <rPr>
        <b val="true"/>
        <sz val="11"/>
        <color rgb="FFFFFFFF"/>
        <rFont val="WenQuanYi Zen Hei"/>
        <family val="2"/>
      </rPr>
      <t xml:space="preserve">営業利益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億円
（</t>
    </r>
    <r>
      <rPr>
        <b val="true"/>
        <sz val="11"/>
        <color rgb="FFFFFFFF"/>
        <rFont val="Arial"/>
        <family val="0"/>
        <charset val="1"/>
      </rPr>
      <t xml:space="preserve">C</t>
    </r>
    <r>
      <rPr>
        <b val="true"/>
        <sz val="11"/>
        <color rgb="FFFFFFFF"/>
        <rFont val="WenQuanYi Zen Hei"/>
        <family val="2"/>
      </rPr>
      <t xml:space="preserve">から逆算）</t>
    </r>
  </si>
  <si>
    <t xml:space="preserve">コメント</t>
  </si>
  <si>
    <t xml:space="preserve">売上（既存事業）</t>
  </si>
  <si>
    <t xml:space="preserve">売上総利益（既存事業）</t>
  </si>
  <si>
    <t xml:space="preserve">＋上乗せ案件（営業収益）</t>
  </si>
  <si>
    <r>
      <rPr>
        <sz val="9"/>
        <color rgb="FF595959"/>
        <rFont val="WenQuanYi Zen Hei"/>
        <family val="2"/>
      </rPr>
      <t xml:space="preserve">経営指導料</t>
    </r>
    <r>
      <rPr>
        <sz val="9"/>
        <color rgb="FF595959"/>
        <rFont val="Arial"/>
        <family val="0"/>
        <charset val="1"/>
      </rPr>
      <t xml:space="preserve">92.5</t>
    </r>
    <r>
      <rPr>
        <sz val="9"/>
        <color rgb="FF595959"/>
        <rFont val="WenQuanYi Zen Hei"/>
        <family val="2"/>
      </rPr>
      <t xml:space="preserve">百万＋インセンティブ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百万</t>
    </r>
  </si>
  <si>
    <t xml:space="preserve">　追加で必要な粗利</t>
  </si>
  <si>
    <r>
      <rPr>
        <sz val="9"/>
        <color rgb="FF595959"/>
        <rFont val="WenQuanYi Zen Hei"/>
        <family val="2"/>
      </rPr>
      <t xml:space="preserve">シナリオ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：目標達成に不足する粗利</t>
    </r>
  </si>
  <si>
    <t xml:space="preserve">売上総利益 合計</t>
  </si>
  <si>
    <t xml:space="preserve">販管費（既存）</t>
  </si>
  <si>
    <t xml:space="preserve">上場関連コスト</t>
  </si>
  <si>
    <t xml:space="preserve">販管費 合計</t>
  </si>
  <si>
    <t xml:space="preserve">営業利益</t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</si>
  <si>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は目標値を固定して逆算</t>
    </r>
  </si>
  <si>
    <t xml:space="preserve">営業外収益（投資売買益）</t>
  </si>
  <si>
    <t xml:space="preserve">営業外費用</t>
  </si>
  <si>
    <t xml:space="preserve">経常利益</t>
  </si>
  <si>
    <t xml:space="preserve">法人税等</t>
  </si>
  <si>
    <r>
      <rPr>
        <sz val="9"/>
        <color rgb="FF595959"/>
        <rFont val="WenQuanYi Zen Hei"/>
        <family val="2"/>
      </rPr>
      <t xml:space="preserve">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百万円により実質非課税</t>
    </r>
  </si>
  <si>
    <t xml:space="preserve">当期純利益</t>
  </si>
  <si>
    <t xml:space="preserve">【判定】</t>
  </si>
  <si>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：直近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か月の実績（</t>
    </r>
    <r>
      <rPr>
        <sz val="10"/>
        <rFont val="Arial"/>
        <family val="0"/>
        <charset val="1"/>
      </rPr>
      <t xml:space="preserve">2026/04-06</t>
    </r>
    <r>
      <rPr>
        <sz val="10"/>
        <rFont val="WenQuanYi Zen Hei"/>
        <family val="2"/>
      </rPr>
      <t xml:space="preserve">）をそのまま延ばすと、上乗せ案件なしでは営業利益は大幅赤字のまま。</t>
    </r>
  </si>
  <si>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：実績ベースに</t>
    </r>
    <r>
      <rPr>
        <sz val="10"/>
        <rFont val="Arial"/>
        <family val="0"/>
        <charset val="1"/>
      </rPr>
      <t xml:space="preserve">132.5</t>
    </r>
    <r>
      <rPr>
        <sz val="10"/>
        <rFont val="WenQuanYi Zen Hei"/>
        <family val="2"/>
      </rPr>
      <t xml:space="preserve">百万円を全部足しても、上場関連コスト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百万円を計上すると営業利益はまだ赤字。ほぼトントン。</t>
    </r>
  </si>
  <si>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2026/07</t>
    </r>
    <r>
      <rPr>
        <sz val="10"/>
        <rFont val="WenQuanYi Zen Hei"/>
        <family val="2"/>
      </rPr>
      <t xml:space="preserve">以降に計画されているコスト削減（地代家賃・業務委託費等）が実現すれば黒字化する。</t>
    </r>
  </si>
  <si>
    <r>
      <rPr>
        <sz val="10"/>
        <rFont val="WenQuanYi Zen Hei"/>
        <family val="2"/>
      </rPr>
      <t xml:space="preserve">　　→「何もしなくても</t>
    </r>
    <r>
      <rPr>
        <sz val="10"/>
        <rFont val="Arial"/>
        <family val="0"/>
        <charset val="1"/>
      </rPr>
      <t xml:space="preserve">4,000-5,000</t>
    </r>
    <r>
      <rPr>
        <sz val="10"/>
        <rFont val="WenQuanYi Zen Hei"/>
        <family val="2"/>
      </rPr>
      <t xml:space="preserve">万円黒字」が成立するのは、このコスト削減が実現し、かつ上場関連コストを計上しない場合に限られる。</t>
    </r>
  </si>
  <si>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：営業利益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億円には、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からさらに粗利の上積みが必要（</t>
    </r>
    <r>
      <rPr>
        <sz val="10"/>
        <rFont val="Arial"/>
        <family val="0"/>
        <charset val="1"/>
      </rPr>
      <t xml:space="preserve">G9</t>
    </r>
    <r>
      <rPr>
        <sz val="10"/>
        <rFont val="WenQuanYi Zen Hei"/>
        <family val="2"/>
      </rPr>
      <t xml:space="preserve">セル）。これが「プラスのことをやる」の必要量。</t>
    </r>
  </si>
  <si>
    <r>
      <rPr>
        <sz val="10"/>
        <rFont val="Arial"/>
        <family val="0"/>
        <charset val="1"/>
      </rPr>
      <t xml:space="preserve">※FY2026</t>
    </r>
    <r>
      <rPr>
        <sz val="10"/>
        <rFont val="WenQuanYi Zen Hei"/>
        <family val="2"/>
      </rPr>
      <t xml:space="preserve">見込（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列）には</t>
    </r>
    <r>
      <rPr>
        <sz val="10"/>
        <rFont val="Arial"/>
        <family val="0"/>
        <charset val="1"/>
      </rPr>
      <t xml:space="preserve">2026/09</t>
    </r>
    <r>
      <rPr>
        <sz val="10"/>
        <rFont val="WenQuanYi Zen Hei"/>
        <family val="2"/>
      </rPr>
      <t xml:space="preserve">単月に売上</t>
    </r>
    <r>
      <rPr>
        <sz val="10"/>
        <rFont val="Arial"/>
        <family val="0"/>
        <charset val="1"/>
      </rPr>
      <t xml:space="preserve">232.9</t>
    </r>
    <r>
      <rPr>
        <sz val="10"/>
        <rFont val="WenQuanYi Zen Hei"/>
        <family val="2"/>
      </rPr>
      <t xml:space="preserve">百万円（通期の</t>
    </r>
    <r>
      <rPr>
        <sz val="10"/>
        <rFont val="Arial"/>
        <family val="0"/>
        <charset val="1"/>
      </rPr>
      <t xml:space="preserve">33%</t>
    </r>
    <r>
      <rPr>
        <sz val="10"/>
        <rFont val="WenQuanYi Zen Hei"/>
        <family val="2"/>
      </rPr>
      <t xml:space="preserve">）が織り込まれている。本モデルはこれを前提に置いていないため保守的。</t>
    </r>
  </si>
  <si>
    <r>
      <rPr>
        <sz val="10"/>
        <rFont val="WenQuanYi Zen Hei"/>
        <family val="2"/>
      </rPr>
      <t xml:space="preserve">※上乗せ案件のうち約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百万円はグループ内取引。銀行は正常化調整で控除する可能性が高い。</t>
    </r>
  </si>
  <si>
    <r>
      <rPr>
        <b val="true"/>
        <sz val="14"/>
        <rFont val="WenQuanYi Zen Hei"/>
        <family val="2"/>
      </rPr>
      <t xml:space="preserve">株式会社</t>
    </r>
    <r>
      <rPr>
        <b val="true"/>
        <sz val="14"/>
        <rFont val="Arial"/>
        <family val="0"/>
        <charset val="1"/>
      </rPr>
      <t xml:space="preserve">WineBank</t>
    </r>
    <r>
      <rPr>
        <b val="true"/>
        <sz val="14"/>
        <rFont val="WenQuanYi Zen Hei"/>
        <family val="2"/>
      </rPr>
      <t xml:space="preserve">　</t>
    </r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月期）利益予測モデル　－　前提条件</t>
    </r>
  </si>
  <si>
    <t xml:space="preserve">青字＝入力セル／黄色＝主要前提／黒字＝計算式　　単位：円（税別）</t>
  </si>
  <si>
    <r>
      <rPr>
        <sz val="9"/>
        <color rgb="FF595959"/>
        <rFont val="WenQuanYi Zen Hei"/>
        <family val="2"/>
      </rPr>
      <t xml:space="preserve">作成日 </t>
    </r>
    <r>
      <rPr>
        <sz val="9"/>
        <color rgb="FF595959"/>
        <rFont val="Arial"/>
        <family val="0"/>
        <charset val="1"/>
      </rPr>
      <t xml:space="preserve">2026/08/21</t>
    </r>
    <r>
      <rPr>
        <sz val="9"/>
        <color rgb="FF595959"/>
        <rFont val="WenQuanYi Zen Hei"/>
        <family val="2"/>
      </rPr>
      <t xml:space="preserve">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（銀行様）全社シート月次、決算報告書 第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WenQuanYi Zen Hei"/>
        <family val="2"/>
      </rPr>
      <t xml:space="preserve">期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</si>
  <si>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】ベース候補①：直近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か月の「実績」（</t>
    </r>
    <r>
      <rPr>
        <b val="true"/>
        <sz val="11"/>
        <color rgb="FFFFFFFF"/>
        <rFont val="Arial"/>
        <family val="0"/>
        <charset val="1"/>
      </rPr>
      <t xml:space="preserve">2026/04-06</t>
    </r>
    <r>
      <rPr>
        <b val="true"/>
        <sz val="11"/>
        <color rgb="FFFFFFFF"/>
        <rFont val="WenQuanYi Zen Hei"/>
        <family val="2"/>
      </rPr>
      <t xml:space="preserve">）　★推奨</t>
    </r>
  </si>
  <si>
    <t xml:space="preserve">月</t>
  </si>
  <si>
    <t xml:space="preserve">売上</t>
  </si>
  <si>
    <t xml:space="preserve">売上総利益</t>
  </si>
  <si>
    <t xml:space="preserve">販管費</t>
  </si>
  <si>
    <t xml:space="preserve">2026/04</t>
  </si>
  <si>
    <t xml:space="preserve">2026/05</t>
  </si>
  <si>
    <t xml:space="preserve">2026/06</t>
  </si>
  <si>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か月合計</t>
    </r>
  </si>
  <si>
    <t xml:space="preserve">月平均（＝横ばい前提の月次ベース）</t>
  </si>
  <si>
    <t xml:space="preserve">売上総利益率</t>
  </si>
  <si>
    <r>
      <rPr>
        <sz val="9"/>
        <color rgb="FF595959"/>
        <rFont val="WenQuanYi Zen Hei"/>
        <family val="2"/>
      </rPr>
      <t xml:space="preserve">事業計画の月次のうち、実績として確定しているのは</t>
    </r>
    <r>
      <rPr>
        <sz val="9"/>
        <color rgb="FF595959"/>
        <rFont val="Arial"/>
        <family val="0"/>
        <charset val="1"/>
      </rPr>
      <t xml:space="preserve">2026/06</t>
    </r>
    <r>
      <rPr>
        <sz val="9"/>
        <color rgb="FF595959"/>
        <rFont val="WenQuanYi Zen Hei"/>
        <family val="2"/>
      </rPr>
      <t xml:space="preserve">まで。</t>
    </r>
    <r>
      <rPr>
        <sz val="9"/>
        <color rgb="FF595959"/>
        <rFont val="Arial"/>
        <family val="0"/>
        <charset val="1"/>
      </rPr>
      <t xml:space="preserve">2026/07</t>
    </r>
    <r>
      <rPr>
        <sz val="9"/>
        <color rgb="FF595959"/>
        <rFont val="WenQuanYi Zen Hei"/>
        <family val="2"/>
      </rPr>
      <t xml:space="preserve">以降は同一値が並ぶ見込値。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</si>
  <si>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】ベース候補②：</t>
    </r>
    <r>
      <rPr>
        <b val="true"/>
        <sz val="11"/>
        <color rgb="FFFFFFFF"/>
        <rFont val="Arial"/>
        <family val="0"/>
        <charset val="1"/>
      </rPr>
      <t xml:space="preserve">2026/05-07</t>
    </r>
    <r>
      <rPr>
        <b val="true"/>
        <sz val="11"/>
        <color rgb="FFFFFFFF"/>
        <rFont val="WenQuanYi Zen Hei"/>
        <family val="2"/>
      </rPr>
      <t xml:space="preserve">（※</t>
    </r>
    <r>
      <rPr>
        <b val="true"/>
        <sz val="11"/>
        <color rgb="FFFFFFFF"/>
        <rFont val="Arial"/>
        <family val="0"/>
        <charset val="1"/>
      </rPr>
      <t xml:space="preserve">2026/07</t>
    </r>
    <r>
      <rPr>
        <b val="true"/>
        <sz val="11"/>
        <color rgb="FFFFFFFF"/>
        <rFont val="WenQuanYi Zen Hei"/>
        <family val="2"/>
      </rPr>
      <t xml:space="preserve">は「見込」。計画上のコスト削減が実現した場合）</t>
    </r>
  </si>
  <si>
    <t xml:space="preserve">2026/07</t>
  </si>
  <si>
    <r>
      <rPr>
        <sz val="9"/>
        <color rgb="FFC00000"/>
        <rFont val="Arial"/>
        <family val="0"/>
        <charset val="1"/>
      </rPr>
      <t xml:space="preserve">2026/07</t>
    </r>
    <r>
      <rPr>
        <sz val="9"/>
        <color rgb="FFC00000"/>
        <rFont val="WenQuanYi Zen Hei"/>
        <family val="2"/>
      </rPr>
      <t xml:space="preserve">は地代家賃</t>
    </r>
    <r>
      <rPr>
        <sz val="9"/>
        <color rgb="FFC00000"/>
        <rFont val="Arial"/>
        <family val="0"/>
        <charset val="1"/>
      </rPr>
      <t xml:space="preserve">3.97</t>
    </r>
    <r>
      <rPr>
        <sz val="9"/>
        <color rgb="FFC00000"/>
        <rFont val="WenQuanYi Zen Hei"/>
        <family val="2"/>
      </rPr>
      <t xml:space="preserve">百万→</t>
    </r>
    <r>
      <rPr>
        <sz val="9"/>
        <color rgb="FFC00000"/>
        <rFont val="Arial"/>
        <family val="0"/>
        <charset val="1"/>
      </rPr>
      <t xml:space="preserve">1.30</t>
    </r>
    <r>
      <rPr>
        <sz val="9"/>
        <color rgb="FFC00000"/>
        <rFont val="WenQuanYi Zen Hei"/>
        <family val="2"/>
      </rPr>
      <t xml:space="preserve">百万、業務委託費</t>
    </r>
    <r>
      <rPr>
        <sz val="9"/>
        <color rgb="FFC00000"/>
        <rFont val="Arial"/>
        <family val="0"/>
        <charset val="1"/>
      </rPr>
      <t xml:space="preserve">3.08</t>
    </r>
    <r>
      <rPr>
        <sz val="9"/>
        <color rgb="FFC00000"/>
        <rFont val="WenQuanYi Zen Hei"/>
        <family val="2"/>
      </rPr>
      <t xml:space="preserve">百万→</t>
    </r>
    <r>
      <rPr>
        <sz val="9"/>
        <color rgb="FFC00000"/>
        <rFont val="Arial"/>
        <family val="0"/>
        <charset val="1"/>
      </rPr>
      <t xml:space="preserve">1.14</t>
    </r>
    <r>
      <rPr>
        <sz val="9"/>
        <color rgb="FFC00000"/>
        <rFont val="WenQuanYi Zen Hei"/>
        <family val="2"/>
      </rPr>
      <t xml:space="preserve">百万など未実現の削減が織り込まれた見込値。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</si>
  <si>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】採用ベース</t>
    </r>
  </si>
  <si>
    <r>
      <rPr>
        <sz val="11"/>
        <rFont val="WenQuanYi Zen Hei"/>
        <family val="2"/>
      </rPr>
      <t xml:space="preserve">採用ベース（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＝①実績</t>
    </r>
    <r>
      <rPr>
        <sz val="11"/>
        <rFont val="Arial"/>
        <family val="0"/>
        <charset val="1"/>
      </rPr>
      <t xml:space="preserve">2026/04-06</t>
    </r>
    <r>
      <rPr>
        <sz val="11"/>
        <rFont val="WenQuanYi Zen Hei"/>
        <family val="2"/>
      </rPr>
      <t xml:space="preserve">　／　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＝②</t>
    </r>
    <r>
      <rPr>
        <sz val="11"/>
        <rFont val="Arial"/>
        <family val="0"/>
        <charset val="1"/>
      </rPr>
      <t xml:space="preserve">2026/05-07</t>
    </r>
    <r>
      <rPr>
        <sz val="11"/>
        <rFont val="WenQuanYi Zen Hei"/>
        <family val="2"/>
      </rPr>
      <t xml:space="preserve">）</t>
    </r>
  </si>
  <si>
    <t xml:space="preserve">採用：月次 売上</t>
  </si>
  <si>
    <t xml:space="preserve">採用：月次 売上総利益</t>
  </si>
  <si>
    <t xml:space="preserve">採用：月次 販管費</t>
  </si>
  <si>
    <t xml:space="preserve">採用：売上総利益率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</si>
  <si>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】上乗せ案件（</t>
    </r>
    <r>
      <rPr>
        <b val="true"/>
        <sz val="11"/>
        <color rgb="FFFFFFFF"/>
        <rFont val="Arial"/>
        <family val="0"/>
        <charset val="1"/>
      </rPr>
      <t xml:space="preserve">2026/09-2027/08</t>
    </r>
    <r>
      <rPr>
        <b val="true"/>
        <sz val="11"/>
        <color rgb="FFFFFFFF"/>
        <rFont val="WenQuanYi Zen Hei"/>
        <family val="2"/>
      </rPr>
      <t xml:space="preserve">）　※ご提供の一覧</t>
    </r>
  </si>
  <si>
    <t xml:space="preserve">区分</t>
  </si>
  <si>
    <t xml:space="preserve">金額</t>
  </si>
  <si>
    <t xml:space="preserve">損益計上区分</t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</si>
  <si>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Value table</t>
    </r>
  </si>
  <si>
    <t xml:space="preserve">営業収益（原価なし）</t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</si>
  <si>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</si>
  <si>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</si>
  <si>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</si>
  <si>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</si>
  <si>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インセンティブ　</t>
    </r>
    <r>
      <rPr>
        <sz val="11"/>
        <rFont val="Arial"/>
        <family val="0"/>
        <charset val="1"/>
      </rPr>
      <t xml:space="preserve">Apicius2 shot</t>
    </r>
  </si>
  <si>
    <t xml:space="preserve">営業収益（成功報酬・一時）</t>
  </si>
  <si>
    <r>
      <rPr>
        <sz val="11"/>
        <rFont val="WenQuanYi Zen Hei"/>
        <family val="2"/>
      </rPr>
      <t xml:space="preserve">投資売買益　</t>
    </r>
    <r>
      <rPr>
        <sz val="11"/>
        <rFont val="Arial"/>
        <family val="0"/>
        <charset val="1"/>
      </rPr>
      <t xml:space="preserve">Cruiser shot</t>
    </r>
  </si>
  <si>
    <t xml:space="preserve">営業外収益（一時）</t>
  </si>
  <si>
    <t xml:space="preserve">合計</t>
  </si>
  <si>
    <r>
      <rPr>
        <sz val="9"/>
        <color rgb="FFC00000"/>
        <rFont val="WenQuanYi Zen Hei"/>
        <family val="2"/>
      </rPr>
      <t xml:space="preserve">※一覧の期間表記は</t>
    </r>
    <r>
      <rPr>
        <sz val="9"/>
        <color rgb="FFC00000"/>
        <rFont val="Arial"/>
        <family val="0"/>
        <charset val="1"/>
      </rPr>
      <t xml:space="preserve">2026/09-2027/08</t>
    </r>
    <r>
      <rPr>
        <sz val="9"/>
        <color rgb="FFC00000"/>
        <rFont val="WenQuanYi Zen Hei"/>
        <family val="2"/>
      </rPr>
      <t xml:space="preserve">。当社決算期</t>
    </r>
    <r>
      <rPr>
        <sz val="9"/>
        <color rgb="FFC00000"/>
        <rFont val="Arial"/>
        <family val="0"/>
        <charset val="1"/>
      </rPr>
      <t xml:space="preserve">(2026/10-2027/09)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1</t>
    </r>
    <r>
      <rPr>
        <sz val="9"/>
        <color rgb="FFC00000"/>
        <rFont val="WenQuanYi Zen Hei"/>
        <family val="2"/>
      </rPr>
      <t xml:space="preserve">か月ズレるため全額</t>
    </r>
    <r>
      <rPr>
        <sz val="9"/>
        <color rgb="FFC00000"/>
        <rFont val="Arial"/>
        <family val="0"/>
        <charset val="1"/>
      </rPr>
      <t xml:space="preserve">FY2027</t>
    </r>
    <r>
      <rPr>
        <sz val="9"/>
        <color rgb="FFC00000"/>
        <rFont val="WenQuanYi Zen Hei"/>
        <family val="2"/>
      </rPr>
      <t xml:space="preserve">帰属で試算。</t>
    </r>
  </si>
  <si>
    <t xml:space="preserve">　うち 営業収益に計上</t>
  </si>
  <si>
    <r>
      <rPr>
        <sz val="9"/>
        <color rgb="FFC00000"/>
        <rFont val="WenQuanYi Zen Hei"/>
        <family val="2"/>
      </rPr>
      <t xml:space="preserve">※うち約</t>
    </r>
    <r>
      <rPr>
        <sz val="9"/>
        <color rgb="FFC00000"/>
        <rFont val="Arial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百万円（</t>
    </r>
    <r>
      <rPr>
        <sz val="9"/>
        <color rgb="FFC00000"/>
        <rFont val="Arial"/>
        <family val="0"/>
        <charset val="1"/>
      </rPr>
      <t xml:space="preserve">Value table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Prime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Apicius2</t>
    </r>
    <r>
      <rPr>
        <sz val="9"/>
        <color rgb="FFC00000"/>
        <rFont val="WenQuanYi Zen Hei"/>
        <family val="2"/>
      </rPr>
      <t xml:space="preserve">）はグループ内取引。銀行は正常化調整で控除する可能性が高い。</t>
    </r>
  </si>
  <si>
    <t xml:space="preserve">　うち 営業外収益に計上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</si>
  <si>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】その他前提</t>
    </r>
  </si>
  <si>
    <t xml:space="preserve">上場関連コスト（年額）</t>
  </si>
  <si>
    <r>
      <rPr>
        <sz val="9"/>
        <color rgb="FF595959"/>
        <rFont val="WenQuanYi Zen Hei"/>
        <family val="2"/>
      </rPr>
      <t xml:space="preserve">事業計画</t>
    </r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計画値。計上しない場合は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を入力。</t>
    </r>
  </si>
  <si>
    <t xml:space="preserve">営業外費用（支払利息等・年額）</t>
  </si>
  <si>
    <r>
      <rPr>
        <sz val="9"/>
        <color rgb="FF595959"/>
        <rFont val="WenQuanYi Zen Hei"/>
        <family val="2"/>
      </rPr>
      <t xml:space="preserve">事業計画</t>
    </r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計画値</t>
    </r>
  </si>
  <si>
    <r>
      <rPr>
        <sz val="11"/>
        <rFont val="WenQuanYi Zen Hei"/>
        <family val="2"/>
      </rPr>
      <t xml:space="preserve">インセンティブ 計上月（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</si>
  <si>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の何か月目に計上するか（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月）</t>
    </r>
  </si>
  <si>
    <r>
      <rPr>
        <sz val="11"/>
        <rFont val="WenQuanYi Zen Hei"/>
        <family val="2"/>
      </rPr>
      <t xml:space="preserve">投資売買益 計上月（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</si>
  <si>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t xml:space="preserve">目標営業利益</t>
  </si>
  <si>
    <r>
      <rPr>
        <sz val="9"/>
        <color rgb="FF595959"/>
        <rFont val="WenQuanYi Zen Hei"/>
        <family val="2"/>
      </rPr>
      <t xml:space="preserve">シナリオ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の目標値</t>
    </r>
  </si>
  <si>
    <t xml:space="preserve">均等割のみ</t>
  </si>
  <si>
    <r>
      <rPr>
        <sz val="9"/>
        <color rgb="FF595959"/>
        <rFont val="Arial"/>
        <family val="0"/>
        <charset val="1"/>
      </rPr>
      <t xml:space="preserve">FY2025▲127.4</t>
    </r>
    <r>
      <rPr>
        <sz val="9"/>
        <color rgb="FF595959"/>
        <rFont val="WenQuanYi Zen Hei"/>
        <family val="2"/>
      </rPr>
      <t xml:space="preserve">百万円＋</t>
    </r>
    <r>
      <rPr>
        <sz val="9"/>
        <color rgb="FF595959"/>
        <rFont val="Arial"/>
        <family val="0"/>
        <charset val="1"/>
      </rPr>
      <t xml:space="preserve">FY2026▲124.8</t>
    </r>
    <r>
      <rPr>
        <sz val="9"/>
        <color rgb="FF595959"/>
        <rFont val="WenQuanYi Zen Hei"/>
        <family val="2"/>
      </rPr>
      <t xml:space="preserve">百万円＝繰越欠損金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百万円。資本金</t>
    </r>
    <r>
      <rPr>
        <sz val="9"/>
        <color rgb="FF595959"/>
        <rFont val="Arial"/>
        <family val="0"/>
        <charset val="1"/>
      </rPr>
      <t xml:space="preserve">1,000</t>
    </r>
    <r>
      <rPr>
        <sz val="9"/>
        <color rgb="FF595959"/>
        <rFont val="WenQuanYi Zen Hei"/>
        <family val="2"/>
      </rPr>
      <t xml:space="preserve">万円の中小法人は所得の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控除可のため、</t>
    </r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の黒字に法人税は実質発生しない。</t>
    </r>
  </si>
  <si>
    <r>
      <rPr>
        <b val="true"/>
        <sz val="13"/>
        <rFont val="Arial"/>
        <family val="0"/>
        <charset val="1"/>
      </rPr>
      <t xml:space="preserve">FY2027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Arial"/>
        <family val="0"/>
        <charset val="1"/>
      </rPr>
      <t xml:space="preserve">-2027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月）月次予測　＝　採用ベース横ばい ＋ 上乗せ案件</t>
    </r>
    <r>
      <rPr>
        <b val="true"/>
        <sz val="13"/>
        <rFont val="Arial"/>
        <family val="0"/>
        <charset val="1"/>
      </rPr>
      <t xml:space="preserve">132.5</t>
    </r>
    <r>
      <rPr>
        <b val="true"/>
        <sz val="13"/>
        <rFont val="WenQuanYi Zen Hei"/>
        <family val="2"/>
      </rPr>
      <t xml:space="preserve">百万円</t>
    </r>
  </si>
  <si>
    <t xml:space="preserve">②前提シートの「採用ベース」セルで、実績ベース①／見込ベース②を切替えられます。緑字＝②前提からのリンク</t>
  </si>
  <si>
    <t xml:space="preserve">2026/10</t>
  </si>
  <si>
    <t xml:space="preserve">2026/11</t>
  </si>
  <si>
    <t xml:space="preserve">2026/12</t>
  </si>
  <si>
    <t xml:space="preserve">2027/01</t>
  </si>
  <si>
    <t xml:space="preserve">2027/02</t>
  </si>
  <si>
    <t xml:space="preserve">2027/03</t>
  </si>
  <si>
    <t xml:space="preserve">2027/04</t>
  </si>
  <si>
    <t xml:space="preserve">2027/05</t>
  </si>
  <si>
    <t xml:space="preserve">2027/06</t>
  </si>
  <si>
    <t xml:space="preserve">2027/07</t>
  </si>
  <si>
    <t xml:space="preserve">2027/08</t>
  </si>
  <si>
    <t xml:space="preserve">2027/09</t>
  </si>
  <si>
    <t xml:space="preserve">通期合計</t>
  </si>
  <si>
    <t xml:space="preserve">売上（既存事業・横ばい）</t>
  </si>
  <si>
    <t xml:space="preserve">売上原価</t>
  </si>
  <si>
    <r>
      <rPr>
        <sz val="11"/>
        <color rgb="FF008000"/>
        <rFont val="WenQuanYi Zen Hei"/>
        <family val="2"/>
      </rPr>
      <t xml:space="preserve">＋経営指導料（</t>
    </r>
    <r>
      <rPr>
        <sz val="11"/>
        <color rgb="FF008000"/>
        <rFont val="Arial"/>
        <family val="0"/>
        <charset val="1"/>
      </rPr>
      <t xml:space="preserve">5</t>
    </r>
    <r>
      <rPr>
        <sz val="11"/>
        <color rgb="FF008000"/>
        <rFont val="WenQuanYi Zen Hei"/>
        <family val="2"/>
      </rPr>
      <t xml:space="preserve">社計）</t>
    </r>
  </si>
  <si>
    <r>
      <rPr>
        <sz val="11"/>
        <color rgb="FF008000"/>
        <rFont val="WenQuanYi Zen Hei"/>
        <family val="2"/>
      </rPr>
      <t xml:space="preserve">＋インセンティブ（</t>
    </r>
    <r>
      <rPr>
        <sz val="11"/>
        <color rgb="FF008000"/>
        <rFont val="Arial"/>
        <family val="0"/>
        <charset val="1"/>
      </rPr>
      <t xml:space="preserve">Apicius2</t>
    </r>
    <r>
      <rPr>
        <sz val="11"/>
        <color rgb="FF008000"/>
        <rFont val="WenQuanYi Zen Hei"/>
        <family val="2"/>
      </rPr>
      <t xml:space="preserve">）</t>
    </r>
  </si>
  <si>
    <t xml:space="preserve">販管費（既存・横ばい）</t>
  </si>
  <si>
    <t xml:space="preserve">営業外費用（支払利息等）</t>
  </si>
  <si>
    <t xml:space="preserve">※売上原価＝売上−売上総利益（採用ベースの実績粗利率をそのまま適用）。経営指導料・インセンティブ・投資売買益は原価ゼロで計上。</t>
  </si>
  <si>
    <r>
      <rPr>
        <b val="true"/>
        <sz val="12"/>
        <rFont val="Arial"/>
        <family val="0"/>
        <charset val="1"/>
      </rPr>
      <t xml:space="preserve">FY2026</t>
    </r>
    <r>
      <rPr>
        <b val="true"/>
        <sz val="12"/>
        <rFont val="WenQuanYi Zen Hei"/>
        <family val="2"/>
      </rPr>
      <t xml:space="preserve">（</t>
    </r>
    <r>
      <rPr>
        <b val="true"/>
        <sz val="12"/>
        <rFont val="Arial"/>
        <family val="0"/>
        <charset val="1"/>
      </rPr>
      <t xml:space="preserve">2025</t>
    </r>
    <r>
      <rPr>
        <b val="true"/>
        <sz val="12"/>
        <rFont val="WenQuanYi Zen Hei"/>
        <family val="2"/>
      </rPr>
      <t xml:space="preserve">年</t>
    </r>
    <r>
      <rPr>
        <b val="true"/>
        <sz val="12"/>
        <rFont val="Arial"/>
        <family val="0"/>
        <charset val="1"/>
      </rPr>
      <t xml:space="preserve">10</t>
    </r>
    <r>
      <rPr>
        <b val="true"/>
        <sz val="12"/>
        <rFont val="WenQuanYi Zen Hei"/>
        <family val="2"/>
      </rPr>
      <t xml:space="preserve">月</t>
    </r>
    <r>
      <rPr>
        <b val="true"/>
        <sz val="12"/>
        <rFont val="Arial"/>
        <family val="0"/>
        <charset val="1"/>
      </rPr>
      <t xml:space="preserve">-2026</t>
    </r>
    <r>
      <rPr>
        <b val="true"/>
        <sz val="12"/>
        <rFont val="WenQuanYi Zen Hei"/>
        <family val="2"/>
      </rPr>
      <t xml:space="preserve">年</t>
    </r>
    <r>
      <rPr>
        <b val="true"/>
        <sz val="12"/>
        <rFont val="Arial"/>
        <family val="0"/>
        <charset val="1"/>
      </rPr>
      <t xml:space="preserve">9</t>
    </r>
    <r>
      <rPr>
        <b val="true"/>
        <sz val="12"/>
        <rFont val="WenQuanYi Zen Hei"/>
        <family val="2"/>
      </rPr>
      <t xml:space="preserve">月）月次　※出典：事業計画</t>
    </r>
    <r>
      <rPr>
        <b val="true"/>
        <sz val="12"/>
        <rFont val="Arial"/>
        <family val="0"/>
        <charset val="1"/>
      </rPr>
      <t xml:space="preserve">202608</t>
    </r>
    <r>
      <rPr>
        <b val="true"/>
        <sz val="12"/>
        <rFont val="WenQuanYi Zen Hei"/>
        <family val="2"/>
      </rPr>
      <t xml:space="preserve">（銀行様）全社シート</t>
    </r>
  </si>
  <si>
    <r>
      <rPr>
        <sz val="9"/>
        <color rgb="FFC00000"/>
        <rFont val="WenQuanYi Zen Hei"/>
        <family val="2"/>
      </rPr>
      <t xml:space="preserve">青字＝実績（</t>
    </r>
    <r>
      <rPr>
        <sz val="9"/>
        <color rgb="FFC00000"/>
        <rFont val="Arial"/>
        <family val="0"/>
        <charset val="1"/>
      </rPr>
      <t xml:space="preserve">2026/06</t>
    </r>
    <r>
      <rPr>
        <sz val="9"/>
        <color rgb="FFC00000"/>
        <rFont val="WenQuanYi Zen Hei"/>
        <family val="2"/>
      </rPr>
      <t xml:space="preserve">まで）　／　灰字斜体＝見込（</t>
    </r>
    <r>
      <rPr>
        <sz val="9"/>
        <color rgb="FFC00000"/>
        <rFont val="Arial"/>
        <family val="0"/>
        <charset val="1"/>
      </rPr>
      <t xml:space="preserve">2026/07</t>
    </r>
    <r>
      <rPr>
        <sz val="9"/>
        <color rgb="FFC00000"/>
        <rFont val="WenQuanYi Zen Hei"/>
        <family val="2"/>
      </rPr>
      <t xml:space="preserve">以降）</t>
    </r>
  </si>
  <si>
    <t xml:space="preserve">2025/10</t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</si>
  <si>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</si>
  <si>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</si>
  <si>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</si>
  <si>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</si>
  <si>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</si>
  <si>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2026/08</t>
  </si>
  <si>
    <t xml:space="preserve">2026/09</t>
  </si>
  <si>
    <t xml:space="preserve">通期</t>
  </si>
  <si>
    <r>
      <rPr>
        <sz val="9"/>
        <color rgb="FFC00000"/>
        <rFont val="WenQuanYi Zen Hei"/>
        <family val="2"/>
      </rPr>
      <t xml:space="preserve">販管費：</t>
    </r>
    <r>
      <rPr>
        <sz val="9"/>
        <color rgb="FFC00000"/>
        <rFont val="Arial"/>
        <family val="0"/>
        <charset val="1"/>
      </rPr>
      <t xml:space="preserve">2026/03</t>
    </r>
    <r>
      <rPr>
        <sz val="9"/>
        <color rgb="FFC00000"/>
        <rFont val="WenQuanYi Zen Hei"/>
        <family val="2"/>
      </rPr>
      <t xml:space="preserve">の</t>
    </r>
    <r>
      <rPr>
        <sz val="9"/>
        <color rgb="FFC00000"/>
        <rFont val="Arial"/>
        <family val="0"/>
        <charset val="1"/>
      </rPr>
      <t xml:space="preserve">38,737,868</t>
    </r>
    <r>
      <rPr>
        <sz val="9"/>
        <color rgb="FFC00000"/>
        <rFont val="WenQuanYi Zen Hei"/>
        <family val="2"/>
      </rPr>
      <t xml:space="preserve">円</t>
    </r>
    <r>
      <rPr>
        <sz val="9"/>
        <color rgb="FFC00000"/>
        <rFont val="Arial"/>
        <family val="0"/>
        <charset val="1"/>
      </rPr>
      <t xml:space="preserve">/</t>
    </r>
    <r>
      <rPr>
        <sz val="9"/>
        <color rgb="FFC00000"/>
        <rFont val="WenQuanYi Zen Hei"/>
        <family val="2"/>
      </rPr>
      <t xml:space="preserve">月をピークに</t>
    </r>
    <r>
      <rPr>
        <sz val="9"/>
        <color rgb="FFC00000"/>
        <rFont val="Arial"/>
        <family val="0"/>
        <charset val="1"/>
      </rPr>
      <t xml:space="preserve">2026/06</t>
    </r>
    <r>
      <rPr>
        <sz val="9"/>
        <color rgb="FFC00000"/>
        <rFont val="WenQuanYi Zen Hei"/>
        <family val="2"/>
      </rPr>
      <t xml:space="preserve">は</t>
    </r>
    <r>
      <rPr>
        <sz val="9"/>
        <color rgb="FFC00000"/>
        <rFont val="Arial"/>
        <family val="0"/>
        <charset val="1"/>
      </rPr>
      <t xml:space="preserve">24,627,286</t>
    </r>
    <r>
      <rPr>
        <sz val="9"/>
        <color rgb="FFC00000"/>
        <rFont val="WenQuanYi Zen Hei"/>
        <family val="2"/>
      </rPr>
      <t xml:space="preserve">円</t>
    </r>
    <r>
      <rPr>
        <sz val="9"/>
        <color rgb="FFC00000"/>
        <rFont val="Arial"/>
        <family val="0"/>
        <charset val="1"/>
      </rPr>
      <t xml:space="preserve">/</t>
    </r>
    <r>
      <rPr>
        <sz val="9"/>
        <color rgb="FFC00000"/>
        <rFont val="WenQuanYi Zen Hei"/>
        <family val="2"/>
      </rPr>
      <t xml:space="preserve">月（▲</t>
    </r>
    <r>
      <rPr>
        <sz val="9"/>
        <color rgb="FFC00000"/>
        <rFont val="Arial"/>
        <family val="0"/>
        <charset val="1"/>
      </rPr>
      <t xml:space="preserve">36.4%</t>
    </r>
    <r>
      <rPr>
        <sz val="9"/>
        <color rgb="FFC00000"/>
        <rFont val="WenQuanYi Zen Hei"/>
        <family val="2"/>
      </rPr>
      <t xml:space="preserve">）。コスト削減が実行段階にあることの根拠。</t>
    </r>
  </si>
  <si>
    <r>
      <rPr>
        <sz val="9"/>
        <color rgb="FFC00000"/>
        <rFont val="Arial"/>
        <family val="0"/>
        <charset val="1"/>
      </rPr>
      <t xml:space="preserve">2026/07</t>
    </r>
    <r>
      <rPr>
        <sz val="9"/>
        <color rgb="FFC00000"/>
        <rFont val="WenQuanYi Zen Hei"/>
        <family val="2"/>
      </rPr>
      <t xml:space="preserve">以降の販管費（</t>
    </r>
    <r>
      <rPr>
        <sz val="9"/>
        <color rgb="FFC00000"/>
        <rFont val="Arial"/>
        <family val="0"/>
        <charset val="1"/>
      </rPr>
      <t xml:space="preserve">21.0/23.9/22.4</t>
    </r>
    <r>
      <rPr>
        <sz val="9"/>
        <color rgb="FFC00000"/>
        <rFont val="WenQuanYi Zen Hei"/>
        <family val="2"/>
      </rPr>
      <t xml:space="preserve">百万円）には、地代家賃</t>
    </r>
    <r>
      <rPr>
        <sz val="9"/>
        <color rgb="FFC00000"/>
        <rFont val="Arial"/>
        <family val="0"/>
        <charset val="1"/>
      </rPr>
      <t xml:space="preserve">3.97→1.30</t>
    </r>
    <r>
      <rPr>
        <sz val="9"/>
        <color rgb="FFC00000"/>
        <rFont val="WenQuanYi Zen Hei"/>
        <family val="2"/>
      </rPr>
      <t xml:space="preserve">百万円、業務委託費</t>
    </r>
    <r>
      <rPr>
        <sz val="9"/>
        <color rgb="FFC00000"/>
        <rFont val="Arial"/>
        <family val="0"/>
        <charset val="1"/>
      </rPr>
      <t xml:space="preserve">3.08→1.14</t>
    </r>
    <r>
      <rPr>
        <sz val="9"/>
        <color rgb="FFC00000"/>
        <rFont val="WenQuanYi Zen Hei"/>
        <family val="2"/>
      </rPr>
      <t xml:space="preserve">百万円など未実現の削減が織り込まれている。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</si>
</sst>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¥#,##0;&quot;(¥&quot;#,##0\);\-"/>
    <numFmt numFmtId="166" formatCode="0.0%"/>
    <numFmt numFmtId="167" formatCode="0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b val="true"/>
      <sz val="15"/>
      <name val="WenQuanYi Zen Hei"/>
      <family val="2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WenQuanYi Zen Hei"/>
      <family val="2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b val="true"/>
      <sz val="12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C00000"/>
      <name val="WenQuanYi Zen Hei"/>
      <family val="2"/>
    </font>
    <font>
      <sz val="11"/>
      <color rgb="FF0000FF"/>
      <name val="WenQuanYi Zen Hei"/>
      <family val="2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11"/>
      <color rgb="FF008000"/>
      <name val="WenQuanYi Zen Hei"/>
      <family val="2"/>
    </font>
    <font>
      <sz val="11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1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C6E0B4"/>
        <bgColor rgb="FFD9E2F3"/>
      </patternFill>
    </fill>
    <fill>
      <patternFill patternType="solid">
        <fgColor rgb="FFD9E2F3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7" min="3" style="0" width="18"/>
    <col collapsed="false" customWidth="true" hidden="false" outlineLevel="0" max="8" min="8" style="0" width="48"/>
  </cols>
  <sheetData>
    <row r="1" customFormat="false" ht="20.1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43.5" hidden="false" customHeight="true" outlineLevel="0" collapsed="false">
      <c r="B5" s="4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4" t="s">
        <v>9</v>
      </c>
    </row>
    <row r="6" customFormat="false" ht="15" hidden="false" customHeight="false" outlineLevel="0" collapsed="false">
      <c r="B6" s="6" t="s">
        <v>10</v>
      </c>
      <c r="C6" s="7" t="n">
        <v>708205820</v>
      </c>
      <c r="D6" s="8" t="n">
        <f aca="false">②前提!$C$11*12</f>
        <v>389140768</v>
      </c>
      <c r="E6" s="8" t="n">
        <f aca="false">②前提!$C$11*12</f>
        <v>389140768</v>
      </c>
      <c r="F6" s="8" t="n">
        <f aca="false">②前提!$C$20*12</f>
        <v>503645468</v>
      </c>
      <c r="G6" s="8" t="n">
        <f aca="false">F6+G9/(②前提!$D$20/②前提!$C$20)</f>
        <v>677163428.047815</v>
      </c>
      <c r="H6" s="3"/>
    </row>
    <row r="7" customFormat="false" ht="15" hidden="false" customHeight="false" outlineLevel="0" collapsed="false">
      <c r="B7" s="6" t="s">
        <v>11</v>
      </c>
      <c r="C7" s="7" t="n">
        <v>229139405</v>
      </c>
      <c r="D7" s="8" t="n">
        <f aca="false">②前提!$D$11*12</f>
        <v>200601928</v>
      </c>
      <c r="E7" s="8" t="n">
        <f aca="false">②前提!$D$11*12</f>
        <v>200601928</v>
      </c>
      <c r="F7" s="8" t="n">
        <f aca="false">②前提!$D$20*12</f>
        <v>226257956</v>
      </c>
      <c r="G7" s="8" t="n">
        <f aca="false">F7</f>
        <v>226257956</v>
      </c>
      <c r="H7" s="3"/>
    </row>
    <row r="8" customFormat="false" ht="15" hidden="false" customHeight="false" outlineLevel="0" collapsed="false">
      <c r="B8" s="6" t="s">
        <v>12</v>
      </c>
      <c r="C8" s="7" t="n">
        <v>0</v>
      </c>
      <c r="D8" s="8" t="n">
        <v>0</v>
      </c>
      <c r="E8" s="8" t="n">
        <f aca="false">②前提!$C$40</f>
        <v>112500000</v>
      </c>
      <c r="F8" s="8" t="n">
        <f aca="false">②前提!$C$40</f>
        <v>112500000</v>
      </c>
      <c r="G8" s="8" t="n">
        <f aca="false">F8</f>
        <v>112500000</v>
      </c>
      <c r="H8" s="3" t="s">
        <v>13</v>
      </c>
    </row>
    <row r="9" customFormat="false" ht="15" hidden="false" customHeight="false" outlineLevel="0" collapsed="false">
      <c r="B9" s="6" t="s">
        <v>14</v>
      </c>
      <c r="C9" s="8"/>
      <c r="D9" s="8"/>
      <c r="E9" s="8"/>
      <c r="F9" s="8"/>
      <c r="G9" s="9" t="n">
        <f aca="false">G14+G13-F7-F8</f>
        <v>77951300</v>
      </c>
      <c r="H9" s="3" t="s">
        <v>15</v>
      </c>
    </row>
    <row r="10" customFormat="false" ht="15" hidden="false" customHeight="false" outlineLevel="0" collapsed="false">
      <c r="B10" s="10" t="s">
        <v>16</v>
      </c>
      <c r="C10" s="11" t="n">
        <v>229139405</v>
      </c>
      <c r="D10" s="11" t="n">
        <f aca="false">D7+D8</f>
        <v>200601928</v>
      </c>
      <c r="E10" s="11" t="n">
        <f aca="false">E7+E8</f>
        <v>313101928</v>
      </c>
      <c r="F10" s="11" t="n">
        <f aca="false">F7+F8</f>
        <v>338757956</v>
      </c>
      <c r="G10" s="11" t="n">
        <f aca="false">G7+G8+G9</f>
        <v>416709256</v>
      </c>
      <c r="H10" s="3"/>
    </row>
    <row r="11" customFormat="false" ht="15" hidden="false" customHeight="false" outlineLevel="0" collapsed="false">
      <c r="B11" s="6" t="s">
        <v>17</v>
      </c>
      <c r="C11" s="7" t="n">
        <v>343932836</v>
      </c>
      <c r="D11" s="8" t="n">
        <f aca="false">②前提!$E$11*12</f>
        <v>300161064</v>
      </c>
      <c r="E11" s="8" t="n">
        <f aca="false">②前提!$E$11*12</f>
        <v>300161064</v>
      </c>
      <c r="F11" s="8" t="n">
        <f aca="false">②前提!$E$20*12</f>
        <v>280709256</v>
      </c>
      <c r="G11" s="8" t="n">
        <f aca="false">F11</f>
        <v>280709256</v>
      </c>
      <c r="H11" s="3"/>
    </row>
    <row r="12" customFormat="false" ht="15" hidden="false" customHeight="false" outlineLevel="0" collapsed="false">
      <c r="B12" s="6" t="s">
        <v>18</v>
      </c>
      <c r="C12" s="7" t="n">
        <v>0</v>
      </c>
      <c r="D12" s="8" t="n">
        <f aca="false">②前提!$C$44</f>
        <v>36000000</v>
      </c>
      <c r="E12" s="8" t="n">
        <f aca="false">②前提!$C$44</f>
        <v>36000000</v>
      </c>
      <c r="F12" s="8" t="n">
        <f aca="false">②前提!$C$44</f>
        <v>36000000</v>
      </c>
      <c r="G12" s="8" t="n">
        <f aca="false">②前提!$C$44</f>
        <v>36000000</v>
      </c>
      <c r="H12" s="3"/>
    </row>
    <row r="13" customFormat="false" ht="15" hidden="false" customHeight="false" outlineLevel="0" collapsed="false">
      <c r="B13" s="10" t="s">
        <v>19</v>
      </c>
      <c r="C13" s="11" t="n">
        <v>343932836</v>
      </c>
      <c r="D13" s="11" t="n">
        <f aca="false">D11+D12</f>
        <v>336161064</v>
      </c>
      <c r="E13" s="11" t="n">
        <f aca="false">E11+E12</f>
        <v>336161064</v>
      </c>
      <c r="F13" s="11" t="n">
        <f aca="false">F11+F12</f>
        <v>316709256</v>
      </c>
      <c r="G13" s="11" t="n">
        <f aca="false">G11+G12</f>
        <v>316709256</v>
      </c>
      <c r="H13" s="3"/>
    </row>
    <row r="14" customFormat="false" ht="15" hidden="false" customHeight="false" outlineLevel="0" collapsed="false">
      <c r="B14" s="12" t="s">
        <v>20</v>
      </c>
      <c r="C14" s="13" t="n">
        <v>-114793431</v>
      </c>
      <c r="D14" s="13" t="n">
        <f aca="false">D10-D13</f>
        <v>-135559136</v>
      </c>
      <c r="E14" s="13" t="n">
        <f aca="false">E10-E13</f>
        <v>-23059136</v>
      </c>
      <c r="F14" s="13" t="n">
        <f aca="false">F10-F13</f>
        <v>22048700</v>
      </c>
      <c r="G14" s="13" t="n">
        <f aca="false">②前提!$C$48</f>
        <v>100000000</v>
      </c>
      <c r="H14" s="14" t="s">
        <v>21</v>
      </c>
    </row>
    <row r="15" customFormat="false" ht="15" hidden="false" customHeight="false" outlineLevel="0" collapsed="false">
      <c r="B15" s="6" t="s">
        <v>22</v>
      </c>
      <c r="C15" s="7" t="n">
        <v>0</v>
      </c>
      <c r="D15" s="8" t="n">
        <v>0</v>
      </c>
      <c r="E15" s="8" t="n">
        <f aca="false">②前提!$C$41</f>
        <v>20000000</v>
      </c>
      <c r="F15" s="8" t="n">
        <f aca="false">②前提!$C$41</f>
        <v>20000000</v>
      </c>
      <c r="G15" s="8" t="n">
        <f aca="false">②前提!$C$41</f>
        <v>20000000</v>
      </c>
      <c r="H15" s="3"/>
    </row>
    <row r="16" customFormat="false" ht="15" hidden="false" customHeight="false" outlineLevel="0" collapsed="false">
      <c r="B16" s="6" t="s">
        <v>23</v>
      </c>
      <c r="C16" s="7" t="n">
        <v>10000000</v>
      </c>
      <c r="D16" s="8" t="n">
        <f aca="false">②前提!$C$45</f>
        <v>15000000</v>
      </c>
      <c r="E16" s="8" t="n">
        <f aca="false">②前提!$C$45</f>
        <v>15000000</v>
      </c>
      <c r="F16" s="8" t="n">
        <f aca="false">②前提!$C$45</f>
        <v>15000000</v>
      </c>
      <c r="G16" s="8" t="n">
        <f aca="false">②前提!$C$45</f>
        <v>15000000</v>
      </c>
      <c r="H16" s="3"/>
    </row>
    <row r="17" customFormat="false" ht="15" hidden="false" customHeight="false" outlineLevel="0" collapsed="false">
      <c r="B17" s="15" t="s">
        <v>24</v>
      </c>
      <c r="C17" s="16" t="n">
        <v>-124793431</v>
      </c>
      <c r="D17" s="16" t="n">
        <f aca="false">D14+D15-D16</f>
        <v>-150559136</v>
      </c>
      <c r="E17" s="16" t="n">
        <f aca="false">E14+E15-E16</f>
        <v>-18059136</v>
      </c>
      <c r="F17" s="16" t="n">
        <f aca="false">F14+F15-F16</f>
        <v>27048700</v>
      </c>
      <c r="G17" s="16" t="n">
        <f aca="false">G14+G15-G16</f>
        <v>105000000</v>
      </c>
      <c r="H17" s="3"/>
    </row>
    <row r="18" customFormat="false" ht="15" hidden="false" customHeight="false" outlineLevel="0" collapsed="false">
      <c r="B18" s="6" t="s">
        <v>25</v>
      </c>
      <c r="C18" s="7" t="n">
        <v>0</v>
      </c>
      <c r="D18" s="8" t="n">
        <v>0</v>
      </c>
      <c r="E18" s="8" t="n">
        <v>0</v>
      </c>
      <c r="F18" s="8" t="n">
        <v>0</v>
      </c>
      <c r="G18" s="8" t="n">
        <v>0</v>
      </c>
      <c r="H18" s="3" t="s">
        <v>26</v>
      </c>
    </row>
    <row r="19" customFormat="false" ht="15" hidden="false" customHeight="false" outlineLevel="0" collapsed="false">
      <c r="B19" s="10" t="s">
        <v>27</v>
      </c>
      <c r="C19" s="11" t="n">
        <v>-124793431</v>
      </c>
      <c r="D19" s="11" t="n">
        <f aca="false">D17-D18</f>
        <v>-150559136</v>
      </c>
      <c r="E19" s="11" t="n">
        <f aca="false">E17-E18</f>
        <v>-18059136</v>
      </c>
      <c r="F19" s="11" t="n">
        <f aca="false">F17-F18</f>
        <v>27048700</v>
      </c>
      <c r="G19" s="11" t="n">
        <f aca="false">G17-G18</f>
        <v>105000000</v>
      </c>
      <c r="H19" s="3"/>
    </row>
    <row r="21" customFormat="false" ht="15" hidden="false" customHeight="false" outlineLevel="0" collapsed="false">
      <c r="B21" s="17" t="s">
        <v>28</v>
      </c>
    </row>
    <row r="22" customFormat="false" ht="15" hidden="false" customHeight="false" outlineLevel="0" collapsed="false">
      <c r="B22" s="18" t="s">
        <v>29</v>
      </c>
      <c r="C22" s="18"/>
      <c r="D22" s="18"/>
      <c r="E22" s="18"/>
      <c r="F22" s="18"/>
      <c r="G22" s="18"/>
      <c r="H22" s="18"/>
    </row>
    <row r="23" customFormat="false" ht="15" hidden="false" customHeight="false" outlineLevel="0" collapsed="false">
      <c r="B23" s="18" t="s">
        <v>30</v>
      </c>
      <c r="C23" s="18"/>
      <c r="D23" s="18"/>
      <c r="E23" s="18"/>
      <c r="F23" s="18"/>
      <c r="G23" s="18"/>
      <c r="H23" s="18"/>
    </row>
    <row r="24" customFormat="false" ht="15" hidden="false" customHeight="false" outlineLevel="0" collapsed="false">
      <c r="B24" s="18" t="s">
        <v>31</v>
      </c>
      <c r="C24" s="18"/>
      <c r="D24" s="18"/>
      <c r="E24" s="18"/>
      <c r="F24" s="18"/>
      <c r="G24" s="18"/>
      <c r="H24" s="18"/>
    </row>
    <row r="25" customFormat="false" ht="15" hidden="false" customHeight="false" outlineLevel="0" collapsed="false">
      <c r="B25" s="19" t="s">
        <v>32</v>
      </c>
      <c r="C25" s="19"/>
      <c r="D25" s="19"/>
      <c r="E25" s="19"/>
      <c r="F25" s="19"/>
      <c r="G25" s="19"/>
      <c r="H25" s="19"/>
    </row>
    <row r="26" customFormat="false" ht="15" hidden="false" customHeight="false" outlineLevel="0" collapsed="false">
      <c r="B26" s="18" t="s">
        <v>33</v>
      </c>
      <c r="C26" s="18"/>
      <c r="D26" s="18"/>
      <c r="E26" s="18"/>
      <c r="F26" s="18"/>
      <c r="G26" s="18"/>
      <c r="H26" s="18"/>
    </row>
    <row r="27" customFormat="false" ht="15" hidden="false" customHeight="false" outlineLevel="0" collapsed="false">
      <c r="B27" s="18"/>
      <c r="C27" s="18"/>
      <c r="D27" s="18"/>
      <c r="E27" s="18"/>
      <c r="F27" s="18"/>
      <c r="G27" s="18"/>
      <c r="H27" s="18"/>
    </row>
    <row r="28" customFormat="false" ht="15" hidden="false" customHeight="false" outlineLevel="0" collapsed="false">
      <c r="B28" s="18" t="s">
        <v>34</v>
      </c>
      <c r="C28" s="18"/>
      <c r="D28" s="18"/>
      <c r="E28" s="18"/>
      <c r="F28" s="18"/>
      <c r="G28" s="18"/>
      <c r="H28" s="18"/>
    </row>
    <row r="29" customFormat="false" ht="15" hidden="false" customHeight="false" outlineLevel="0" collapsed="false">
      <c r="B29" s="19" t="s">
        <v>35</v>
      </c>
      <c r="C29" s="19"/>
      <c r="D29" s="19"/>
      <c r="E29" s="19"/>
      <c r="F29" s="19"/>
      <c r="G29" s="19"/>
      <c r="H29" s="19"/>
    </row>
  </sheetData>
  <mergeCells count="8">
    <mergeCell ref="B22:H22"/>
    <mergeCell ref="B23:H23"/>
    <mergeCell ref="B24:H24"/>
    <mergeCell ref="B25:H25"/>
    <mergeCell ref="B26:H26"/>
    <mergeCell ref="B27:H27"/>
    <mergeCell ref="B28:H28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5" min="3" style="0" width="17"/>
    <col collapsed="false" customWidth="true" hidden="false" outlineLevel="0" max="6" min="6" style="0" width="70"/>
  </cols>
  <sheetData>
    <row r="1" customFormat="false" ht="19.4" hidden="false" customHeight="false" outlineLevel="0" collapsed="false">
      <c r="B1" s="20" t="s">
        <v>36</v>
      </c>
    </row>
    <row r="2" customFormat="false" ht="15" hidden="false" customHeight="false" outlineLevel="0" collapsed="false">
      <c r="B2" s="3" t="s">
        <v>37</v>
      </c>
    </row>
    <row r="3" customFormat="false" ht="15" hidden="false" customHeight="false" outlineLevel="0" collapsed="false">
      <c r="B3" s="3" t="s">
        <v>38</v>
      </c>
    </row>
    <row r="5" customFormat="false" ht="15" hidden="false" customHeight="false" outlineLevel="0" collapsed="false">
      <c r="B5" s="21" t="s">
        <v>39</v>
      </c>
      <c r="C5" s="22"/>
      <c r="D5" s="22"/>
      <c r="E5" s="22"/>
      <c r="F5" s="22"/>
    </row>
    <row r="6" customFormat="false" ht="15" hidden="false" customHeight="false" outlineLevel="0" collapsed="false">
      <c r="B6" s="23" t="s">
        <v>40</v>
      </c>
      <c r="C6" s="23" t="s">
        <v>41</v>
      </c>
      <c r="D6" s="23" t="s">
        <v>42</v>
      </c>
      <c r="E6" s="23" t="s">
        <v>43</v>
      </c>
    </row>
    <row r="7" customFormat="false" ht="15" hidden="false" customHeight="false" outlineLevel="0" collapsed="false">
      <c r="B7" s="24" t="s">
        <v>44</v>
      </c>
      <c r="C7" s="7" t="n">
        <v>31863679</v>
      </c>
      <c r="D7" s="7" t="n">
        <v>15679441</v>
      </c>
      <c r="E7" s="7" t="n">
        <v>25883967</v>
      </c>
    </row>
    <row r="8" customFormat="false" ht="15" hidden="false" customHeight="false" outlineLevel="0" collapsed="false">
      <c r="B8" s="24" t="s">
        <v>45</v>
      </c>
      <c r="C8" s="7" t="n">
        <v>33917025</v>
      </c>
      <c r="D8" s="7" t="n">
        <v>18139193</v>
      </c>
      <c r="E8" s="7" t="n">
        <v>24529013</v>
      </c>
    </row>
    <row r="9" customFormat="false" ht="15" hidden="false" customHeight="false" outlineLevel="0" collapsed="false">
      <c r="B9" s="24" t="s">
        <v>46</v>
      </c>
      <c r="C9" s="7" t="n">
        <v>31504488</v>
      </c>
      <c r="D9" s="7" t="n">
        <v>16331848</v>
      </c>
      <c r="E9" s="7" t="n">
        <v>24627286</v>
      </c>
    </row>
    <row r="10" customFormat="false" ht="15" hidden="false" customHeight="false" outlineLevel="0" collapsed="false">
      <c r="B10" s="25" t="s">
        <v>47</v>
      </c>
      <c r="C10" s="26" t="n">
        <f aca="false">SUM(C7:C9)</f>
        <v>97285192</v>
      </c>
      <c r="D10" s="26" t="n">
        <f aca="false">SUM(D7:D9)</f>
        <v>50150482</v>
      </c>
      <c r="E10" s="26" t="n">
        <f aca="false">SUM(E7:E9)</f>
        <v>75040266</v>
      </c>
    </row>
    <row r="11" customFormat="false" ht="15" hidden="false" customHeight="false" outlineLevel="0" collapsed="false">
      <c r="B11" s="27" t="s">
        <v>48</v>
      </c>
      <c r="C11" s="26" t="n">
        <f aca="false">C10/3</f>
        <v>32428397.3333333</v>
      </c>
      <c r="D11" s="26" t="n">
        <f aca="false">D10/3</f>
        <v>16716827.3333333</v>
      </c>
      <c r="E11" s="26" t="n">
        <f aca="false">E10/3</f>
        <v>25013422</v>
      </c>
    </row>
    <row r="12" customFormat="false" ht="15" hidden="false" customHeight="false" outlineLevel="0" collapsed="false">
      <c r="B12" s="6" t="s">
        <v>49</v>
      </c>
      <c r="C12" s="28" t="n">
        <f aca="false">D11/C11</f>
        <v>0.515499645619243</v>
      </c>
      <c r="F12" s="3" t="s">
        <v>50</v>
      </c>
    </row>
    <row r="14" customFormat="false" ht="15" hidden="false" customHeight="false" outlineLevel="0" collapsed="false">
      <c r="B14" s="21" t="s">
        <v>51</v>
      </c>
      <c r="C14" s="22"/>
      <c r="D14" s="22"/>
      <c r="E14" s="22"/>
      <c r="F14" s="22"/>
    </row>
    <row r="15" customFormat="false" ht="15" hidden="false" customHeight="false" outlineLevel="0" collapsed="false">
      <c r="B15" s="23" t="s">
        <v>40</v>
      </c>
      <c r="C15" s="23" t="s">
        <v>41</v>
      </c>
      <c r="D15" s="23" t="s">
        <v>42</v>
      </c>
      <c r="E15" s="23" t="s">
        <v>43</v>
      </c>
    </row>
    <row r="16" customFormat="false" ht="15" hidden="false" customHeight="false" outlineLevel="0" collapsed="false">
      <c r="B16" s="24" t="s">
        <v>45</v>
      </c>
      <c r="C16" s="7" t="n">
        <v>33917025</v>
      </c>
      <c r="D16" s="7" t="n">
        <v>18139193</v>
      </c>
      <c r="E16" s="7" t="n">
        <v>24529013</v>
      </c>
    </row>
    <row r="17" customFormat="false" ht="15" hidden="false" customHeight="false" outlineLevel="0" collapsed="false">
      <c r="B17" s="24" t="s">
        <v>46</v>
      </c>
      <c r="C17" s="7" t="n">
        <v>31504488</v>
      </c>
      <c r="D17" s="7" t="n">
        <v>16331848</v>
      </c>
      <c r="E17" s="7" t="n">
        <v>24627286</v>
      </c>
    </row>
    <row r="18" customFormat="false" ht="15" hidden="false" customHeight="false" outlineLevel="0" collapsed="false">
      <c r="B18" s="24" t="s">
        <v>52</v>
      </c>
      <c r="C18" s="7" t="n">
        <v>60489854</v>
      </c>
      <c r="D18" s="7" t="n">
        <v>22093448</v>
      </c>
      <c r="E18" s="7" t="n">
        <v>21021015</v>
      </c>
    </row>
    <row r="19" customFormat="false" ht="15" hidden="false" customHeight="false" outlineLevel="0" collapsed="false">
      <c r="B19" s="25" t="s">
        <v>47</v>
      </c>
      <c r="C19" s="26" t="n">
        <f aca="false">SUM(C16:C18)</f>
        <v>125911367</v>
      </c>
      <c r="D19" s="26" t="n">
        <f aca="false">SUM(D16:D18)</f>
        <v>56564489</v>
      </c>
      <c r="E19" s="26" t="n">
        <f aca="false">SUM(E16:E18)</f>
        <v>70177314</v>
      </c>
    </row>
    <row r="20" customFormat="false" ht="15" hidden="false" customHeight="false" outlineLevel="0" collapsed="false">
      <c r="B20" s="27" t="s">
        <v>48</v>
      </c>
      <c r="C20" s="26" t="n">
        <f aca="false">C19/3</f>
        <v>41970455.6666667</v>
      </c>
      <c r="D20" s="26" t="n">
        <f aca="false">D19/3</f>
        <v>18854829.6666667</v>
      </c>
      <c r="E20" s="26" t="n">
        <f aca="false">E19/3</f>
        <v>23392438</v>
      </c>
    </row>
    <row r="21" customFormat="false" ht="15" hidden="false" customHeight="false" outlineLevel="0" collapsed="false">
      <c r="B21" s="6" t="s">
        <v>49</v>
      </c>
      <c r="C21" s="28" t="n">
        <f aca="false">D20/C20</f>
        <v>0.449240528061299</v>
      </c>
      <c r="F21" s="29" t="s">
        <v>53</v>
      </c>
    </row>
    <row r="23" customFormat="false" ht="15" hidden="false" customHeight="false" outlineLevel="0" collapsed="false">
      <c r="B23" s="21" t="s">
        <v>54</v>
      </c>
      <c r="C23" s="22"/>
      <c r="D23" s="22"/>
      <c r="E23" s="22"/>
      <c r="F23" s="22"/>
    </row>
    <row r="24" customFormat="false" ht="15" hidden="false" customHeight="false" outlineLevel="0" collapsed="false">
      <c r="B24" s="6" t="s">
        <v>55</v>
      </c>
      <c r="C24" s="30" t="n">
        <v>1</v>
      </c>
    </row>
    <row r="25" customFormat="false" ht="15" hidden="false" customHeight="false" outlineLevel="0" collapsed="false">
      <c r="B25" s="27" t="s">
        <v>56</v>
      </c>
      <c r="C25" s="26" t="n">
        <f aca="false">IF($C$24=1,C11,C20)</f>
        <v>32428397.3333333</v>
      </c>
    </row>
    <row r="26" customFormat="false" ht="15" hidden="false" customHeight="false" outlineLevel="0" collapsed="false">
      <c r="B26" s="27" t="s">
        <v>57</v>
      </c>
      <c r="C26" s="26" t="n">
        <f aca="false">IF($C$24=1,D11,D20)</f>
        <v>16716827.3333333</v>
      </c>
    </row>
    <row r="27" customFormat="false" ht="15" hidden="false" customHeight="false" outlineLevel="0" collapsed="false">
      <c r="B27" s="27" t="s">
        <v>58</v>
      </c>
      <c r="C27" s="26" t="n">
        <f aca="false">IF($C$24=1,E11,E20)</f>
        <v>25013422</v>
      </c>
    </row>
    <row r="28" customFormat="false" ht="15" hidden="false" customHeight="false" outlineLevel="0" collapsed="false">
      <c r="B28" s="27" t="s">
        <v>59</v>
      </c>
      <c r="C28" s="31" t="n">
        <f aca="false">C26/C25</f>
        <v>0.515499645619243</v>
      </c>
    </row>
    <row r="30" customFormat="false" ht="15" hidden="false" customHeight="false" outlineLevel="0" collapsed="false">
      <c r="B30" s="21" t="s">
        <v>60</v>
      </c>
      <c r="C30" s="22"/>
      <c r="D30" s="22"/>
      <c r="E30" s="22"/>
      <c r="F30" s="22"/>
    </row>
    <row r="31" customFormat="false" ht="15" hidden="false" customHeight="false" outlineLevel="0" collapsed="false">
      <c r="B31" s="32" t="s">
        <v>61</v>
      </c>
      <c r="C31" s="32" t="s">
        <v>62</v>
      </c>
      <c r="D31" s="32"/>
      <c r="E31" s="32" t="s">
        <v>63</v>
      </c>
    </row>
    <row r="32" customFormat="false" ht="15" hidden="false" customHeight="false" outlineLevel="0" collapsed="false">
      <c r="B32" s="6" t="s">
        <v>64</v>
      </c>
      <c r="C32" s="33" t="n">
        <v>10000000</v>
      </c>
      <c r="E32" s="6" t="s">
        <v>65</v>
      </c>
    </row>
    <row r="33" customFormat="false" ht="15" hidden="false" customHeight="false" outlineLevel="0" collapsed="false">
      <c r="B33" s="6" t="s">
        <v>66</v>
      </c>
      <c r="C33" s="33" t="n">
        <v>60000000</v>
      </c>
      <c r="E33" s="6" t="s">
        <v>65</v>
      </c>
    </row>
    <row r="34" customFormat="false" ht="15" hidden="false" customHeight="false" outlineLevel="0" collapsed="false">
      <c r="B34" s="6" t="s">
        <v>67</v>
      </c>
      <c r="C34" s="33" t="n">
        <v>10000000</v>
      </c>
      <c r="E34" s="6" t="s">
        <v>65</v>
      </c>
    </row>
    <row r="35" customFormat="false" ht="15" hidden="false" customHeight="false" outlineLevel="0" collapsed="false">
      <c r="B35" s="6" t="s">
        <v>68</v>
      </c>
      <c r="C35" s="33" t="n">
        <v>2500000</v>
      </c>
      <c r="E35" s="6" t="s">
        <v>65</v>
      </c>
    </row>
    <row r="36" customFormat="false" ht="15" hidden="false" customHeight="false" outlineLevel="0" collapsed="false">
      <c r="B36" s="6" t="s">
        <v>69</v>
      </c>
      <c r="C36" s="33" t="n">
        <v>10000000</v>
      </c>
      <c r="E36" s="6" t="s">
        <v>65</v>
      </c>
    </row>
    <row r="37" customFormat="false" ht="15" hidden="false" customHeight="false" outlineLevel="0" collapsed="false">
      <c r="B37" s="6" t="s">
        <v>70</v>
      </c>
      <c r="C37" s="33" t="n">
        <v>20000000</v>
      </c>
      <c r="E37" s="6" t="s">
        <v>71</v>
      </c>
    </row>
    <row r="38" customFormat="false" ht="15" hidden="false" customHeight="false" outlineLevel="0" collapsed="false">
      <c r="B38" s="6" t="s">
        <v>72</v>
      </c>
      <c r="C38" s="33" t="n">
        <v>20000000</v>
      </c>
      <c r="E38" s="6" t="s">
        <v>73</v>
      </c>
    </row>
    <row r="39" customFormat="false" ht="15" hidden="false" customHeight="false" outlineLevel="0" collapsed="false">
      <c r="B39" s="27" t="s">
        <v>74</v>
      </c>
      <c r="C39" s="26" t="n">
        <f aca="false">SUM(C32:C38)</f>
        <v>132500000</v>
      </c>
      <c r="F39" s="34" t="s">
        <v>75</v>
      </c>
    </row>
    <row r="40" customFormat="false" ht="15" hidden="false" customHeight="false" outlineLevel="0" collapsed="false">
      <c r="B40" s="6" t="s">
        <v>76</v>
      </c>
      <c r="C40" s="8" t="n">
        <f aca="false">SUM(C32:C37)</f>
        <v>112500000</v>
      </c>
      <c r="F40" s="34" t="s">
        <v>77</v>
      </c>
    </row>
    <row r="41" customFormat="false" ht="15" hidden="false" customHeight="false" outlineLevel="0" collapsed="false">
      <c r="B41" s="6" t="s">
        <v>78</v>
      </c>
      <c r="C41" s="8" t="n">
        <f aca="false">C38</f>
        <v>20000000</v>
      </c>
    </row>
    <row r="43" customFormat="false" ht="15" hidden="false" customHeight="false" outlineLevel="0" collapsed="false">
      <c r="B43" s="21" t="s">
        <v>79</v>
      </c>
      <c r="C43" s="22"/>
      <c r="D43" s="22"/>
      <c r="E43" s="22"/>
      <c r="F43" s="22"/>
    </row>
    <row r="44" customFormat="false" ht="15" hidden="false" customHeight="false" outlineLevel="0" collapsed="false">
      <c r="B44" s="6" t="s">
        <v>80</v>
      </c>
      <c r="C44" s="33" t="n">
        <v>36000000</v>
      </c>
      <c r="F44" s="3" t="s">
        <v>81</v>
      </c>
    </row>
    <row r="45" customFormat="false" ht="15" hidden="false" customHeight="false" outlineLevel="0" collapsed="false">
      <c r="B45" s="6" t="s">
        <v>82</v>
      </c>
      <c r="C45" s="33" t="n">
        <v>15000000</v>
      </c>
      <c r="F45" s="3" t="s">
        <v>83</v>
      </c>
    </row>
    <row r="46" customFormat="false" ht="15" hidden="false" customHeight="false" outlineLevel="0" collapsed="false">
      <c r="B46" s="6" t="s">
        <v>84</v>
      </c>
      <c r="C46" s="30" t="n">
        <v>6</v>
      </c>
      <c r="F46" s="14" t="s">
        <v>85</v>
      </c>
    </row>
    <row r="47" customFormat="false" ht="15" hidden="false" customHeight="false" outlineLevel="0" collapsed="false">
      <c r="B47" s="6" t="s">
        <v>86</v>
      </c>
      <c r="C47" s="30" t="n">
        <v>6</v>
      </c>
      <c r="F47" s="14" t="s">
        <v>85</v>
      </c>
    </row>
    <row r="48" customFormat="false" ht="15" hidden="false" customHeight="false" outlineLevel="0" collapsed="false">
      <c r="B48" s="6" t="s">
        <v>87</v>
      </c>
      <c r="C48" s="33" t="n">
        <v>100000000</v>
      </c>
      <c r="F48" s="3" t="s">
        <v>88</v>
      </c>
    </row>
    <row r="49" customFormat="false" ht="42" hidden="false" customHeight="true" outlineLevel="0" collapsed="false">
      <c r="B49" s="6" t="s">
        <v>25</v>
      </c>
      <c r="C49" s="35" t="s">
        <v>89</v>
      </c>
      <c r="F49" s="36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14" min="3" style="0" width="14"/>
    <col collapsed="false" customWidth="true" hidden="false" outlineLevel="0" max="15" min="15" style="0" width="17"/>
  </cols>
  <sheetData>
    <row r="1" customFormat="false" ht="17.15" hidden="false" customHeight="false" outlineLevel="0" collapsed="false">
      <c r="B1" s="37" t="s">
        <v>91</v>
      </c>
    </row>
    <row r="2" customFormat="false" ht="15" hidden="false" customHeight="false" outlineLevel="0" collapsed="false">
      <c r="B2" s="3" t="s">
        <v>92</v>
      </c>
    </row>
    <row r="4" customFormat="false" ht="15" hidden="false" customHeight="false" outlineLevel="0" collapsed="false">
      <c r="B4" s="32" t="s">
        <v>3</v>
      </c>
      <c r="C4" s="38" t="s">
        <v>93</v>
      </c>
      <c r="D4" s="38" t="s">
        <v>94</v>
      </c>
      <c r="E4" s="38" t="s">
        <v>95</v>
      </c>
      <c r="F4" s="38" t="s">
        <v>96</v>
      </c>
      <c r="G4" s="38" t="s">
        <v>97</v>
      </c>
      <c r="H4" s="38" t="s">
        <v>98</v>
      </c>
      <c r="I4" s="38" t="s">
        <v>99</v>
      </c>
      <c r="J4" s="38" t="s">
        <v>100</v>
      </c>
      <c r="K4" s="38" t="s">
        <v>101</v>
      </c>
      <c r="L4" s="38" t="s">
        <v>102</v>
      </c>
      <c r="M4" s="38" t="s">
        <v>103</v>
      </c>
      <c r="N4" s="38" t="s">
        <v>104</v>
      </c>
      <c r="O4" s="23" t="s">
        <v>105</v>
      </c>
    </row>
    <row r="5" customFormat="false" ht="15" hidden="false" customHeight="false" outlineLevel="0" collapsed="false">
      <c r="B5" s="39" t="s">
        <v>106</v>
      </c>
      <c r="C5" s="40" t="n">
        <f aca="false">②前提!$C$25</f>
        <v>32428397.3333333</v>
      </c>
      <c r="D5" s="40" t="n">
        <f aca="false">②前提!$C$25</f>
        <v>32428397.3333333</v>
      </c>
      <c r="E5" s="40" t="n">
        <f aca="false">②前提!$C$25</f>
        <v>32428397.3333333</v>
      </c>
      <c r="F5" s="40" t="n">
        <f aca="false">②前提!$C$25</f>
        <v>32428397.3333333</v>
      </c>
      <c r="G5" s="40" t="n">
        <f aca="false">②前提!$C$25</f>
        <v>32428397.3333333</v>
      </c>
      <c r="H5" s="40" t="n">
        <f aca="false">②前提!$C$25</f>
        <v>32428397.3333333</v>
      </c>
      <c r="I5" s="40" t="n">
        <f aca="false">②前提!$C$25</f>
        <v>32428397.3333333</v>
      </c>
      <c r="J5" s="40" t="n">
        <f aca="false">②前提!$C$25</f>
        <v>32428397.3333333</v>
      </c>
      <c r="K5" s="40" t="n">
        <f aca="false">②前提!$C$25</f>
        <v>32428397.3333333</v>
      </c>
      <c r="L5" s="40" t="n">
        <f aca="false">②前提!$C$25</f>
        <v>32428397.3333333</v>
      </c>
      <c r="M5" s="40" t="n">
        <f aca="false">②前提!$C$25</f>
        <v>32428397.3333333</v>
      </c>
      <c r="N5" s="40" t="n">
        <f aca="false">②前提!$C$25</f>
        <v>32428397.3333333</v>
      </c>
      <c r="O5" s="26" t="n">
        <f aca="false">SUM(C5:N5)</f>
        <v>389140768</v>
      </c>
    </row>
    <row r="6" customFormat="false" ht="15" hidden="false" customHeight="false" outlineLevel="0" collapsed="false">
      <c r="B6" s="6" t="s">
        <v>107</v>
      </c>
      <c r="C6" s="8" t="n">
        <f aca="false">C5-C7</f>
        <v>15711570</v>
      </c>
      <c r="D6" s="8" t="n">
        <f aca="false">D5-D7</f>
        <v>15711570</v>
      </c>
      <c r="E6" s="8" t="n">
        <f aca="false">E5-E7</f>
        <v>15711570</v>
      </c>
      <c r="F6" s="8" t="n">
        <f aca="false">F5-F7</f>
        <v>15711570</v>
      </c>
      <c r="G6" s="8" t="n">
        <f aca="false">G5-G7</f>
        <v>15711570</v>
      </c>
      <c r="H6" s="8" t="n">
        <f aca="false">H5-H7</f>
        <v>15711570</v>
      </c>
      <c r="I6" s="8" t="n">
        <f aca="false">I5-I7</f>
        <v>15711570</v>
      </c>
      <c r="J6" s="8" t="n">
        <f aca="false">J5-J7</f>
        <v>15711570</v>
      </c>
      <c r="K6" s="8" t="n">
        <f aca="false">K5-K7</f>
        <v>15711570</v>
      </c>
      <c r="L6" s="8" t="n">
        <f aca="false">L5-L7</f>
        <v>15711570</v>
      </c>
      <c r="M6" s="8" t="n">
        <f aca="false">M5-M7</f>
        <v>15711570</v>
      </c>
      <c r="N6" s="8" t="n">
        <f aca="false">N5-N7</f>
        <v>15711570</v>
      </c>
      <c r="O6" s="26" t="n">
        <f aca="false">SUM(C6:N6)</f>
        <v>188538840</v>
      </c>
    </row>
    <row r="7" customFormat="false" ht="15" hidden="false" customHeight="false" outlineLevel="0" collapsed="false">
      <c r="B7" s="39" t="s">
        <v>11</v>
      </c>
      <c r="C7" s="40" t="n">
        <f aca="false">②前提!$C$26</f>
        <v>16716827.3333333</v>
      </c>
      <c r="D7" s="40" t="n">
        <f aca="false">②前提!$C$26</f>
        <v>16716827.3333333</v>
      </c>
      <c r="E7" s="40" t="n">
        <f aca="false">②前提!$C$26</f>
        <v>16716827.3333333</v>
      </c>
      <c r="F7" s="40" t="n">
        <f aca="false">②前提!$C$26</f>
        <v>16716827.3333333</v>
      </c>
      <c r="G7" s="40" t="n">
        <f aca="false">②前提!$C$26</f>
        <v>16716827.3333333</v>
      </c>
      <c r="H7" s="40" t="n">
        <f aca="false">②前提!$C$26</f>
        <v>16716827.3333333</v>
      </c>
      <c r="I7" s="40" t="n">
        <f aca="false">②前提!$C$26</f>
        <v>16716827.3333333</v>
      </c>
      <c r="J7" s="40" t="n">
        <f aca="false">②前提!$C$26</f>
        <v>16716827.3333333</v>
      </c>
      <c r="K7" s="40" t="n">
        <f aca="false">②前提!$C$26</f>
        <v>16716827.3333333</v>
      </c>
      <c r="L7" s="40" t="n">
        <f aca="false">②前提!$C$26</f>
        <v>16716827.3333333</v>
      </c>
      <c r="M7" s="40" t="n">
        <f aca="false">②前提!$C$26</f>
        <v>16716827.3333333</v>
      </c>
      <c r="N7" s="40" t="n">
        <f aca="false">②前提!$C$26</f>
        <v>16716827.3333333</v>
      </c>
      <c r="O7" s="26" t="n">
        <f aca="false">SUM(C7:N7)</f>
        <v>200601928</v>
      </c>
    </row>
    <row r="8" customFormat="false" ht="15" hidden="false" customHeight="false" outlineLevel="0" collapsed="false">
      <c r="B8" s="39" t="s">
        <v>108</v>
      </c>
      <c r="C8" s="40" t="n">
        <f aca="false">SUM(②前提!$C$32:$C$36)/12</f>
        <v>7708333.33333333</v>
      </c>
      <c r="D8" s="40" t="n">
        <f aca="false">SUM(②前提!$C$32:$C$36)/12</f>
        <v>7708333.33333333</v>
      </c>
      <c r="E8" s="40" t="n">
        <f aca="false">SUM(②前提!$C$32:$C$36)/12</f>
        <v>7708333.33333333</v>
      </c>
      <c r="F8" s="40" t="n">
        <f aca="false">SUM(②前提!$C$32:$C$36)/12</f>
        <v>7708333.33333333</v>
      </c>
      <c r="G8" s="40" t="n">
        <f aca="false">SUM(②前提!$C$32:$C$36)/12</f>
        <v>7708333.33333333</v>
      </c>
      <c r="H8" s="40" t="n">
        <f aca="false">SUM(②前提!$C$32:$C$36)/12</f>
        <v>7708333.33333333</v>
      </c>
      <c r="I8" s="40" t="n">
        <f aca="false">SUM(②前提!$C$32:$C$36)/12</f>
        <v>7708333.33333333</v>
      </c>
      <c r="J8" s="40" t="n">
        <f aca="false">SUM(②前提!$C$32:$C$36)/12</f>
        <v>7708333.33333333</v>
      </c>
      <c r="K8" s="40" t="n">
        <f aca="false">SUM(②前提!$C$32:$C$36)/12</f>
        <v>7708333.33333333</v>
      </c>
      <c r="L8" s="40" t="n">
        <f aca="false">SUM(②前提!$C$32:$C$36)/12</f>
        <v>7708333.33333333</v>
      </c>
      <c r="M8" s="40" t="n">
        <f aca="false">SUM(②前提!$C$32:$C$36)/12</f>
        <v>7708333.33333333</v>
      </c>
      <c r="N8" s="40" t="n">
        <f aca="false">SUM(②前提!$C$32:$C$36)/12</f>
        <v>7708333.33333333</v>
      </c>
      <c r="O8" s="26" t="n">
        <f aca="false">SUM(C8:N8)</f>
        <v>92500000</v>
      </c>
    </row>
    <row r="9" customFormat="false" ht="15" hidden="false" customHeight="false" outlineLevel="0" collapsed="false">
      <c r="B9" s="39" t="s">
        <v>109</v>
      </c>
      <c r="C9" s="40" t="n">
        <f aca="false">IF(1=②前提!$C$46,②前提!$C$37,0)</f>
        <v>0</v>
      </c>
      <c r="D9" s="40" t="n">
        <f aca="false">IF(2=②前提!$C$46,②前提!$C$37,0)</f>
        <v>0</v>
      </c>
      <c r="E9" s="40" t="n">
        <f aca="false">IF(3=②前提!$C$46,②前提!$C$37,0)</f>
        <v>0</v>
      </c>
      <c r="F9" s="40" t="n">
        <f aca="false">IF(4=②前提!$C$46,②前提!$C$37,0)</f>
        <v>0</v>
      </c>
      <c r="G9" s="40" t="n">
        <f aca="false">IF(5=②前提!$C$46,②前提!$C$37,0)</f>
        <v>0</v>
      </c>
      <c r="H9" s="40" t="n">
        <f aca="false">IF(6=②前提!$C$46,②前提!$C$37,0)</f>
        <v>20000000</v>
      </c>
      <c r="I9" s="40" t="n">
        <f aca="false">IF(7=②前提!$C$46,②前提!$C$37,0)</f>
        <v>0</v>
      </c>
      <c r="J9" s="40" t="n">
        <f aca="false">IF(8=②前提!$C$46,②前提!$C$37,0)</f>
        <v>0</v>
      </c>
      <c r="K9" s="40" t="n">
        <f aca="false">IF(9=②前提!$C$46,②前提!$C$37,0)</f>
        <v>0</v>
      </c>
      <c r="L9" s="40" t="n">
        <f aca="false">IF(10=②前提!$C$46,②前提!$C$37,0)</f>
        <v>0</v>
      </c>
      <c r="M9" s="40" t="n">
        <f aca="false">IF(11=②前提!$C$46,②前提!$C$37,0)</f>
        <v>0</v>
      </c>
      <c r="N9" s="40" t="n">
        <f aca="false">IF(12=②前提!$C$46,②前提!$C$37,0)</f>
        <v>0</v>
      </c>
      <c r="O9" s="26" t="n">
        <f aca="false">SUM(C9:N9)</f>
        <v>20000000</v>
      </c>
    </row>
    <row r="10" customFormat="false" ht="15" hidden="false" customHeight="false" outlineLevel="0" collapsed="false">
      <c r="B10" s="10" t="s">
        <v>16</v>
      </c>
      <c r="C10" s="11" t="n">
        <f aca="false">C7+C8+C9</f>
        <v>24425160.6666667</v>
      </c>
      <c r="D10" s="11" t="n">
        <f aca="false">D7+D8+D9</f>
        <v>24425160.6666667</v>
      </c>
      <c r="E10" s="11" t="n">
        <f aca="false">E7+E8+E9</f>
        <v>24425160.6666667</v>
      </c>
      <c r="F10" s="11" t="n">
        <f aca="false">F7+F8+F9</f>
        <v>24425160.6666667</v>
      </c>
      <c r="G10" s="11" t="n">
        <f aca="false">G7+G8+G9</f>
        <v>24425160.6666667</v>
      </c>
      <c r="H10" s="11" t="n">
        <f aca="false">H7+H8+H9</f>
        <v>44425160.6666667</v>
      </c>
      <c r="I10" s="11" t="n">
        <f aca="false">I7+I8+I9</f>
        <v>24425160.6666667</v>
      </c>
      <c r="J10" s="11" t="n">
        <f aca="false">J7+J8+J9</f>
        <v>24425160.6666667</v>
      </c>
      <c r="K10" s="11" t="n">
        <f aca="false">K7+K8+K9</f>
        <v>24425160.6666667</v>
      </c>
      <c r="L10" s="11" t="n">
        <f aca="false">L7+L8+L9</f>
        <v>24425160.6666667</v>
      </c>
      <c r="M10" s="11" t="n">
        <f aca="false">M7+M8+M9</f>
        <v>24425160.6666667</v>
      </c>
      <c r="N10" s="11" t="n">
        <f aca="false">N7+N8+N9</f>
        <v>24425160.6666667</v>
      </c>
      <c r="O10" s="11" t="n">
        <f aca="false">SUM(C10:N10)</f>
        <v>313101928</v>
      </c>
    </row>
    <row r="11" customFormat="false" ht="15" hidden="false" customHeight="false" outlineLevel="0" collapsed="false">
      <c r="B11" s="39" t="s">
        <v>110</v>
      </c>
      <c r="C11" s="40" t="n">
        <f aca="false">②前提!$C$27</f>
        <v>25013422</v>
      </c>
      <c r="D11" s="40" t="n">
        <f aca="false">②前提!$C$27</f>
        <v>25013422</v>
      </c>
      <c r="E11" s="40" t="n">
        <f aca="false">②前提!$C$27</f>
        <v>25013422</v>
      </c>
      <c r="F11" s="40" t="n">
        <f aca="false">②前提!$C$27</f>
        <v>25013422</v>
      </c>
      <c r="G11" s="40" t="n">
        <f aca="false">②前提!$C$27</f>
        <v>25013422</v>
      </c>
      <c r="H11" s="40" t="n">
        <f aca="false">②前提!$C$27</f>
        <v>25013422</v>
      </c>
      <c r="I11" s="40" t="n">
        <f aca="false">②前提!$C$27</f>
        <v>25013422</v>
      </c>
      <c r="J11" s="40" t="n">
        <f aca="false">②前提!$C$27</f>
        <v>25013422</v>
      </c>
      <c r="K11" s="40" t="n">
        <f aca="false">②前提!$C$27</f>
        <v>25013422</v>
      </c>
      <c r="L11" s="40" t="n">
        <f aca="false">②前提!$C$27</f>
        <v>25013422</v>
      </c>
      <c r="M11" s="40" t="n">
        <f aca="false">②前提!$C$27</f>
        <v>25013422</v>
      </c>
      <c r="N11" s="40" t="n">
        <f aca="false">②前提!$C$27</f>
        <v>25013422</v>
      </c>
      <c r="O11" s="26" t="n">
        <f aca="false">SUM(C11:N11)</f>
        <v>300161064</v>
      </c>
    </row>
    <row r="12" customFormat="false" ht="15" hidden="false" customHeight="false" outlineLevel="0" collapsed="false">
      <c r="B12" s="39" t="s">
        <v>18</v>
      </c>
      <c r="C12" s="40" t="n">
        <f aca="false">②前提!$C$44/12</f>
        <v>3000000</v>
      </c>
      <c r="D12" s="40" t="n">
        <f aca="false">②前提!$C$44/12</f>
        <v>3000000</v>
      </c>
      <c r="E12" s="40" t="n">
        <f aca="false">②前提!$C$44/12</f>
        <v>3000000</v>
      </c>
      <c r="F12" s="40" t="n">
        <f aca="false">②前提!$C$44/12</f>
        <v>3000000</v>
      </c>
      <c r="G12" s="40" t="n">
        <f aca="false">②前提!$C$44/12</f>
        <v>3000000</v>
      </c>
      <c r="H12" s="40" t="n">
        <f aca="false">②前提!$C$44/12</f>
        <v>3000000</v>
      </c>
      <c r="I12" s="40" t="n">
        <f aca="false">②前提!$C$44/12</f>
        <v>3000000</v>
      </c>
      <c r="J12" s="40" t="n">
        <f aca="false">②前提!$C$44/12</f>
        <v>3000000</v>
      </c>
      <c r="K12" s="40" t="n">
        <f aca="false">②前提!$C$44/12</f>
        <v>3000000</v>
      </c>
      <c r="L12" s="40" t="n">
        <f aca="false">②前提!$C$44/12</f>
        <v>3000000</v>
      </c>
      <c r="M12" s="40" t="n">
        <f aca="false">②前提!$C$44/12</f>
        <v>3000000</v>
      </c>
      <c r="N12" s="40" t="n">
        <f aca="false">②前提!$C$44/12</f>
        <v>3000000</v>
      </c>
      <c r="O12" s="26" t="n">
        <f aca="false">SUM(C12:N12)</f>
        <v>36000000</v>
      </c>
    </row>
    <row r="13" customFormat="false" ht="15" hidden="false" customHeight="false" outlineLevel="0" collapsed="false">
      <c r="B13" s="10" t="s">
        <v>19</v>
      </c>
      <c r="C13" s="11" t="n">
        <f aca="false">C11+C12</f>
        <v>28013422</v>
      </c>
      <c r="D13" s="11" t="n">
        <f aca="false">D11+D12</f>
        <v>28013422</v>
      </c>
      <c r="E13" s="11" t="n">
        <f aca="false">E11+E12</f>
        <v>28013422</v>
      </c>
      <c r="F13" s="11" t="n">
        <f aca="false">F11+F12</f>
        <v>28013422</v>
      </c>
      <c r="G13" s="11" t="n">
        <f aca="false">G11+G12</f>
        <v>28013422</v>
      </c>
      <c r="H13" s="11" t="n">
        <f aca="false">H11+H12</f>
        <v>28013422</v>
      </c>
      <c r="I13" s="11" t="n">
        <f aca="false">I11+I12</f>
        <v>28013422</v>
      </c>
      <c r="J13" s="11" t="n">
        <f aca="false">J11+J12</f>
        <v>28013422</v>
      </c>
      <c r="K13" s="11" t="n">
        <f aca="false">K11+K12</f>
        <v>28013422</v>
      </c>
      <c r="L13" s="11" t="n">
        <f aca="false">L11+L12</f>
        <v>28013422</v>
      </c>
      <c r="M13" s="11" t="n">
        <f aca="false">M11+M12</f>
        <v>28013422</v>
      </c>
      <c r="N13" s="11" t="n">
        <f aca="false">N11+N12</f>
        <v>28013422</v>
      </c>
      <c r="O13" s="11" t="n">
        <f aca="false">SUM(C13:N13)</f>
        <v>336161064</v>
      </c>
    </row>
    <row r="14" customFormat="false" ht="15" hidden="false" customHeight="false" outlineLevel="0" collapsed="false">
      <c r="B14" s="12" t="s">
        <v>20</v>
      </c>
      <c r="C14" s="13" t="n">
        <f aca="false">C10-C13</f>
        <v>-3588261.33333333</v>
      </c>
      <c r="D14" s="13" t="n">
        <f aca="false">D10-D13</f>
        <v>-3588261.33333333</v>
      </c>
      <c r="E14" s="13" t="n">
        <f aca="false">E10-E13</f>
        <v>-3588261.33333333</v>
      </c>
      <c r="F14" s="13" t="n">
        <f aca="false">F10-F13</f>
        <v>-3588261.33333333</v>
      </c>
      <c r="G14" s="13" t="n">
        <f aca="false">G10-G13</f>
        <v>-3588261.33333333</v>
      </c>
      <c r="H14" s="13" t="n">
        <f aca="false">H10-H13</f>
        <v>16411738.6666667</v>
      </c>
      <c r="I14" s="13" t="n">
        <f aca="false">I10-I13</f>
        <v>-3588261.33333333</v>
      </c>
      <c r="J14" s="13" t="n">
        <f aca="false">J10-J13</f>
        <v>-3588261.33333333</v>
      </c>
      <c r="K14" s="13" t="n">
        <f aca="false">K10-K13</f>
        <v>-3588261.33333333</v>
      </c>
      <c r="L14" s="13" t="n">
        <f aca="false">L10-L13</f>
        <v>-3588261.33333333</v>
      </c>
      <c r="M14" s="13" t="n">
        <f aca="false">M10-M13</f>
        <v>-3588261.33333333</v>
      </c>
      <c r="N14" s="13" t="n">
        <f aca="false">N10-N13</f>
        <v>-3588261.33333333</v>
      </c>
      <c r="O14" s="13" t="n">
        <f aca="false">SUM(C14:N14)</f>
        <v>-23059136</v>
      </c>
    </row>
    <row r="15" customFormat="false" ht="15" hidden="false" customHeight="false" outlineLevel="0" collapsed="false">
      <c r="B15" s="39" t="s">
        <v>22</v>
      </c>
      <c r="C15" s="40" t="n">
        <f aca="false">IF(1=②前提!$C$47,②前提!$C$38,0)</f>
        <v>0</v>
      </c>
      <c r="D15" s="40" t="n">
        <f aca="false">IF(2=②前提!$C$47,②前提!$C$38,0)</f>
        <v>0</v>
      </c>
      <c r="E15" s="40" t="n">
        <f aca="false">IF(3=②前提!$C$47,②前提!$C$38,0)</f>
        <v>0</v>
      </c>
      <c r="F15" s="40" t="n">
        <f aca="false">IF(4=②前提!$C$47,②前提!$C$38,0)</f>
        <v>0</v>
      </c>
      <c r="G15" s="40" t="n">
        <f aca="false">IF(5=②前提!$C$47,②前提!$C$38,0)</f>
        <v>0</v>
      </c>
      <c r="H15" s="40" t="n">
        <f aca="false">IF(6=②前提!$C$47,②前提!$C$38,0)</f>
        <v>20000000</v>
      </c>
      <c r="I15" s="40" t="n">
        <f aca="false">IF(7=②前提!$C$47,②前提!$C$38,0)</f>
        <v>0</v>
      </c>
      <c r="J15" s="40" t="n">
        <f aca="false">IF(8=②前提!$C$47,②前提!$C$38,0)</f>
        <v>0</v>
      </c>
      <c r="K15" s="40" t="n">
        <f aca="false">IF(9=②前提!$C$47,②前提!$C$38,0)</f>
        <v>0</v>
      </c>
      <c r="L15" s="40" t="n">
        <f aca="false">IF(10=②前提!$C$47,②前提!$C$38,0)</f>
        <v>0</v>
      </c>
      <c r="M15" s="40" t="n">
        <f aca="false">IF(11=②前提!$C$47,②前提!$C$38,0)</f>
        <v>0</v>
      </c>
      <c r="N15" s="40" t="n">
        <f aca="false">IF(12=②前提!$C$47,②前提!$C$38,0)</f>
        <v>0</v>
      </c>
      <c r="O15" s="26" t="n">
        <f aca="false">SUM(C15:N15)</f>
        <v>20000000</v>
      </c>
    </row>
    <row r="16" customFormat="false" ht="15" hidden="false" customHeight="false" outlineLevel="0" collapsed="false">
      <c r="B16" s="39" t="s">
        <v>111</v>
      </c>
      <c r="C16" s="40" t="n">
        <f aca="false">②前提!$C$45/12</f>
        <v>1250000</v>
      </c>
      <c r="D16" s="40" t="n">
        <f aca="false">②前提!$C$45/12</f>
        <v>1250000</v>
      </c>
      <c r="E16" s="40" t="n">
        <f aca="false">②前提!$C$45/12</f>
        <v>1250000</v>
      </c>
      <c r="F16" s="40" t="n">
        <f aca="false">②前提!$C$45/12</f>
        <v>1250000</v>
      </c>
      <c r="G16" s="40" t="n">
        <f aca="false">②前提!$C$45/12</f>
        <v>1250000</v>
      </c>
      <c r="H16" s="40" t="n">
        <f aca="false">②前提!$C$45/12</f>
        <v>1250000</v>
      </c>
      <c r="I16" s="40" t="n">
        <f aca="false">②前提!$C$45/12</f>
        <v>1250000</v>
      </c>
      <c r="J16" s="40" t="n">
        <f aca="false">②前提!$C$45/12</f>
        <v>1250000</v>
      </c>
      <c r="K16" s="40" t="n">
        <f aca="false">②前提!$C$45/12</f>
        <v>1250000</v>
      </c>
      <c r="L16" s="40" t="n">
        <f aca="false">②前提!$C$45/12</f>
        <v>1250000</v>
      </c>
      <c r="M16" s="40" t="n">
        <f aca="false">②前提!$C$45/12</f>
        <v>1250000</v>
      </c>
      <c r="N16" s="40" t="n">
        <f aca="false">②前提!$C$45/12</f>
        <v>1250000</v>
      </c>
      <c r="O16" s="26" t="n">
        <f aca="false">SUM(C16:N16)</f>
        <v>15000000</v>
      </c>
    </row>
    <row r="17" customFormat="false" ht="15" hidden="false" customHeight="false" outlineLevel="0" collapsed="false">
      <c r="B17" s="15" t="s">
        <v>24</v>
      </c>
      <c r="C17" s="16" t="n">
        <f aca="false">C14+C15-C16</f>
        <v>-4838261.33333333</v>
      </c>
      <c r="D17" s="16" t="n">
        <f aca="false">D14+D15-D16</f>
        <v>-4838261.33333333</v>
      </c>
      <c r="E17" s="16" t="n">
        <f aca="false">E14+E15-E16</f>
        <v>-4838261.33333333</v>
      </c>
      <c r="F17" s="16" t="n">
        <f aca="false">F14+F15-F16</f>
        <v>-4838261.33333333</v>
      </c>
      <c r="G17" s="16" t="n">
        <f aca="false">G14+G15-G16</f>
        <v>-4838261.33333333</v>
      </c>
      <c r="H17" s="16" t="n">
        <f aca="false">H14+H15-H16</f>
        <v>35161738.6666667</v>
      </c>
      <c r="I17" s="16" t="n">
        <f aca="false">I14+I15-I16</f>
        <v>-4838261.33333333</v>
      </c>
      <c r="J17" s="16" t="n">
        <f aca="false">J14+J15-J16</f>
        <v>-4838261.33333333</v>
      </c>
      <c r="K17" s="16" t="n">
        <f aca="false">K14+K15-K16</f>
        <v>-4838261.33333333</v>
      </c>
      <c r="L17" s="16" t="n">
        <f aca="false">L14+L15-L16</f>
        <v>-4838261.33333333</v>
      </c>
      <c r="M17" s="16" t="n">
        <f aca="false">M14+M15-M16</f>
        <v>-4838261.33333333</v>
      </c>
      <c r="N17" s="16" t="n">
        <f aca="false">N14+N15-N16</f>
        <v>-4838261.33333333</v>
      </c>
      <c r="O17" s="16" t="n">
        <f aca="false">SUM(C17:N17)</f>
        <v>-18059136</v>
      </c>
    </row>
    <row r="19" customFormat="false" ht="15" hidden="false" customHeight="false" outlineLevel="0" collapsed="false">
      <c r="B19" s="3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14" min="3" style="0" width="14"/>
    <col collapsed="false" customWidth="true" hidden="false" outlineLevel="0" max="15" min="15" style="0" width="17"/>
  </cols>
  <sheetData>
    <row r="1" customFormat="false" ht="16.4" hidden="false" customHeight="false" outlineLevel="0" collapsed="false">
      <c r="B1" s="41" t="s">
        <v>113</v>
      </c>
    </row>
    <row r="2" customFormat="false" ht="15" hidden="false" customHeight="false" outlineLevel="0" collapsed="false">
      <c r="B2" s="34" t="s">
        <v>114</v>
      </c>
    </row>
    <row r="4" customFormat="false" ht="15" hidden="false" customHeight="false" outlineLevel="0" collapsed="false">
      <c r="B4" s="32" t="s">
        <v>3</v>
      </c>
      <c r="C4" s="38" t="s">
        <v>115</v>
      </c>
      <c r="D4" s="38" t="s">
        <v>116</v>
      </c>
      <c r="E4" s="38" t="s">
        <v>117</v>
      </c>
      <c r="F4" s="38" t="s">
        <v>118</v>
      </c>
      <c r="G4" s="38" t="s">
        <v>119</v>
      </c>
      <c r="H4" s="38" t="s">
        <v>120</v>
      </c>
      <c r="I4" s="38" t="s">
        <v>44</v>
      </c>
      <c r="J4" s="38" t="s">
        <v>45</v>
      </c>
      <c r="K4" s="38" t="s">
        <v>46</v>
      </c>
      <c r="L4" s="38" t="s">
        <v>52</v>
      </c>
      <c r="M4" s="38" t="s">
        <v>121</v>
      </c>
      <c r="N4" s="38" t="s">
        <v>122</v>
      </c>
      <c r="O4" s="32" t="s">
        <v>123</v>
      </c>
    </row>
    <row r="5" customFormat="false" ht="15" hidden="false" customHeight="false" outlineLevel="0" collapsed="false">
      <c r="B5" s="6" t="s">
        <v>41</v>
      </c>
      <c r="C5" s="7" t="n">
        <v>32789307</v>
      </c>
      <c r="D5" s="7" t="n">
        <v>96919229</v>
      </c>
      <c r="E5" s="7" t="n">
        <v>43039844</v>
      </c>
      <c r="F5" s="7" t="n">
        <v>32477958</v>
      </c>
      <c r="G5" s="7" t="n">
        <v>41290432</v>
      </c>
      <c r="H5" s="7" t="n">
        <v>33033585</v>
      </c>
      <c r="I5" s="7" t="n">
        <v>31863679</v>
      </c>
      <c r="J5" s="7" t="n">
        <v>33917025</v>
      </c>
      <c r="K5" s="7" t="n">
        <v>31504488</v>
      </c>
      <c r="L5" s="42" t="n">
        <v>60489854</v>
      </c>
      <c r="M5" s="42" t="n">
        <v>37962048</v>
      </c>
      <c r="N5" s="42" t="n">
        <v>232918371</v>
      </c>
      <c r="O5" s="26" t="n">
        <f aca="false">SUM(C5:N5)</f>
        <v>708205820</v>
      </c>
    </row>
    <row r="6" customFormat="false" ht="15" hidden="false" customHeight="false" outlineLevel="0" collapsed="false">
      <c r="B6" s="6" t="s">
        <v>107</v>
      </c>
      <c r="C6" s="7" t="n">
        <v>18502877</v>
      </c>
      <c r="D6" s="7" t="n">
        <v>69212121</v>
      </c>
      <c r="E6" s="7" t="n">
        <v>21085289</v>
      </c>
      <c r="F6" s="7" t="n">
        <v>16521949</v>
      </c>
      <c r="G6" s="7" t="n">
        <v>21070367</v>
      </c>
      <c r="H6" s="7" t="n">
        <v>18454664</v>
      </c>
      <c r="I6" s="7" t="n">
        <v>16184238</v>
      </c>
      <c r="J6" s="7" t="n">
        <v>15777832</v>
      </c>
      <c r="K6" s="7" t="n">
        <v>15172640</v>
      </c>
      <c r="L6" s="42" t="n">
        <v>38396406</v>
      </c>
      <c r="M6" s="42" t="n">
        <v>23721353</v>
      </c>
      <c r="N6" s="42" t="n">
        <v>204966678</v>
      </c>
      <c r="O6" s="26" t="n">
        <f aca="false">SUM(C6:N6)</f>
        <v>479066414</v>
      </c>
    </row>
    <row r="7" customFormat="false" ht="15" hidden="false" customHeight="false" outlineLevel="0" collapsed="false">
      <c r="B7" s="6" t="s">
        <v>42</v>
      </c>
      <c r="C7" s="7" t="n">
        <v>14286430</v>
      </c>
      <c r="D7" s="7" t="n">
        <v>27707108</v>
      </c>
      <c r="E7" s="7" t="n">
        <v>21954555</v>
      </c>
      <c r="F7" s="7" t="n">
        <v>15956009</v>
      </c>
      <c r="G7" s="7" t="n">
        <v>20220065</v>
      </c>
      <c r="H7" s="7" t="n">
        <v>14578921</v>
      </c>
      <c r="I7" s="7" t="n">
        <v>15679441</v>
      </c>
      <c r="J7" s="7" t="n">
        <v>18139193</v>
      </c>
      <c r="K7" s="7" t="n">
        <v>16331848</v>
      </c>
      <c r="L7" s="42" t="n">
        <v>22093448</v>
      </c>
      <c r="M7" s="42" t="n">
        <v>14240695</v>
      </c>
      <c r="N7" s="42" t="n">
        <v>27951692</v>
      </c>
      <c r="O7" s="26" t="n">
        <f aca="false">SUM(C7:N7)</f>
        <v>229139405</v>
      </c>
    </row>
    <row r="8" customFormat="false" ht="15" hidden="false" customHeight="false" outlineLevel="0" collapsed="false">
      <c r="B8" s="6" t="s">
        <v>43</v>
      </c>
      <c r="C8" s="7" t="n">
        <v>25374892</v>
      </c>
      <c r="D8" s="7" t="n">
        <v>30963282</v>
      </c>
      <c r="E8" s="7" t="n">
        <v>38572456</v>
      </c>
      <c r="F8" s="7" t="n">
        <v>33761779</v>
      </c>
      <c r="G8" s="7" t="n">
        <v>34133901</v>
      </c>
      <c r="H8" s="7" t="n">
        <v>38737868</v>
      </c>
      <c r="I8" s="7" t="n">
        <v>25883967</v>
      </c>
      <c r="J8" s="7" t="n">
        <v>24529013</v>
      </c>
      <c r="K8" s="7" t="n">
        <v>24627286</v>
      </c>
      <c r="L8" s="42" t="n">
        <v>21021015</v>
      </c>
      <c r="M8" s="42" t="n">
        <v>23912798</v>
      </c>
      <c r="N8" s="42" t="n">
        <v>22414579</v>
      </c>
      <c r="O8" s="26" t="n">
        <f aca="false">SUM(C8:N8)</f>
        <v>343932836</v>
      </c>
    </row>
    <row r="9" customFormat="false" ht="15" hidden="false" customHeight="false" outlineLevel="0" collapsed="false">
      <c r="B9" s="43" t="s">
        <v>20</v>
      </c>
      <c r="C9" s="11" t="n">
        <f aca="false">C7-C8</f>
        <v>-11088462</v>
      </c>
      <c r="D9" s="11" t="n">
        <f aca="false">D7-D8</f>
        <v>-3256174</v>
      </c>
      <c r="E9" s="11" t="n">
        <f aca="false">E7-E8</f>
        <v>-16617901</v>
      </c>
      <c r="F9" s="11" t="n">
        <f aca="false">F7-F8</f>
        <v>-17805770</v>
      </c>
      <c r="G9" s="11" t="n">
        <f aca="false">G7-G8</f>
        <v>-13913836</v>
      </c>
      <c r="H9" s="11" t="n">
        <f aca="false">H7-H8</f>
        <v>-24158947</v>
      </c>
      <c r="I9" s="11" t="n">
        <f aca="false">I7-I8</f>
        <v>-10204526</v>
      </c>
      <c r="J9" s="11" t="n">
        <f aca="false">J7-J8</f>
        <v>-6389820</v>
      </c>
      <c r="K9" s="11" t="n">
        <f aca="false">K7-K8</f>
        <v>-8295438</v>
      </c>
      <c r="L9" s="11" t="n">
        <f aca="false">L7-L8</f>
        <v>1072433</v>
      </c>
      <c r="M9" s="11" t="n">
        <f aca="false">M7-M8</f>
        <v>-9672103</v>
      </c>
      <c r="N9" s="11" t="n">
        <f aca="false">N7-N8</f>
        <v>5537113</v>
      </c>
      <c r="O9" s="11" t="n">
        <f aca="false">SUM(C9:N9)</f>
        <v>-114793431</v>
      </c>
    </row>
    <row r="11" customFormat="false" ht="15" hidden="false" customHeight="false" outlineLevel="0" collapsed="false">
      <c r="B11" s="34" t="s">
        <v>124</v>
      </c>
    </row>
    <row r="12" customFormat="false" ht="15" hidden="false" customHeight="false" outlineLevel="0" collapsed="false">
      <c r="B12" s="29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2026-08-22T00:12:00Z</dcterms:created>
  <dc:creator>openpyxl</dc:creator>
  <dc:description/>
  <dc:language>en-US</dc:language>
  <cp:lastModifiedBy/>
  <dcterms:modified xsi:type="dcterms:W3CDTF">2026-08-22T00:12:00Z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