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<sst xmlns="http://schemas.openxmlformats.org/spreadsheetml/2006/main" count="349" uniqueCount="277">
  <si>
    <r>
      <rPr>
        <b val="true"/>
        <sz val="15"/>
        <rFont val="Arial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Arial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Arial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</si>
  <si>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595959"/>
        <rFont val="WenQuanYi Zen Hei"/>
        <family val="2"/>
      </rPr>
      <t xml:space="preserve">ベース：飲食撤退後の実力値（</t>
    </r>
    <r>
      <rPr>
        <sz val="10"/>
        <color rgb="FF595959"/>
        <rFont val="Arial"/>
        <family val="0"/>
        <charset val="1"/>
      </rPr>
      <t xml:space="preserve">2026/04-06 </t>
    </r>
    <r>
      <rPr>
        <sz val="10"/>
        <color rgb="FF595959"/>
        <rFont val="WenQuanYi Zen Hei"/>
        <family val="2"/>
      </rPr>
      <t xml:space="preserve">実績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か月平均）を横ばい延伸</t>
    </r>
  </si>
  <si>
    <r>
      <rPr>
        <sz val="9"/>
        <color rgb="FF595959"/>
        <rFont val="WenQuanYi Zen Hei"/>
        <family val="2"/>
      </rPr>
      <t xml:space="preserve">単位：円（税別）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（銀行様）月次／決算報告書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</si>
  <si>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</si>
  <si>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Arial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</si>
  <si>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撤退後実力値
横ばいのみ</t>
    </r>
  </si>
  <si>
    <r>
      <rPr>
        <b val="true"/>
        <sz val="11"/>
        <color rgb="FFFFFFFF"/>
        <rFont val="Arial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</si>
  <si>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経常利益
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</si>
  <si>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t xml:space="preserve">コメント</t>
  </si>
  <si>
    <t xml:space="preserve">既存事業 売上</t>
  </si>
  <si>
    <t xml:space="preserve">売上総利益（既存事業）</t>
  </si>
  <si>
    <t xml:space="preserve">＋上乗せ案件（営業収益）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</si>
  <si>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＋クルーザー</t>
    </r>
    <r>
      <rPr>
        <sz val="9"/>
        <color rgb="FF595959"/>
        <rFont val="Arial"/>
        <family val="0"/>
        <charset val="1"/>
      </rPr>
      <t xml:space="preserve">20</t>
    </r>
  </si>
  <si>
    <t xml:space="preserve">＋追加で必要な粗利</t>
  </si>
  <si>
    <r>
      <rPr>
        <sz val="9"/>
        <color rgb="FF595959"/>
        <rFont val="WenQuanYi Zen Hei"/>
        <family val="2"/>
      </rPr>
      <t xml:space="preserve">経常利益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億円の達成に必要な粗利の上積み</t>
    </r>
  </si>
  <si>
    <t xml:space="preserve">売上総利益 合計</t>
  </si>
  <si>
    <t xml:space="preserve">販管費</t>
  </si>
  <si>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</t>
    </r>
    <r>
      <rPr>
        <sz val="9"/>
        <color rgb="FF595959"/>
        <rFont val="Arial"/>
        <family val="0"/>
        <charset val="1"/>
      </rPr>
      <t xml:space="preserve">×12</t>
    </r>
  </si>
  <si>
    <t xml:space="preserve">営業利益</t>
  </si>
  <si>
    <t xml:space="preserve">営業外収益</t>
  </si>
  <si>
    <t xml:space="preserve">クルーザー事業利益は営業収益に計上</t>
  </si>
  <si>
    <t xml:space="preserve">営業外費用</t>
  </si>
  <si>
    <t xml:space="preserve">経常利益</t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</si>
  <si>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は目標経常利益を固定して逆算</t>
    </r>
  </si>
  <si>
    <t xml:space="preserve">法人税等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</si>
  <si>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百万円により実質非課税</t>
    </r>
  </si>
  <si>
    <t xml:space="preserve">当期純利益</t>
  </si>
  <si>
    <r>
      <rPr>
        <b val="true"/>
        <sz val="12"/>
        <rFont val="WenQuanYi Zen Hei"/>
        <family val="2"/>
      </rPr>
      <t xml:space="preserve">【経常利益</t>
    </r>
    <r>
      <rPr>
        <b val="true"/>
        <sz val="12"/>
        <rFont val="Arial"/>
        <family val="0"/>
        <charset val="1"/>
      </rPr>
      <t xml:space="preserve">1</t>
    </r>
    <r>
      <rPr>
        <b val="true"/>
        <sz val="12"/>
        <rFont val="WenQuanYi Zen Hei"/>
        <family val="2"/>
      </rPr>
      <t xml:space="preserve">億円に必要な追加売上】</t>
    </r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</si>
  <si>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</si>
  <si>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Arial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</si>
  <si>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WenQuanYi Zen Hei"/>
        <family val="2"/>
      </rPr>
      <t xml:space="preserve">経常利益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</si>
  <si>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t xml:space="preserve">【判定】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</si>
  <si>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：撤退後の実力値を横ばいで延ばすだけでは営業利益▲</t>
    </r>
    <r>
      <rPr>
        <sz val="10"/>
        <rFont val="Arial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百万円・経常利益▲</t>
    </r>
    <r>
      <rPr>
        <sz val="10"/>
        <rFont val="Arial"/>
        <family val="0"/>
        <charset val="1"/>
      </rPr>
      <t xml:space="preserve">114.6</t>
    </r>
    <r>
      <rPr>
        <sz val="10"/>
        <rFont val="WenQuanYi Zen Hei"/>
        <family val="2"/>
      </rPr>
      <t xml:space="preserve">百万円。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</si>
  <si>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Arial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百万円を全額営業収益に計上すると営業利益＋</t>
    </r>
    <r>
      <rPr>
        <sz val="10"/>
        <rFont val="Arial"/>
        <family val="0"/>
        <charset val="1"/>
      </rPr>
      <t xml:space="preserve">32.9</t>
    </r>
    <r>
      <rPr>
        <sz val="10"/>
        <rFont val="WenQuanYi Zen Hei"/>
        <family val="2"/>
      </rPr>
      <t xml:space="preserve">百万円・経常利益＋</t>
    </r>
    <r>
      <rPr>
        <sz val="10"/>
        <rFont val="Arial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百万円で黒字化する。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</si>
  <si>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：経常利益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億円には、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からさらに粗利</t>
    </r>
    <r>
      <rPr>
        <sz val="10"/>
        <rFont val="Arial"/>
        <family val="0"/>
        <charset val="1"/>
      </rPr>
      <t xml:space="preserve">82.1</t>
    </r>
    <r>
      <rPr>
        <sz val="10"/>
        <rFont val="WenQuanYi Zen Hei"/>
        <family val="2"/>
      </rPr>
      <t xml:space="preserve">百万円の上積みが必要。追加売上は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5,918</t>
    </r>
    <r>
      <rPr>
        <sz val="10"/>
        <rFont val="WenQuanYi Zen Hei"/>
        <family val="2"/>
      </rPr>
      <t xml:space="preserve">万円。</t>
    </r>
  </si>
  <si>
    <r>
      <rPr>
        <sz val="10"/>
        <rFont val="WenQuanYi Zen Hei"/>
        <family val="2"/>
      </rPr>
      <t xml:space="preserve">　　これは新規顧客売上計画（</t>
    </r>
    <r>
      <rPr>
        <sz val="10"/>
        <rFont val="Arial"/>
        <family val="0"/>
        <charset val="1"/>
      </rPr>
      <t xml:space="preserve">1,066</t>
    </r>
    <r>
      <rPr>
        <sz val="10"/>
        <rFont val="WenQuanYi Zen Hei"/>
        <family val="2"/>
      </rPr>
      <t xml:space="preserve">百万円）の</t>
    </r>
    <r>
      <rPr>
        <sz val="10"/>
        <rFont val="Arial"/>
        <family val="0"/>
        <charset val="1"/>
      </rPr>
      <t xml:space="preserve">14.9%</t>
    </r>
    <r>
      <rPr>
        <sz val="10"/>
        <rFont val="WenQuanYi Zen Hei"/>
        <family val="2"/>
      </rPr>
      <t xml:space="preserve">にあたる。</t>
    </r>
  </si>
  <si>
    <r>
      <rPr>
        <sz val="10"/>
        <rFont val="WenQuanYi Zen Hei"/>
        <family val="2"/>
      </rPr>
      <t xml:space="preserve">※クルーザー事業利益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百万円は投資損益ではなく事業利益のため、営業収益に計上（</t>
    </r>
    <r>
      <rPr>
        <sz val="10"/>
        <rFont val="Arial"/>
        <family val="0"/>
        <charset val="1"/>
      </rPr>
      <t xml:space="preserve">2027/03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百万円、</t>
    </r>
    <r>
      <rPr>
        <sz val="10"/>
        <rFont val="Arial"/>
        <family val="0"/>
        <charset val="1"/>
      </rPr>
      <t xml:space="preserve">2027/09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百万円）。</t>
    </r>
  </si>
  <si>
    <r>
      <rPr>
        <sz val="10"/>
        <rFont val="WenQuanYi Zen Hei"/>
        <family val="2"/>
      </rPr>
      <t xml:space="preserve">※上場関連コストは</t>
    </r>
    <r>
      <rPr>
        <sz val="10"/>
        <rFont val="Arial"/>
        <family val="0"/>
        <charset val="1"/>
      </rPr>
      <t xml:space="preserve">FY2027</t>
    </r>
    <r>
      <rPr>
        <sz val="10"/>
        <rFont val="WenQuanYi Zen Hei"/>
        <family val="2"/>
      </rPr>
      <t xml:space="preserve">は計上しない方針のため、項目自体を削除。</t>
    </r>
  </si>
  <si>
    <r>
      <rPr>
        <sz val="10"/>
        <rFont val="WenQuanYi Zen Hei"/>
        <family val="2"/>
      </rPr>
      <t xml:space="preserve">※上乗せ案件のうち約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百万円はグループ内取引。銀行は正常化調整で控除する可能性が高い。</t>
    </r>
  </si>
  <si>
    <r>
      <rPr>
        <b val="true"/>
        <sz val="13"/>
        <rFont val="Arial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</si>
  <si>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595959"/>
        <rFont val="WenQuanYi Zen Hei"/>
        <family val="2"/>
      </rPr>
      <t xml:space="preserve">青字＝実績（</t>
    </r>
    <r>
      <rPr>
        <sz val="9"/>
        <color rgb="FF595959"/>
        <rFont val="Arial"/>
        <family val="0"/>
        <charset val="1"/>
      </rPr>
      <t xml:space="preserve">2026/06</t>
    </r>
    <r>
      <rPr>
        <sz val="9"/>
        <color rgb="FF595959"/>
        <rFont val="WenQuanYi Zen Hei"/>
        <family val="2"/>
      </rPr>
      <t xml:space="preserve">まで）　灰字斜体＝見込（</t>
    </r>
    <r>
      <rPr>
        <sz val="9"/>
        <color rgb="FF595959"/>
        <rFont val="Arial"/>
        <family val="0"/>
        <charset val="1"/>
      </rPr>
      <t xml:space="preserve">2026/07</t>
    </r>
    <r>
      <rPr>
        <sz val="9"/>
        <color rgb="FF595959"/>
        <rFont val="WenQuanYi Zen Hei"/>
        <family val="2"/>
      </rPr>
      <t xml:space="preserve">以降・同一値が並ぶプラグ）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（銀行様）全社シート</t>
    </r>
  </si>
  <si>
    <r>
      <rPr>
        <sz val="9"/>
        <color rgb="FFC00000"/>
        <rFont val="WenQuanYi Zen Hei"/>
        <family val="2"/>
      </rPr>
      <t xml:space="preserve">飲食事業の撤退により、</t>
    </r>
    <r>
      <rPr>
        <sz val="9"/>
        <color rgb="FFC00000"/>
        <rFont val="Arial"/>
        <family val="0"/>
        <charset val="1"/>
      </rPr>
      <t xml:space="preserve">2026/04</t>
    </r>
    <r>
      <rPr>
        <sz val="9"/>
        <color rgb="FFC00000"/>
        <rFont val="WenQuanYi Zen Hei"/>
        <family val="2"/>
      </rPr>
      <t xml:space="preserve">以降が撤退後の実力値。</t>
    </r>
    <r>
      <rPr>
        <sz val="9"/>
        <color rgb="FFC00000"/>
        <rFont val="Arial"/>
        <family val="0"/>
        <charset val="1"/>
      </rPr>
      <t xml:space="preserve">2025/10-2026/03</t>
    </r>
    <r>
      <rPr>
        <sz val="9"/>
        <color rgb="FFC00000"/>
        <rFont val="WenQuanYi Zen Hei"/>
        <family val="2"/>
      </rPr>
      <t xml:space="preserve">には撤退店舗の費用が含まれる。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</si>
  <si>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</si>
  <si>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</si>
  <si>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</si>
  <si>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</si>
  <si>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</si>
  <si>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</si>
  <si>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</si>
  <si>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</si>
  <si>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</si>
  <si>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</si>
  <si>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</si>
  <si>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</si>
  <si>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</si>
  <si>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Arial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</si>
  <si>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Arial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</si>
  <si>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Arial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</si>
  <si>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</si>
  <si>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</si>
  <si>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</si>
  <si>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</si>
  <si>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</si>
  <si>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</si>
  <si>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</si>
  <si>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</si>
  <si>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</si>
  <si>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</si>
  <si>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</si>
  <si>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</si>
  <si>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</si>
  <si>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</si>
  <si>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</si>
  <si>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</si>
  <si>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</si>
  <si>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</si>
  <si>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</si>
  <si>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</si>
  <si>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</si>
  <si>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</si>
  <si>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</si>
  <si>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</si>
  <si>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</si>
  <si>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</si>
  <si>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</si>
  <si>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t xml:space="preserve">販管費 合計</t>
  </si>
  <si>
    <r>
      <rPr>
        <sz val="9"/>
        <color rgb="FFC00000"/>
        <rFont val="WenQuanYi Zen Hei"/>
        <family val="2"/>
      </rPr>
      <t xml:space="preserve">※「差 ②</t>
    </r>
    <r>
      <rPr>
        <sz val="9"/>
        <color rgb="FFC00000"/>
        <rFont val="Arial"/>
        <family val="0"/>
        <charset val="1"/>
      </rPr>
      <t xml:space="preserve">-①</t>
    </r>
    <r>
      <rPr>
        <sz val="9"/>
        <color rgb="FFC00000"/>
        <rFont val="WenQuanYi Zen Hei"/>
        <family val="2"/>
      </rPr>
      <t xml:space="preserve">」がマイナスの科目＝飲食撤退および固定費削減により減少した費用。合計で月▲</t>
    </r>
    <r>
      <rPr>
        <sz val="9"/>
        <color rgb="FFC00000"/>
        <rFont val="Arial"/>
        <family val="0"/>
        <charset val="1"/>
      </rPr>
      <t xml:space="preserve">8.58</t>
    </r>
    <r>
      <rPr>
        <sz val="9"/>
        <color rgb="FFC00000"/>
        <rFont val="WenQuanYi Zen Hei"/>
        <family val="2"/>
      </rPr>
      <t xml:space="preserve">百万円（年▲</t>
    </r>
    <r>
      <rPr>
        <sz val="9"/>
        <color rgb="FFC00000"/>
        <rFont val="Arial"/>
        <family val="0"/>
        <charset val="1"/>
      </rPr>
      <t xml:space="preserve">103</t>
    </r>
    <r>
      <rPr>
        <sz val="9"/>
        <color rgb="FFC00000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</si>
  <si>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</si>
  <si>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595959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595959"/>
        <rFont val="Arial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</si>
  <si>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】ベース：飲食撤退後の実力値（</t>
    </r>
    <r>
      <rPr>
        <b val="true"/>
        <sz val="11"/>
        <color rgb="FFFFFFFF"/>
        <rFont val="Arial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</si>
  <si>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</si>
  <si>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</si>
  <si>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以前は飲食撤退店舗の売上・費用を含むため基準から除外（貴社ご指摘）。</t>
    </r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</si>
  <si>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</si>
  <si>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Arial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</si>
  <si>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</si>
  <si>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</si>
  <si>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</si>
  <si>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</si>
  <si>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か月按分）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</si>
  <si>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</si>
  <si>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</si>
  <si>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</si>
  <si>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</si>
  <si>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Arial"/>
        <family val="0"/>
        <charset val="1"/>
      </rPr>
      <t xml:space="preserve">Apicius2 shot</t>
    </r>
  </si>
  <si>
    <t xml:space="preserve">営業収益（成功報酬・一時）</t>
  </si>
  <si>
    <r>
      <rPr>
        <sz val="11"/>
        <rFont val="WenQuanYi Zen Hei"/>
        <family val="2"/>
      </rPr>
      <t xml:space="preserve">クルーザー事業利益　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</si>
  <si>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2027/03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</si>
  <si>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クルーザー事業利益　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</si>
  <si>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r>
      <rPr>
        <sz val="11"/>
        <rFont val="WenQuanYi Zen Hei"/>
        <family val="2"/>
      </rPr>
      <t xml:space="preserve">営業収益（</t>
    </r>
    <r>
      <rPr>
        <sz val="11"/>
        <rFont val="Arial"/>
        <family val="0"/>
        <charset val="1"/>
      </rPr>
      <t xml:space="preserve">2027/09</t>
    </r>
    <r>
      <rPr>
        <sz val="11"/>
        <rFont val="WenQuanYi Zen Hei"/>
        <family val="2"/>
      </rPr>
      <t xml:space="preserve">）</t>
    </r>
  </si>
  <si>
    <t xml:space="preserve">合計</t>
  </si>
  <si>
    <r>
      <rPr>
        <sz val="9"/>
        <color rgb="FFC00000"/>
        <rFont val="WenQuanYi Zen Hei"/>
        <family val="2"/>
      </rPr>
      <t xml:space="preserve">※期間表記は</t>
    </r>
    <r>
      <rPr>
        <sz val="9"/>
        <color rgb="FFC00000"/>
        <rFont val="Arial"/>
        <family val="0"/>
        <charset val="1"/>
      </rPr>
      <t xml:space="preserve">2026/09-2027/08</t>
    </r>
    <r>
      <rPr>
        <sz val="9"/>
        <color rgb="FFC00000"/>
        <rFont val="WenQuanYi Zen Hei"/>
        <family val="2"/>
      </rPr>
      <t xml:space="preserve">。決算期</t>
    </r>
    <r>
      <rPr>
        <sz val="9"/>
        <color rgb="FFC00000"/>
        <rFont val="Arial"/>
        <family val="0"/>
        <charset val="1"/>
      </rPr>
      <t xml:space="preserve">(2026/10-2027/09)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か月ズレるため全額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</si>
  <si>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</si>
  <si>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C00000"/>
        <rFont val="WenQuanYi Zen Hei"/>
        <family val="2"/>
      </rPr>
      <t xml:space="preserve">※うち約</t>
    </r>
    <r>
      <rPr>
        <sz val="9"/>
        <color rgb="FFC00000"/>
        <rFont val="Arial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百万円はグループ内取引（</t>
    </r>
    <r>
      <rPr>
        <sz val="9"/>
        <color rgb="FFC00000"/>
        <rFont val="Arial"/>
        <family val="0"/>
        <charset val="1"/>
      </rPr>
      <t xml:space="preserve">Value table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Prime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Apicius2</t>
    </r>
    <r>
      <rPr>
        <sz val="9"/>
        <color rgb="FFC00000"/>
        <rFont val="WenQuanYi Zen Hei"/>
        <family val="2"/>
      </rPr>
      <t xml:space="preserve">）。</t>
    </r>
  </si>
  <si>
    <t xml:space="preserve">　うち 営業外収益</t>
  </si>
  <si>
    <r>
      <rPr>
        <sz val="9"/>
        <color rgb="FFC00000"/>
        <rFont val="WenQuanYi Zen Hei"/>
        <family val="2"/>
      </rPr>
      <t xml:space="preserve">クルーザー事業利益は投資損益ではなく事業利益のため、全額を営業収益に計上。営業外収益は</t>
    </r>
    <r>
      <rPr>
        <sz val="9"/>
        <color rgb="FFC00000"/>
        <rFont val="Arial"/>
        <family val="0"/>
        <charset val="1"/>
      </rPr>
      <t xml:space="preserve">0</t>
    </r>
    <r>
      <rPr>
        <sz val="9"/>
        <color rgb="FFC00000"/>
        <rFont val="WenQuanYi Zen Hei"/>
        <family val="2"/>
      </rPr>
      <t xml:space="preserve">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</si>
  <si>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</si>
  <si>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営業外費用（支払利息等・年額）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</si>
  <si>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</si>
  <si>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</si>
  <si>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</si>
  <si>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 計上月</t>
    </r>
  </si>
  <si>
    <r>
      <rPr>
        <sz val="11"/>
        <rFont val="WenQuanYi Zen Hei"/>
        <family val="2"/>
      </rPr>
      <t xml:space="preserve">クルーザー事業利益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 計上月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</si>
  <si>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月（期末までに計上）</t>
    </r>
  </si>
  <si>
    <t xml:space="preserve">目標経常利益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</si>
  <si>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の目標。営業利益ではなく経常利益で設定。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</si>
  <si>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Arial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</si>
  <si>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</si>
  <si>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t xml:space="preserve">均等割のみ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</si>
  <si>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FY2025▲127.4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FY2026▲124.8</t>
    </r>
    <r>
      <rPr>
        <sz val="9"/>
        <color rgb="FF595959"/>
        <rFont val="WenQuanYi Zen Hei"/>
        <family val="2"/>
      </rPr>
      <t xml:space="preserve">）。資本金</t>
    </r>
    <r>
      <rPr>
        <sz val="9"/>
        <color rgb="FF595959"/>
        <rFont val="Arial"/>
        <family val="0"/>
        <charset val="1"/>
      </rPr>
      <t xml:space="preserve">1,000</t>
    </r>
    <r>
      <rPr>
        <sz val="9"/>
        <color rgb="FF595959"/>
        <rFont val="WenQuanYi Zen Hei"/>
        <family val="2"/>
      </rPr>
      <t xml:space="preserve">万円の中小法人は所得の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控除可。</t>
    </r>
  </si>
  <si>
    <r>
      <rPr>
        <b val="true"/>
        <sz val="13"/>
        <rFont val="Arial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【保守シナリオ】撤退後実力値の横ばい ＋ 上乗せ案件</t>
    </r>
    <r>
      <rPr>
        <b val="true"/>
        <sz val="13"/>
        <rFont val="Arial"/>
        <family val="0"/>
        <charset val="1"/>
      </rPr>
      <t xml:space="preserve">132.5</t>
    </r>
    <r>
      <rPr>
        <b val="true"/>
        <sz val="13"/>
        <rFont val="WenQuanYi Zen Hei"/>
        <family val="2"/>
      </rPr>
      <t xml:space="preserve">百万円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</si>
  <si>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列＝月次ベース（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実績平均、④シートから自動リンク）。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</si>
  <si>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Arial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Arial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</si>
  <si>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</si>
  <si>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</si>
  <si>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</si>
  <si>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</si>
  <si>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</si>
  <si>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</si>
  <si>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</si>
  <si>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</si>
  <si>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</si>
  <si>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</si>
  <si>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</si>
  <si>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</si>
  <si>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</si>
  <si>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</si>
  <si>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t xml:space="preserve">　売上原価</t>
  </si>
  <si>
    <t xml:space="preserve">既存事業 売上総利益</t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</si>
  <si>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</si>
  <si>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</si>
  <si>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</si>
  <si>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</si>
  <si>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</si>
  <si>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＋インセンティブ </t>
    </r>
    <r>
      <rPr>
        <sz val="11"/>
        <rFont val="Arial"/>
        <family val="0"/>
        <charset val="1"/>
      </rPr>
      <t xml:space="preserve">Apicius2 shot</t>
    </r>
  </si>
  <si>
    <t xml:space="preserve">＋クルーザー事業利益</t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</si>
  <si>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</si>
  <si>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</si>
  <si>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</si>
  <si>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</si>
  <si>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595959"/>
        <rFont val="WenQuanYi Zen Hei"/>
        <family val="2"/>
      </rPr>
      <t xml:space="preserve">※既存事業の売上・粗利・販管費は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</si>
  <si>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595959"/>
        <rFont val="WenQuanYi Zen Hei"/>
        <family val="2"/>
      </rPr>
      <t xml:space="preserve">※経営指導料は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か月按分。インセンティブとクルーザー事業利益は②前提で指定した月に計上（クルーザーは</t>
    </r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Arial"/>
        <family val="0"/>
        <charset val="1"/>
      </rPr>
      <t xml:space="preserve">2027/09</t>
    </r>
    <r>
      <rPr>
        <sz val="9"/>
        <color rgb="FF595959"/>
        <rFont val="WenQuanYi Zen Hei"/>
        <family val="2"/>
      </rPr>
      <t xml:space="preserve">に各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</si>
  <si>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Arial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</si>
  <si>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</si>
  <si>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</si>
  <si>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</si>
  <si>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</si>
  <si>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Arial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</si>
  <si>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</si>
  <si>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</si>
  <si>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は</t>
    </r>
    <r>
      <rPr>
        <sz val="9"/>
        <color rgb="FF595959"/>
        <rFont val="Arial"/>
        <family val="0"/>
        <charset val="1"/>
      </rPr>
      <t xml:space="preserve">2025/11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2026/09</t>
    </r>
    <r>
      <rPr>
        <sz val="9"/>
        <color rgb="FF595959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</si>
  <si>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</si>
  <si>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595959"/>
        <rFont val="WenQuanYi Zen Hei"/>
        <family val="2"/>
      </rPr>
      <t xml:space="preserve">飲食撤退＋固定費削減。</t>
    </r>
    <r>
      <rPr>
        <sz val="9"/>
        <color rgb="FF595959"/>
        <rFont val="Arial"/>
        <family val="0"/>
        <charset val="1"/>
      </rPr>
      <t xml:space="preserve">10-3</t>
    </r>
    <r>
      <rPr>
        <sz val="9"/>
        <color rgb="FF595959"/>
        <rFont val="WenQuanYi Zen Hei"/>
        <family val="2"/>
      </rPr>
      <t xml:space="preserve">月平均比で月▲</t>
    </r>
    <r>
      <rPr>
        <sz val="9"/>
        <color rgb="FF595959"/>
        <rFont val="Arial"/>
        <family val="0"/>
        <charset val="1"/>
      </rPr>
      <t xml:space="preserve">8.58</t>
    </r>
    <r>
      <rPr>
        <sz val="9"/>
        <color rgb="FF595959"/>
        <rFont val="WenQuanYi Zen Hei"/>
        <family val="2"/>
      </rPr>
      <t xml:space="preserve">百万円</t>
    </r>
  </si>
  <si>
    <t xml:space="preserve">③ 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</si>
  <si>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＋クルーザー事業利益</t>
    </r>
    <r>
      <rPr>
        <sz val="9"/>
        <color rgb="FF595959"/>
        <rFont val="Arial"/>
        <family val="0"/>
        <charset val="1"/>
      </rPr>
      <t xml:space="preserve">20</t>
    </r>
  </si>
  <si>
    <r>
      <rPr>
        <b val="true"/>
        <sz val="11"/>
        <rFont val="Arial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</si>
  <si>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①〜③の合計</t>
  </si>
  <si>
    <r>
      <rPr>
        <sz val="11"/>
        <rFont val="WenQuanYi Zen Hei"/>
        <family val="2"/>
      </rPr>
      <t xml:space="preserve">経常利益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</si>
  <si>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595959"/>
        <rFont val="WenQuanYi Zen Hei"/>
        <family val="2"/>
      </rPr>
      <t xml:space="preserve">新規顧客売上計画</t>
    </r>
    <r>
      <rPr>
        <sz val="9"/>
        <color rgb="FF595959"/>
        <rFont val="Arial"/>
        <family val="0"/>
        <charset val="1"/>
      </rPr>
      <t xml:space="preserve">1,066</t>
    </r>
    <r>
      <rPr>
        <sz val="9"/>
        <color rgb="FF595959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</si>
  <si>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</si>
  <si>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C00000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</si>
  <si>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</si>
  <si>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</si>
  <si>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Arial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</si>
  <si>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</si>
  <si>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</si>
  <si>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</si>
  <si>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</si>
  <si>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</si>
  <si>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</si>
  <si>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595959"/>
        <rFont val="WenQuanYi Zen Hei"/>
        <family val="2"/>
      </rPr>
      <t xml:space="preserve">百万円 </t>
    </r>
    <r>
      <rPr>
        <sz val="9"/>
        <color rgb="FF595959"/>
        <rFont val="Arial"/>
        <family val="0"/>
        <charset val="1"/>
      </rPr>
      <t xml:space="preserve">/ 6</t>
    </r>
    <r>
      <rPr>
        <sz val="9"/>
        <color rgb="FF595959"/>
        <rFont val="WenQuanYi Zen Hei"/>
        <family val="2"/>
      </rPr>
      <t xml:space="preserve">か月</t>
    </r>
  </si>
  <si>
    <r>
      <rPr>
        <sz val="9"/>
        <color rgb="FFC00000"/>
        <rFont val="WenQuanYi Zen Hei"/>
        <family val="2"/>
      </rPr>
      <t xml:space="preserve">百万円</t>
    </r>
    <r>
      <rPr>
        <sz val="9"/>
        <color rgb="FFC00000"/>
        <rFont val="Arial"/>
        <family val="0"/>
        <charset val="1"/>
      </rPr>
      <t xml:space="preserve">/</t>
    </r>
    <r>
      <rPr>
        <sz val="9"/>
        <color rgb="FFC00000"/>
        <rFont val="WenQuanYi Zen Hei"/>
        <family val="2"/>
      </rPr>
      <t xml:space="preserve">月のキャッシュアウト</t>
    </r>
  </si>
  <si>
    <r>
      <rPr>
        <sz val="9"/>
        <color rgb="FF595959"/>
        <rFont val="WenQuanYi Zen Hei"/>
        <family val="2"/>
      </rPr>
      <t xml:space="preserve">出典：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月度 取締役会資料「ワイン預かり残高推移</t>
    </r>
    <r>
      <rPr>
        <sz val="9"/>
        <color rgb="FF595959"/>
        <rFont val="Arial"/>
        <family val="0"/>
        <charset val="1"/>
      </rPr>
      <t xml:space="preserve">KPI</t>
    </r>
    <r>
      <rPr>
        <sz val="9"/>
        <color rgb="FF595959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</si>
  <si>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Arial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</si>
  <si>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</si>
  <si>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</si>
  <si>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末実績</t>
    </r>
    <r>
      <rPr>
        <sz val="9"/>
        <color rgb="FFC00000"/>
        <rFont val="Arial"/>
        <family val="0"/>
        <charset val="1"/>
      </rPr>
      <t xml:space="preserve">620</t>
    </r>
    <r>
      <rPr>
        <sz val="9"/>
        <color rgb="FFC00000"/>
        <rFont val="WenQuanYi Zen Hei"/>
        <family val="2"/>
      </rPr>
      <t xml:space="preserve">百万円 −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百万円＝</t>
    </r>
    <r>
      <rPr>
        <sz val="9"/>
        <color rgb="FFC00000"/>
        <rFont val="Arial"/>
        <family val="0"/>
        <charset val="1"/>
      </rPr>
      <t xml:space="preserve">420</t>
    </r>
    <r>
      <rPr>
        <sz val="9"/>
        <color rgb="FFC00000"/>
        <rFont val="WenQuanYi Zen Hei"/>
        <family val="2"/>
      </rPr>
      <t xml:space="preserve">百万円。</t>
    </r>
    <r>
      <rPr>
        <sz val="9"/>
        <color rgb="FFC00000"/>
        <rFont val="Arial"/>
        <family val="0"/>
        <charset val="1"/>
      </rPr>
      <t xml:space="preserve">2026/04-08</t>
    </r>
    <r>
      <rPr>
        <sz val="9"/>
        <color rgb="FFC00000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</si>
  <si>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</si>
  <si>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</si>
  <si>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</si>
  <si>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</si>
  <si>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</si>
  <si>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</si>
  <si>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</si>
  <si>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</si>
  <si>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</si>
  <si>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C00000"/>
        <rFont val="WenQuanYi Zen Hei"/>
        <family val="2"/>
      </rPr>
      <t xml:space="preserve">※在庫方針を</t>
    </r>
    <r>
      <rPr>
        <sz val="9"/>
        <color rgb="FFC00000"/>
        <rFont val="Arial"/>
        <family val="0"/>
        <charset val="1"/>
      </rPr>
      <t xml:space="preserve">0</t>
    </r>
    <r>
      <rPr>
        <sz val="9"/>
        <color rgb="FFC00000"/>
        <rFont val="WenQuanYi Zen Hei"/>
        <family val="2"/>
      </rPr>
      <t xml:space="preserve">（横ばい）にしても、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上期の実績ペース（月</t>
    </r>
    <r>
      <rPr>
        <sz val="9"/>
        <color rgb="FFC00000"/>
        <rFont val="Arial"/>
        <family val="0"/>
        <charset val="1"/>
      </rPr>
      <t xml:space="preserve">+23.3</t>
    </r>
    <r>
      <rPr>
        <sz val="9"/>
        <color rgb="FFC00000"/>
        <rFont val="WenQuanYi Zen Hei"/>
        <family val="2"/>
      </rPr>
      <t xml:space="preserve">百万円）を続ける場合は年</t>
    </r>
    <r>
      <rPr>
        <sz val="9"/>
        <color rgb="FFC00000"/>
        <rFont val="Arial"/>
        <family val="0"/>
        <charset val="1"/>
      </rPr>
      <t xml:space="preserve">280</t>
    </r>
    <r>
      <rPr>
        <sz val="9"/>
        <color rgb="FFC00000"/>
        <rFont val="WenQuanYi Zen Hei"/>
        <family val="2"/>
      </rPr>
      <t xml:space="preserve">百万円の追加資金</t>
    </r>
    <r>
      <rPr>
        <sz val="9"/>
        <color rgb="FFC00000"/>
        <rFont val="Arial"/>
        <family val="0"/>
        <charset val="1"/>
      </rPr>
      <t xml:space="preserve">needed</t>
    </r>
    <r>
      <rPr>
        <sz val="9"/>
        <color rgb="FFC00000"/>
        <rFont val="WenQuanYi Zen Hei"/>
        <family val="2"/>
      </rPr>
      <t xml:space="preserve">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</si>
  <si>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</si>
  <si>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C00000"/>
        <rFont val="Arial"/>
        <family val="0"/>
        <charset val="1"/>
      </rPr>
      <t xml:space="preserve">※2026/09</t>
    </r>
    <r>
      <rPr>
        <sz val="9"/>
        <color rgb="FFC00000"/>
        <rFont val="WenQuanYi Zen Hei"/>
        <family val="2"/>
      </rPr>
      <t xml:space="preserve">に在庫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百万円を販売（削減）し、その代金をみずほ銀行への融資返済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</si>
  <si>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Arial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</si>
  <si>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t xml:space="preserve">単位：円（税込ベース）　青字＝入力セル／黄色＝要確認の前提／緑字＝他シートからのリンク</t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</si>
  <si>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</si>
  <si>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Arial"/>
        <family val="0"/>
        <charset val="1"/>
      </rPr>
      <t xml:space="preserve">2026/09</t>
    </r>
    <r>
      <rPr>
        <sz val="11"/>
        <rFont val="WenQuanYi Zen Hei"/>
        <family val="2"/>
      </rPr>
      <t xml:space="preserve">末 見込）</t>
    </r>
  </si>
  <si>
    <r>
      <rPr>
        <sz val="9"/>
        <color rgb="FFC00000"/>
        <rFont val="WenQuanYi Zen Hei"/>
        <family val="2"/>
      </rPr>
      <t xml:space="preserve">★要差替え。</t>
    </r>
    <r>
      <rPr>
        <sz val="9"/>
        <color rgb="FFC00000"/>
        <rFont val="Arial"/>
        <family val="0"/>
        <charset val="1"/>
      </rPr>
      <t xml:space="preserve">2025/09</t>
    </r>
    <r>
      <rPr>
        <sz val="9"/>
        <color rgb="FFC00000"/>
        <rFont val="WenQuanYi Zen Hei"/>
        <family val="2"/>
      </rPr>
      <t xml:space="preserve">末実績を暫定表示。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着地の見込値を入力してください。</t>
    </r>
  </si>
  <si>
    <t xml:space="preserve">消費税率</t>
  </si>
  <si>
    <t xml:space="preserve">売上 回収サイト（か月）</t>
  </si>
  <si>
    <r>
      <rPr>
        <sz val="9"/>
        <color rgb="FF595959"/>
        <rFont val="WenQuanYi Zen Hei"/>
        <family val="2"/>
      </rPr>
      <t xml:space="preserve">売掛金回転</t>
    </r>
    <r>
      <rPr>
        <sz val="9"/>
        <color rgb="FF595959"/>
        <rFont val="Arial"/>
        <family val="0"/>
        <charset val="1"/>
      </rPr>
      <t xml:space="preserve">32.2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1.06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</si>
  <si>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</si>
  <si>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595959"/>
        <rFont val="WenQuanYi Zen Hei"/>
        <family val="2"/>
      </rPr>
      <t xml:space="preserve">買掛金回転</t>
    </r>
    <r>
      <rPr>
        <sz val="9"/>
        <color rgb="FF595959"/>
        <rFont val="Arial"/>
        <family val="0"/>
        <charset val="1"/>
      </rPr>
      <t xml:space="preserve">23.5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0.77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</si>
  <si>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</si>
  <si>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C00000"/>
        <rFont val="WenQuanYi Zen Hei"/>
        <family val="2"/>
      </rPr>
      <t xml:space="preserve">★要差替え。長期借入</t>
    </r>
    <r>
      <rPr>
        <sz val="9"/>
        <color rgb="FFC00000"/>
        <rFont val="Arial"/>
        <family val="0"/>
        <charset val="1"/>
      </rPr>
      <t xml:space="preserve">423,623,000</t>
    </r>
    <r>
      <rPr>
        <sz val="9"/>
        <color rgb="FFC00000"/>
        <rFont val="WenQuanYi Zen Hei"/>
        <family val="2"/>
      </rPr>
      <t xml:space="preserve">円−みずほ一括返済</t>
    </r>
    <r>
      <rPr>
        <sz val="9"/>
        <color rgb="FFC00000"/>
        <rFont val="Arial"/>
        <family val="0"/>
        <charset val="1"/>
      </rPr>
      <t xml:space="preserve">200,000,000</t>
    </r>
    <r>
      <rPr>
        <sz val="9"/>
        <color rgb="FFC00000"/>
        <rFont val="WenQuanYi Zen Hei"/>
        <family val="2"/>
      </rPr>
      <t xml:space="preserve">円＝</t>
    </r>
    <r>
      <rPr>
        <sz val="9"/>
        <color rgb="FFC00000"/>
        <rFont val="Arial"/>
        <family val="0"/>
        <charset val="1"/>
      </rPr>
      <t xml:space="preserve">223,623,000</t>
    </r>
    <r>
      <rPr>
        <sz val="9"/>
        <color rgb="FFC00000"/>
        <rFont val="WenQuanYi Zen Hei"/>
        <family val="2"/>
      </rPr>
      <t xml:space="preserve">円を</t>
    </r>
    <r>
      <rPr>
        <sz val="9"/>
        <color rgb="FFC00000"/>
        <rFont val="Arial"/>
        <family val="0"/>
        <charset val="1"/>
      </rPr>
      <t xml:space="preserve">7</t>
    </r>
    <r>
      <rPr>
        <sz val="9"/>
        <color rgb="FFC00000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</si>
  <si>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</si>
  <si>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595959"/>
        <rFont val="WenQuanYi Zen Hei"/>
        <family val="2"/>
      </rPr>
      <t xml:space="preserve">短期借入</t>
    </r>
    <r>
      <rPr>
        <sz val="9"/>
        <color rgb="FF595959"/>
        <rFont val="Arial"/>
        <family val="0"/>
        <charset val="1"/>
      </rPr>
      <t xml:space="preserve">162,440,980</t>
    </r>
    <r>
      <rPr>
        <sz val="9"/>
        <color rgb="FF595959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</si>
  <si>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</si>
  <si>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売上入金（既存事業・税込）</t>
  </si>
  <si>
    <t xml:space="preserve">経営指導料 入金（税込）</t>
  </si>
  <si>
    <t xml:space="preserve">インセンティブ 入金（税込）</t>
  </si>
  <si>
    <r>
      <rPr>
        <sz val="11"/>
        <rFont val="WenQuanYi Zen Hei"/>
        <family val="2"/>
      </rPr>
      <t xml:space="preserve">前期末売掛金 回収（</t>
    </r>
    <r>
      <rPr>
        <sz val="11"/>
        <rFont val="Arial"/>
        <family val="0"/>
        <charset val="1"/>
      </rPr>
      <t xml:space="preserve">2026/09 </t>
    </r>
    <r>
      <rPr>
        <sz val="11"/>
        <rFont val="WenQuanYi Zen Hei"/>
        <family val="2"/>
      </rPr>
      <t xml:space="preserve">在庫販売）</t>
    </r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</si>
  <si>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に販売した在庫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百万円（税抜）の代金</t>
    </r>
    <r>
      <rPr>
        <sz val="9"/>
        <color rgb="FFC00000"/>
        <rFont val="Arial"/>
        <family val="0"/>
        <charset val="1"/>
      </rPr>
      <t xml:space="preserve">220</t>
    </r>
    <r>
      <rPr>
        <sz val="9"/>
        <color rgb="FFC00000"/>
        <rFont val="WenQuanYi Zen Hei"/>
        <family val="2"/>
      </rPr>
      <t xml:space="preserve">百万円（税込）を、回収サイト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か月後の</t>
    </r>
    <r>
      <rPr>
        <sz val="9"/>
        <color rgb="FFC00000"/>
        <rFont val="Arial"/>
        <family val="0"/>
        <charset val="1"/>
      </rPr>
      <t xml:space="preserve">2026/10</t>
    </r>
    <r>
      <rPr>
        <sz val="9"/>
        <color rgb="FFC00000"/>
        <rFont val="WenQuanYi Zen Hei"/>
        <family val="2"/>
      </rPr>
      <t xml:space="preserve">に入金と仮定。</t>
    </r>
  </si>
  <si>
    <t xml:space="preserve">クルーザー事業利益 入金（税込）</t>
  </si>
  <si>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と</t>
    </r>
    <r>
      <rPr>
        <sz val="9"/>
        <color rgb="FF595959"/>
        <rFont val="Arial"/>
        <family val="0"/>
        <charset val="1"/>
      </rPr>
      <t xml:space="preserve">2027/09</t>
    </r>
    <r>
      <rPr>
        <sz val="9"/>
        <color rgb="FF595959"/>
        <rFont val="WenQuanYi Zen Hei"/>
        <family val="2"/>
      </rPr>
      <t xml:space="preserve">に各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百万円。課税取引として税込入金と仮定。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</si>
  <si>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</si>
  <si>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</si>
  <si>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</si>
  <si>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</si>
  <si>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</si>
  <si>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支払利息</t>
  </si>
  <si>
    <t xml:space="preserve">消費税 納付</t>
  </si>
  <si>
    <r>
      <rPr>
        <sz val="9"/>
        <color rgb="FFC00000"/>
        <rFont val="Arial"/>
        <family val="0"/>
        <charset val="1"/>
      </rPr>
      <t xml:space="preserve">2026/11</t>
    </r>
    <r>
      <rPr>
        <sz val="9"/>
        <color rgb="FFC00000"/>
        <rFont val="WenQuanYi Zen Hei"/>
        <family val="2"/>
      </rPr>
      <t xml:space="preserve">は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確定分。在庫販売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百万円に係る仮受消費税</t>
    </r>
    <r>
      <rPr>
        <sz val="9"/>
        <color rgb="FFC00000"/>
        <rFont val="Arial"/>
        <family val="0"/>
        <charset val="1"/>
      </rPr>
      <t xml:space="preserve">20</t>
    </r>
    <r>
      <rPr>
        <sz val="9"/>
        <color rgb="FFC00000"/>
        <rFont val="WenQuanYi Zen Hei"/>
        <family val="2"/>
      </rPr>
      <t xml:space="preserve">百万円を含む（仕入時に仮払控除済のため純増）。</t>
    </r>
  </si>
  <si>
    <t xml:space="preserve">法人税等（均等割）</t>
  </si>
  <si>
    <t xml:space="preserve">営業支出 計</t>
  </si>
  <si>
    <t xml:space="preserve">経常収支</t>
  </si>
  <si>
    <t xml:space="preserve">【財務収支】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</si>
  <si>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</si>
  <si>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</si>
  <si>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</si>
  <si>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みずほ銀行 融資返済（在庫販売代金充当）</t>
  </si>
  <si>
    <t xml:space="preserve">在庫販売代金の入金月に同額を一括返済する前提。</t>
  </si>
  <si>
    <t xml:space="preserve">財務収支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</si>
  <si>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</si>
  <si>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</si>
  <si>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</si>
  <si>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</si>
  <si>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</si>
  <si>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595959"/>
        <rFont val="WenQuanYi Zen Hei"/>
        <family val="2"/>
      </rPr>
      <t xml:space="preserve">※売上・仕入とも回収／支払サイト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</si>
  <si>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</si>
  <si>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595959"/>
        <rFont val="WenQuanYi Zen Hei"/>
        <family val="2"/>
      </rPr>
      <t xml:space="preserve">※減価償却費（月</t>
    </r>
    <r>
      <rPr>
        <sz val="9"/>
        <color rgb="FF595959"/>
        <rFont val="Arial"/>
        <family val="0"/>
        <charset val="1"/>
      </rPr>
      <t xml:space="preserve">3.6</t>
    </r>
    <r>
      <rPr>
        <sz val="9"/>
        <color rgb="FF595959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</si>
  <si>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</si>
  <si>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C00000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</si>
  <si>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</si>
  <si>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</si>
  <si>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</si>
  <si>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</si>
  <si>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</si>
  <si>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</si>
  <si>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基本（在庫横ばい・調達なし）</t>
    </r>
  </si>
  <si>
    <r>
      <rPr>
        <sz val="9"/>
        <color rgb="FF595959"/>
        <rFont val="WenQuanYi Zen Hei"/>
        <family val="2"/>
      </rPr>
      <t xml:space="preserve">在庫を積み増さず、</t>
    </r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の一時収益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WenQuanYi Zen Hei"/>
        <family val="2"/>
      </rPr>
      <t xml:space="preserve">百万円が予定どおり入金する前提</t>
    </r>
  </si>
  <si>
    <r>
      <rPr>
        <sz val="11"/>
        <rFont val="Arial"/>
        <family val="0"/>
        <charset val="1"/>
      </rPr>
      <t xml:space="preserve">B. 2027/03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</si>
  <si>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595959"/>
        <rFont val="WenQuanYi Zen Hei"/>
        <family val="2"/>
      </rPr>
      <t xml:space="preserve">インセンティブ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百万円＋クルーザー事業利益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百万円（いずれも税込）が未入金の場合</t>
    </r>
  </si>
  <si>
    <r>
      <rPr>
        <sz val="11"/>
        <rFont val="Arial"/>
        <family val="0"/>
        <charset val="1"/>
      </rPr>
      <t xml:space="preserve">C. </t>
    </r>
    <r>
      <rPr>
        <sz val="11"/>
        <rFont val="WenQuanYi Zen Hei"/>
        <family val="2"/>
      </rPr>
      <t xml:space="preserve">在庫を</t>
    </r>
    <r>
      <rPr>
        <sz val="11"/>
        <rFont val="Arial"/>
        <family val="0"/>
        <charset val="1"/>
      </rPr>
      <t xml:space="preserve">FY2026</t>
    </r>
    <r>
      <rPr>
        <sz val="11"/>
        <rFont val="WenQuanYi Zen Hei"/>
        <family val="2"/>
      </rPr>
      <t xml:space="preserve">上期ペースで積増</t>
    </r>
  </si>
  <si>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23.3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末→</t>
    </r>
    <r>
      <rPr>
        <sz val="9"/>
        <color rgb="FF595959"/>
        <rFont val="Arial"/>
        <family val="0"/>
        <charset val="1"/>
      </rPr>
      <t xml:space="preserve">2026/03</t>
    </r>
    <r>
      <rPr>
        <sz val="9"/>
        <color rgb="FF595959"/>
        <rFont val="WenQuanYi Zen Hei"/>
        <family val="2"/>
      </rPr>
      <t xml:space="preserve">末の実績ペース）で積み増した場合</t>
    </r>
  </si>
  <si>
    <r>
      <rPr>
        <sz val="11"/>
        <rFont val="Arial"/>
        <family val="0"/>
        <charset val="1"/>
      </rPr>
      <t xml:space="preserve">D. 2026/09</t>
    </r>
    <r>
      <rPr>
        <sz val="11"/>
        <rFont val="WenQuanYi Zen Hei"/>
        <family val="2"/>
      </rPr>
      <t xml:space="preserve">の在庫販売</t>
    </r>
    <r>
      <rPr>
        <sz val="11"/>
        <rFont val="Arial"/>
        <family val="0"/>
        <charset val="1"/>
      </rPr>
      <t xml:space="preserve">200</t>
    </r>
    <r>
      <rPr>
        <sz val="11"/>
        <rFont val="WenQuanYi Zen Hei"/>
        <family val="2"/>
      </rPr>
      <t xml:space="preserve">百万円が不成立</t>
    </r>
  </si>
  <si>
    <r>
      <rPr>
        <sz val="9"/>
        <color rgb="FF595959"/>
        <rFont val="WenQuanYi Zen Hei"/>
        <family val="2"/>
      </rPr>
      <t xml:space="preserve">入金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WenQuanYi Zen Hei"/>
        <family val="2"/>
      </rPr>
      <t xml:space="preserve">・返済</t>
    </r>
    <r>
      <rPr>
        <sz val="9"/>
        <color rgb="FF595959"/>
        <rFont val="Arial"/>
        <family val="0"/>
        <charset val="1"/>
      </rPr>
      <t xml:space="preserve">200</t>
    </r>
    <r>
      <rPr>
        <sz val="9"/>
        <color rgb="FF595959"/>
        <rFont val="WenQuanYi Zen Hei"/>
        <family val="2"/>
      </rPr>
      <t xml:space="preserve">・消費税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は相殺されるが、長期借入が</t>
    </r>
    <r>
      <rPr>
        <sz val="9"/>
        <color rgb="FF595959"/>
        <rFont val="Arial"/>
        <family val="0"/>
        <charset val="1"/>
      </rPr>
      <t xml:space="preserve">223.6→423.6</t>
    </r>
    <r>
      <rPr>
        <sz val="9"/>
        <color rgb="FF595959"/>
        <rFont val="WenQuanYi Zen Hei"/>
        <family val="2"/>
      </rPr>
      <t xml:space="preserve">百万円のままとなり約定返済が月</t>
    </r>
    <r>
      <rPr>
        <sz val="9"/>
        <color rgb="FF595959"/>
        <rFont val="Arial"/>
        <family val="0"/>
        <charset val="1"/>
      </rPr>
      <t xml:space="preserve">5.04</t>
    </r>
    <r>
      <rPr>
        <sz val="9"/>
        <color rgb="FF595959"/>
        <rFont val="WenQuanYi Zen Hei"/>
        <family val="2"/>
      </rPr>
      <t xml:space="preserve">百万円に戻る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</si>
  <si>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</si>
  <si>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595959"/>
        <rFont val="WenQuanYi Zen Hei"/>
        <family val="2"/>
      </rPr>
      <t xml:space="preserve">最低残高をゼロに戻すだけでは足りないため、月商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か月分を上乗せして必要調達額を算定。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</si>
  <si>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は在庫積み増しを継続した場合。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上の利益は変わらないが、資金は年</t>
    </r>
    <r>
      <rPr>
        <sz val="9"/>
        <color rgb="FFC00000"/>
        <rFont val="Arial"/>
        <family val="0"/>
        <charset val="1"/>
      </rPr>
      <t xml:space="preserve">308</t>
    </r>
    <r>
      <rPr>
        <sz val="9"/>
        <color rgb="FFC00000"/>
        <rFont val="WenQuanYi Zen Hei"/>
        <family val="2"/>
      </rPr>
      <t xml:space="preserve">百万円（税込）流出します。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</si>
  <si>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B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が同時に起きた場合、必要調達額は両者の合計に近い水準となります。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</si>
</sst>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1"/>
      <color rgb="FF008000"/>
      <name val="Arial"/>
      <family val="0"/>
      <charset val="1"/>
    </font>
    <font>
      <sz val="11"/>
      <color rgb="FF0000FF"/>
      <name val="WenQuanYi Zen Hei"/>
      <family val="2"/>
    </font>
    <font>
      <sz val="11"/>
      <color rgb="FF00800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DF6E3"/>
      </patternFill>
    </fill>
    <fill>
      <patternFill patternType="solid">
        <fgColor rgb="FFFFF2CC"/>
        <bgColor rgb="FFFDF6E3"/>
      </patternFill>
    </fill>
    <fill>
      <patternFill patternType="solid">
        <fgColor rgb="FFC6E0B4"/>
        <bgColor rgb="FFD9D9D9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FDF6E3"/>
        <bgColor rgb="FFFFF2CC"/>
      </patternFill>
    </fill>
    <fill>
      <patternFill patternType="solid">
        <fgColor rgb="FFF8CBA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6D2E4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7E6E6"/>
      <rgbColor rgb="FFFDF6E3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6d2e46"/>
            </a:solidFill>
            <a:ln w="28080">
              <a:solidFill>
                <a:srgbClr val="6d2e4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⑦FY2027資金繰り表!$D$40:$O$40</c:f>
              <c:numCache>
                <c:formatCode>\¥#,##0;"(¥"#,##0\);\-</c:formatCode>
                <c:ptCount val="12"/>
                <c:pt idx="0">
                  <c:v>44493416.1666667</c:v>
                </c:pt>
                <c:pt idx="1">
                  <c:v>14133449.3333334</c:v>
                </c:pt>
                <c:pt idx="2">
                  <c:v>14236587.5</c:v>
                </c:pt>
                <c:pt idx="3">
                  <c:v>14339725.6666667</c:v>
                </c:pt>
                <c:pt idx="4">
                  <c:v>14442863.8333334</c:v>
                </c:pt>
                <c:pt idx="5">
                  <c:v>47546002</c:v>
                </c:pt>
                <c:pt idx="6">
                  <c:v>47649140.1666667</c:v>
                </c:pt>
                <c:pt idx="7">
                  <c:v>42752278.3333333</c:v>
                </c:pt>
                <c:pt idx="8">
                  <c:v>42855416.5</c:v>
                </c:pt>
                <c:pt idx="9">
                  <c:v>42958554.6666667</c:v>
                </c:pt>
                <c:pt idx="10">
                  <c:v>43061692.8333333</c:v>
                </c:pt>
                <c:pt idx="11">
                  <c:v>54164831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135058"/>
        <c:axId val="69764832"/>
      </c:lineChart>
      <c:catAx>
        <c:axId val="921350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64832"/>
        <c:crosses val="autoZero"/>
        <c:auto val="1"/>
        <c:lblAlgn val="ctr"/>
        <c:lblOffset val="100"/>
        <c:noMultiLvlLbl val="0"/>
      </c:catAx>
      <c:valAx>
        <c:axId val="69764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350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58</xdr:row>
      <xdr:rowOff>134640</xdr:rowOff>
    </xdr:from>
    <xdr:to>
      <xdr:col>6</xdr:col>
      <xdr:colOff>1038600</xdr:colOff>
      <xdr:row>73</xdr:row>
      <xdr:rowOff>12960</xdr:rowOff>
    </xdr:to>
    <xdr:graphicFrame>
      <xdr:nvGraphicFramePr>
        <xdr:cNvPr id="0" name="Chart 1"/>
        <xdr:cNvGraphicFramePr/>
      </xdr:nvGraphicFramePr>
      <xdr:xfrm>
        <a:off x="266760" y="1123956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6" min="3" style="0" width="19"/>
    <col collapsed="false" customWidth="true" hidden="false" outlineLevel="0" max="7" min="7" style="0" width="46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4" t="s">
        <v>8</v>
      </c>
    </row>
    <row r="6" customFormat="false" ht="15" hidden="false" customHeight="false" outlineLevel="0" collapsed="false">
      <c r="B6" s="6" t="s">
        <v>9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548324458.420246</v>
      </c>
      <c r="G6" s="3"/>
    </row>
    <row r="7" customFormat="false" ht="15" hidden="false" customHeight="false" outlineLevel="0" collapsed="false">
      <c r="B7" s="6" t="s">
        <v>10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3"/>
    </row>
    <row r="8" customFormat="false" ht="15" hidden="false" customHeight="false" outlineLevel="0" collapsed="false">
      <c r="B8" s="6" t="s">
        <v>11</v>
      </c>
      <c r="C8" s="7" t="n">
        <v>0</v>
      </c>
      <c r="D8" s="8" t="n">
        <v>0</v>
      </c>
      <c r="E8" s="8" t="n">
        <f aca="false">②前提!$C$22</f>
        <v>132500000</v>
      </c>
      <c r="F8" s="8" t="n">
        <f aca="false">②前提!$C$22</f>
        <v>132500000</v>
      </c>
      <c r="G8" s="3" t="s">
        <v>12</v>
      </c>
    </row>
    <row r="9" customFormat="false" ht="15" hidden="false" customHeight="false" outlineLevel="0" collapsed="false">
      <c r="B9" s="6" t="s">
        <v>13</v>
      </c>
      <c r="C9" s="8"/>
      <c r="D9" s="8"/>
      <c r="E9" s="8"/>
      <c r="F9" s="9" t="n">
        <f aca="false">②前提!$C$30+F14-F13+F11-F7-F8</f>
        <v>82059136</v>
      </c>
      <c r="G9" s="10" t="s">
        <v>14</v>
      </c>
    </row>
    <row r="10" customFormat="false" ht="15" hidden="false" customHeight="false" outlineLevel="0" collapsed="false">
      <c r="B10" s="11" t="s">
        <v>15</v>
      </c>
      <c r="C10" s="12" t="n">
        <v>229139405</v>
      </c>
      <c r="D10" s="12" t="n">
        <f aca="false">D7+D8</f>
        <v>200601928</v>
      </c>
      <c r="E10" s="12" t="n">
        <f aca="false">E7+E8</f>
        <v>333101928</v>
      </c>
      <c r="F10" s="12" t="n">
        <f aca="false">F7+F8+F9</f>
        <v>415161064</v>
      </c>
      <c r="G10" s="13"/>
    </row>
    <row r="11" customFormat="false" ht="15" hidden="false" customHeight="false" outlineLevel="0" collapsed="false">
      <c r="B11" s="6" t="s">
        <v>16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14" t="s">
        <v>17</v>
      </c>
    </row>
    <row r="12" customFormat="false" ht="15" hidden="false" customHeight="false" outlineLevel="0" collapsed="false">
      <c r="B12" s="15" t="s">
        <v>18</v>
      </c>
      <c r="C12" s="16" t="n">
        <v>-114793431</v>
      </c>
      <c r="D12" s="16" t="n">
        <f aca="false">D10-D11</f>
        <v>-99559136</v>
      </c>
      <c r="E12" s="16" t="n">
        <f aca="false">E10-E11</f>
        <v>32940864</v>
      </c>
      <c r="F12" s="16" t="n">
        <f aca="false">F10-F11</f>
        <v>115000000</v>
      </c>
      <c r="G12" s="17"/>
    </row>
    <row r="13" customFormat="false" ht="15" hidden="false" customHeight="false" outlineLevel="0" collapsed="false">
      <c r="B13" s="6" t="s">
        <v>19</v>
      </c>
      <c r="C13" s="7" t="n">
        <v>0</v>
      </c>
      <c r="D13" s="8" t="n">
        <v>0</v>
      </c>
      <c r="E13" s="8" t="n">
        <v>0</v>
      </c>
      <c r="F13" s="8" t="n">
        <v>0</v>
      </c>
      <c r="G13" s="3" t="s">
        <v>20</v>
      </c>
    </row>
    <row r="14" customFormat="false" ht="15" hidden="false" customHeight="false" outlineLevel="0" collapsed="false">
      <c r="B14" s="6" t="s">
        <v>21</v>
      </c>
      <c r="C14" s="7" t="n">
        <v>10000000</v>
      </c>
      <c r="D14" s="8" t="n">
        <f aca="false">②前提!$C$26</f>
        <v>15000000</v>
      </c>
      <c r="E14" s="8" t="n">
        <f aca="false">②前提!$C$26</f>
        <v>15000000</v>
      </c>
      <c r="F14" s="8" t="n">
        <f aca="false">②前提!$C$26</f>
        <v>15000000</v>
      </c>
      <c r="G14" s="3"/>
    </row>
    <row r="15" customFormat="false" ht="15" hidden="false" customHeight="false" outlineLevel="0" collapsed="false">
      <c r="B15" s="18" t="s">
        <v>22</v>
      </c>
      <c r="C15" s="19" t="n">
        <v>-124793431</v>
      </c>
      <c r="D15" s="19" t="n">
        <f aca="false">D12+D13-D14</f>
        <v>-114559136</v>
      </c>
      <c r="E15" s="19" t="n">
        <f aca="false">E12+E13-E14</f>
        <v>17940864</v>
      </c>
      <c r="F15" s="19" t="n">
        <f aca="false">F12+F13-F14</f>
        <v>100000000</v>
      </c>
      <c r="G15" s="20" t="s">
        <v>23</v>
      </c>
    </row>
    <row r="16" customFormat="false" ht="15" hidden="false" customHeight="false" outlineLevel="0" collapsed="false">
      <c r="B16" s="6" t="s">
        <v>24</v>
      </c>
      <c r="C16" s="7" t="n">
        <v>0</v>
      </c>
      <c r="D16" s="8" t="n">
        <v>0</v>
      </c>
      <c r="E16" s="8" t="n">
        <v>0</v>
      </c>
      <c r="F16" s="8" t="n">
        <v>0</v>
      </c>
      <c r="G16" s="3" t="s">
        <v>25</v>
      </c>
    </row>
    <row r="17" customFormat="false" ht="15" hidden="false" customHeight="false" outlineLevel="0" collapsed="false">
      <c r="B17" s="11" t="s">
        <v>26</v>
      </c>
      <c r="C17" s="12" t="n">
        <v>-124793431</v>
      </c>
      <c r="D17" s="12" t="n">
        <f aca="false">D15-D16</f>
        <v>-114559136</v>
      </c>
      <c r="E17" s="12" t="n">
        <f aca="false">E15-E16</f>
        <v>17940864</v>
      </c>
      <c r="F17" s="12" t="n">
        <f aca="false">F15-F16</f>
        <v>100000000</v>
      </c>
      <c r="G17" s="13"/>
    </row>
    <row r="21" customFormat="false" ht="16.4" hidden="false" customHeight="false" outlineLevel="0" collapsed="false">
      <c r="B21" s="21" t="s">
        <v>27</v>
      </c>
    </row>
    <row r="22" customFormat="false" ht="30" hidden="false" customHeight="true" outlineLevel="0" collapsed="false">
      <c r="C22" s="22" t="s">
        <v>28</v>
      </c>
      <c r="D22" s="23" t="s">
        <v>29</v>
      </c>
    </row>
    <row r="23" customFormat="false" ht="15" hidden="false" customHeight="false" outlineLevel="0" collapsed="false">
      <c r="B23" s="6" t="s">
        <v>30</v>
      </c>
      <c r="C23" s="24" t="n">
        <f aca="false">F9/②前提!$C$9</f>
        <v>159183690.420246</v>
      </c>
      <c r="D23" s="25" t="n">
        <f aca="false">C23/②前提!$C$31</f>
        <v>0.149328039793852</v>
      </c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B27" s="27" t="s">
        <v>31</v>
      </c>
      <c r="C27" s="27"/>
      <c r="D27" s="27"/>
      <c r="E27" s="27"/>
      <c r="F27" s="27"/>
      <c r="G27" s="27"/>
    </row>
    <row r="28" customFormat="false" ht="15" hidden="false" customHeight="false" outlineLevel="0" collapsed="false">
      <c r="B28" s="26" t="s">
        <v>32</v>
      </c>
      <c r="C28" s="26"/>
      <c r="D28" s="26"/>
      <c r="E28" s="26"/>
      <c r="F28" s="26"/>
      <c r="G28" s="26"/>
    </row>
    <row r="29" customFormat="false" ht="15" hidden="false" customHeight="false" outlineLevel="0" collapsed="false">
      <c r="B29" s="26" t="s">
        <v>33</v>
      </c>
      <c r="C29" s="26"/>
      <c r="D29" s="26"/>
      <c r="E29" s="26"/>
      <c r="F29" s="26"/>
      <c r="G29" s="26"/>
    </row>
    <row r="30" customFormat="false" ht="15" hidden="false" customHeight="false" outlineLevel="0" collapsed="false">
      <c r="B30" s="26" t="s">
        <v>34</v>
      </c>
      <c r="C30" s="26"/>
      <c r="D30" s="26"/>
      <c r="E30" s="26"/>
      <c r="F30" s="26"/>
      <c r="G30" s="26"/>
    </row>
    <row r="31" customFormat="false" ht="15" hidden="false" customHeight="false" outlineLevel="0" collapsed="false">
      <c r="B31" s="28" t="s">
        <v>35</v>
      </c>
      <c r="C31" s="28"/>
      <c r="D31" s="28"/>
      <c r="E31" s="28"/>
      <c r="F31" s="28"/>
      <c r="G31" s="28"/>
    </row>
    <row r="32" customFormat="false" ht="15" hidden="false" customHeight="false" outlineLevel="0" collapsed="false">
      <c r="B32" s="26"/>
      <c r="C32" s="26"/>
      <c r="D32" s="26"/>
      <c r="E32" s="26"/>
      <c r="F32" s="26"/>
      <c r="G32" s="26"/>
    </row>
    <row r="33" customFormat="false" ht="15" hidden="false" customHeight="false" outlineLevel="0" collapsed="false">
      <c r="B33" s="28" t="s">
        <v>36</v>
      </c>
      <c r="C33" s="28"/>
      <c r="D33" s="28"/>
      <c r="E33" s="28"/>
      <c r="F33" s="28"/>
      <c r="G33" s="28"/>
    </row>
    <row r="34" customFormat="false" ht="15" hidden="false" customHeight="false" outlineLevel="0" collapsed="false">
      <c r="B34" s="28" t="s">
        <v>37</v>
      </c>
      <c r="C34" s="28"/>
      <c r="D34" s="28"/>
      <c r="E34" s="28"/>
      <c r="F34" s="28"/>
      <c r="G34" s="28"/>
    </row>
    <row r="35" customFormat="false" ht="15" hidden="false" customHeight="false" outlineLevel="0" collapsed="false">
      <c r="B35" s="28" t="s">
        <v>38</v>
      </c>
      <c r="C35" s="28"/>
      <c r="D35" s="28"/>
      <c r="E35" s="28"/>
      <c r="F35" s="28"/>
      <c r="G35" s="28"/>
    </row>
  </sheetData>
  <mergeCells count="10"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9" t="s">
        <v>39</v>
      </c>
    </row>
    <row r="2" customFormat="false" ht="15" hidden="false" customHeight="false" outlineLevel="0" collapsed="false">
      <c r="B2" s="3" t="s">
        <v>40</v>
      </c>
    </row>
    <row r="3" customFormat="false" ht="15" hidden="false" customHeight="false" outlineLevel="0" collapsed="false">
      <c r="B3" s="30" t="s">
        <v>41</v>
      </c>
    </row>
    <row r="5" customFormat="false" ht="30" hidden="false" customHeight="true" outlineLevel="0" collapsed="false">
      <c r="B5" s="22" t="s">
        <v>3</v>
      </c>
      <c r="C5" s="31" t="s">
        <v>42</v>
      </c>
      <c r="D5" s="31" t="s">
        <v>43</v>
      </c>
      <c r="E5" s="31" t="s">
        <v>44</v>
      </c>
      <c r="F5" s="31" t="s">
        <v>45</v>
      </c>
      <c r="G5" s="31" t="s">
        <v>46</v>
      </c>
      <c r="H5" s="31" t="s">
        <v>47</v>
      </c>
      <c r="I5" s="31" t="s">
        <v>48</v>
      </c>
      <c r="J5" s="31" t="s">
        <v>49</v>
      </c>
      <c r="K5" s="31" t="s">
        <v>50</v>
      </c>
      <c r="L5" s="31" t="s">
        <v>51</v>
      </c>
      <c r="M5" s="31" t="s">
        <v>52</v>
      </c>
      <c r="N5" s="31" t="s">
        <v>53</v>
      </c>
      <c r="O5" s="23" t="s">
        <v>54</v>
      </c>
      <c r="P5" s="32" t="s">
        <v>55</v>
      </c>
      <c r="Q5" s="32" t="s">
        <v>56</v>
      </c>
      <c r="R5" s="23" t="s">
        <v>57</v>
      </c>
    </row>
    <row r="6" customFormat="false" ht="15" hidden="false" customHeight="false" outlineLevel="0" collapsed="false">
      <c r="B6" s="6" t="s">
        <v>58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3" t="n">
        <v>60489854</v>
      </c>
      <c r="M6" s="33" t="n">
        <v>37962048</v>
      </c>
      <c r="N6" s="33" t="n">
        <v>232918371</v>
      </c>
      <c r="O6" s="34" t="n">
        <f aca="false">SUM(C6:N6)</f>
        <v>708205820</v>
      </c>
      <c r="P6" s="34" t="n">
        <f aca="false">AVERAGE(C6:H6)</f>
        <v>46591725.8333333</v>
      </c>
      <c r="Q6" s="34" t="n">
        <f aca="false">AVERAGE(I6:K6)</f>
        <v>32428397.3333333</v>
      </c>
      <c r="R6" s="34" t="n">
        <f aca="false">Q6-P6</f>
        <v>-14163328.5</v>
      </c>
    </row>
    <row r="7" customFormat="false" ht="15" hidden="false" customHeight="false" outlineLevel="0" collapsed="false">
      <c r="B7" s="6" t="s">
        <v>59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3" t="n">
        <v>38396406</v>
      </c>
      <c r="M7" s="33" t="n">
        <v>23721353</v>
      </c>
      <c r="N7" s="33" t="n">
        <v>204966678</v>
      </c>
      <c r="O7" s="34" t="n">
        <f aca="false">SUM(C7:N7)</f>
        <v>479066414</v>
      </c>
      <c r="P7" s="34" t="n">
        <f aca="false">AVERAGE(C7:H7)</f>
        <v>27474544.5</v>
      </c>
      <c r="Q7" s="34" t="n">
        <f aca="false">AVERAGE(I7:K7)</f>
        <v>15711570</v>
      </c>
      <c r="R7" s="34" t="n">
        <f aca="false">Q7-P7</f>
        <v>-11762974.5</v>
      </c>
    </row>
    <row r="8" customFormat="false" ht="15" hidden="false" customHeight="false" outlineLevel="0" collapsed="false">
      <c r="B8" s="35" t="s">
        <v>60</v>
      </c>
      <c r="C8" s="34" t="n">
        <v>14286430</v>
      </c>
      <c r="D8" s="34" t="n">
        <v>27707108</v>
      </c>
      <c r="E8" s="34" t="n">
        <v>21954555</v>
      </c>
      <c r="F8" s="34" t="n">
        <v>15956009</v>
      </c>
      <c r="G8" s="34" t="n">
        <v>20220065</v>
      </c>
      <c r="H8" s="34" t="n">
        <v>14578921</v>
      </c>
      <c r="I8" s="34" t="n">
        <v>15679441</v>
      </c>
      <c r="J8" s="34" t="n">
        <v>18139193</v>
      </c>
      <c r="K8" s="34" t="n">
        <v>16331848</v>
      </c>
      <c r="L8" s="34" t="n">
        <v>22093448</v>
      </c>
      <c r="M8" s="34" t="n">
        <v>14240695</v>
      </c>
      <c r="N8" s="34" t="n">
        <v>27951692</v>
      </c>
      <c r="O8" s="34" t="n">
        <f aca="false">SUM(C8:N8)</f>
        <v>229139405</v>
      </c>
      <c r="P8" s="34" t="n">
        <f aca="false">AVERAGE(C8:H8)</f>
        <v>19117181.3333333</v>
      </c>
      <c r="Q8" s="34" t="n">
        <f aca="false">AVERAGE(I8:K8)</f>
        <v>16716827.3333333</v>
      </c>
      <c r="R8" s="34" t="n">
        <f aca="false">Q8-P8</f>
        <v>-2400354</v>
      </c>
    </row>
    <row r="10" customFormat="false" ht="15" hidden="false" customHeight="false" outlineLevel="0" collapsed="false">
      <c r="B10" s="36" t="s">
        <v>61</v>
      </c>
    </row>
    <row r="11" customFormat="false" ht="15" hidden="false" customHeight="false" outlineLevel="0" collapsed="false">
      <c r="B11" s="6" t="s">
        <v>62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3" t="n">
        <v>1140000</v>
      </c>
      <c r="M11" s="33" t="n">
        <v>1140000</v>
      </c>
      <c r="N11" s="33" t="n">
        <v>1140000</v>
      </c>
      <c r="O11" s="34" t="n">
        <f aca="false">SUM(C11:N11)</f>
        <v>21048000</v>
      </c>
      <c r="P11" s="34" t="n">
        <f aca="false">AVERAGE(C11:H11)</f>
        <v>1886000</v>
      </c>
      <c r="Q11" s="34" t="n">
        <f aca="false">AVERAGE(I11:K11)</f>
        <v>2104000</v>
      </c>
      <c r="R11" s="34" t="n">
        <f aca="false">Q11-P11</f>
        <v>218000</v>
      </c>
    </row>
    <row r="12" customFormat="false" ht="15" hidden="false" customHeight="false" outlineLevel="0" collapsed="false">
      <c r="B12" s="6" t="s">
        <v>63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3" t="n">
        <v>3360996</v>
      </c>
      <c r="M12" s="33" t="n">
        <v>3360996</v>
      </c>
      <c r="N12" s="33" t="n">
        <v>3360996</v>
      </c>
      <c r="O12" s="34" t="n">
        <f aca="false">SUM(C12:N12)</f>
        <v>47883466</v>
      </c>
      <c r="P12" s="34" t="n">
        <f aca="false">AVERAGE(C12:H12)</f>
        <v>4877778.66666667</v>
      </c>
      <c r="Q12" s="34" t="n">
        <f aca="false">AVERAGE(I12:K12)</f>
        <v>2844602</v>
      </c>
      <c r="R12" s="34" t="n">
        <f aca="false">Q12-P12</f>
        <v>-2033176.66666667</v>
      </c>
    </row>
    <row r="13" customFormat="false" ht="15" hidden="false" customHeight="false" outlineLevel="0" collapsed="false">
      <c r="B13" s="6" t="s">
        <v>64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3" t="n">
        <v>300000</v>
      </c>
      <c r="M13" s="33" t="n">
        <v>300000</v>
      </c>
      <c r="N13" s="33" t="n">
        <v>300000</v>
      </c>
      <c r="O13" s="34" t="n">
        <f aca="false">SUM(C13:N13)</f>
        <v>13354544</v>
      </c>
      <c r="P13" s="34" t="n">
        <f aca="false">AVERAGE(C13:H13)</f>
        <v>1976719.83333333</v>
      </c>
      <c r="Q13" s="34" t="n">
        <f aca="false">AVERAGE(I13:K13)</f>
        <v>198075</v>
      </c>
      <c r="R13" s="34" t="n">
        <f aca="false">Q13-P13</f>
        <v>-1778644.83333333</v>
      </c>
    </row>
    <row r="14" customFormat="false" ht="15" hidden="false" customHeight="false" outlineLevel="0" collapsed="false">
      <c r="B14" s="6" t="s">
        <v>65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3" t="n">
        <v>700959</v>
      </c>
      <c r="M14" s="33" t="n">
        <v>700959</v>
      </c>
      <c r="N14" s="33" t="n">
        <v>700959</v>
      </c>
      <c r="O14" s="34" t="n">
        <f aca="false">SUM(C14:N14)</f>
        <v>7898512</v>
      </c>
      <c r="P14" s="34" t="n">
        <f aca="false">AVERAGE(C14:H14)</f>
        <v>494344.5</v>
      </c>
      <c r="Q14" s="34" t="n">
        <f aca="false">AVERAGE(I14:K14)</f>
        <v>943189.333333333</v>
      </c>
      <c r="R14" s="34" t="n">
        <f aca="false">Q14-P14</f>
        <v>448844.833333333</v>
      </c>
    </row>
    <row r="15" customFormat="false" ht="15" hidden="false" customHeight="false" outlineLevel="0" collapsed="false">
      <c r="B15" s="6" t="s">
        <v>66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3" t="n">
        <v>1101461</v>
      </c>
      <c r="M15" s="33" t="n">
        <v>2190787</v>
      </c>
      <c r="N15" s="33" t="n">
        <v>2207913</v>
      </c>
      <c r="O15" s="34" t="n">
        <f aca="false">SUM(C15:N15)</f>
        <v>8812005</v>
      </c>
      <c r="P15" s="34" t="n">
        <f aca="false">AVERAGE(C15:H15)</f>
        <v>291602.833333333</v>
      </c>
      <c r="Q15" s="34" t="n">
        <f aca="false">AVERAGE(I15:K15)</f>
        <v>520742.333333333</v>
      </c>
      <c r="R15" s="34" t="n">
        <f aca="false">Q15-P15</f>
        <v>229139.5</v>
      </c>
    </row>
    <row r="16" customFormat="false" ht="15" hidden="false" customHeight="false" outlineLevel="0" collapsed="false">
      <c r="B16" s="6" t="s">
        <v>67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3" t="n">
        <v>728319</v>
      </c>
      <c r="M16" s="33" t="n">
        <v>1204454</v>
      </c>
      <c r="N16" s="33" t="n">
        <v>814324</v>
      </c>
      <c r="O16" s="34" t="n">
        <f aca="false">SUM(C16:N16)</f>
        <v>10557150</v>
      </c>
      <c r="P16" s="34" t="n">
        <f aca="false">AVERAGE(C16:H16)</f>
        <v>808520.666666667</v>
      </c>
      <c r="Q16" s="34" t="n">
        <f aca="false">AVERAGE(I16:K16)</f>
        <v>986309.666666667</v>
      </c>
      <c r="R16" s="34" t="n">
        <f aca="false">Q16-P16</f>
        <v>177789</v>
      </c>
    </row>
    <row r="17" customFormat="false" ht="15" hidden="false" customHeight="false" outlineLevel="0" collapsed="false">
      <c r="B17" s="6" t="s">
        <v>68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3" t="n">
        <v>1197015</v>
      </c>
      <c r="M17" s="33" t="n">
        <v>1315343</v>
      </c>
      <c r="N17" s="33" t="n">
        <v>1218389</v>
      </c>
      <c r="O17" s="34" t="n">
        <f aca="false">SUM(C17:N17)</f>
        <v>38238333</v>
      </c>
      <c r="P17" s="34" t="n">
        <f aca="false">AVERAGE(C17:H17)</f>
        <v>4121789.33333333</v>
      </c>
      <c r="Q17" s="34" t="n">
        <f aca="false">AVERAGE(I17:K17)</f>
        <v>3258950</v>
      </c>
      <c r="R17" s="34" t="n">
        <f aca="false">Q17-P17</f>
        <v>-862839.333333334</v>
      </c>
    </row>
    <row r="18" customFormat="false" ht="15" hidden="false" customHeight="false" outlineLevel="0" collapsed="false">
      <c r="B18" s="6" t="s">
        <v>69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3" t="n">
        <v>1300000</v>
      </c>
      <c r="M18" s="33" t="n">
        <v>1300000</v>
      </c>
      <c r="N18" s="33" t="n">
        <v>1300000</v>
      </c>
      <c r="O18" s="34" t="n">
        <f aca="false">SUM(C18:N18)</f>
        <v>45071016</v>
      </c>
      <c r="P18" s="34" t="n">
        <f aca="false">AVERAGE(C18:H18)</f>
        <v>5000984.66666667</v>
      </c>
      <c r="Q18" s="34" t="n">
        <f aca="false">AVERAGE(I18:K18)</f>
        <v>3721702.66666667</v>
      </c>
      <c r="R18" s="34" t="n">
        <f aca="false">Q18-P18</f>
        <v>-1279282</v>
      </c>
    </row>
    <row r="19" customFormat="false" ht="15" hidden="false" customHeight="false" outlineLevel="0" collapsed="false">
      <c r="B19" s="6" t="s">
        <v>70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3" t="n">
        <v>172511</v>
      </c>
      <c r="M19" s="33" t="n">
        <v>172511</v>
      </c>
      <c r="N19" s="33" t="n">
        <v>172511</v>
      </c>
      <c r="O19" s="34" t="n">
        <f aca="false">SUM(C19:N19)</f>
        <v>4121645</v>
      </c>
      <c r="P19" s="34" t="n">
        <f aca="false">AVERAGE(C19:H19)</f>
        <v>400671.666666667</v>
      </c>
      <c r="Q19" s="34" t="n">
        <f aca="false">AVERAGE(I19:K19)</f>
        <v>400027.333333333</v>
      </c>
      <c r="R19" s="34" t="n">
        <f aca="false">Q19-P19</f>
        <v>-644.333333333372</v>
      </c>
    </row>
    <row r="20" customFormat="false" ht="15" hidden="false" customHeight="false" outlineLevel="0" collapsed="false">
      <c r="B20" s="6" t="s">
        <v>71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3" t="n">
        <v>400000</v>
      </c>
      <c r="M20" s="33" t="n">
        <v>400000</v>
      </c>
      <c r="N20" s="33" t="n">
        <v>400000</v>
      </c>
      <c r="O20" s="34" t="n">
        <f aca="false">SUM(C20:N20)</f>
        <v>9107895</v>
      </c>
      <c r="P20" s="34" t="n">
        <f aca="false">AVERAGE(C20:H20)</f>
        <v>974234.333333333</v>
      </c>
      <c r="Q20" s="34" t="n">
        <f aca="false">AVERAGE(I20:K20)</f>
        <v>687496.333333333</v>
      </c>
      <c r="R20" s="34" t="n">
        <f aca="false">Q20-P20</f>
        <v>-286738</v>
      </c>
    </row>
    <row r="21" customFormat="false" ht="15" hidden="false" customHeight="false" outlineLevel="0" collapsed="false">
      <c r="B21" s="6" t="s">
        <v>72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3" t="n">
        <v>0</v>
      </c>
      <c r="M21" s="33" t="n">
        <v>0</v>
      </c>
      <c r="N21" s="33" t="n">
        <v>0</v>
      </c>
      <c r="O21" s="34" t="n">
        <f aca="false">SUM(C21:N21)</f>
        <v>2191324</v>
      </c>
      <c r="P21" s="34" t="n">
        <f aca="false">AVERAGE(C21:H21)</f>
        <v>288154.5</v>
      </c>
      <c r="Q21" s="34" t="n">
        <f aca="false">AVERAGE(I21:K21)</f>
        <v>154132.333333333</v>
      </c>
      <c r="R21" s="34" t="n">
        <f aca="false">Q21-P21</f>
        <v>-134022.166666667</v>
      </c>
    </row>
    <row r="22" customFormat="false" ht="15" hidden="false" customHeight="false" outlineLevel="0" collapsed="false">
      <c r="B22" s="6" t="s">
        <v>73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3" t="n">
        <v>112868</v>
      </c>
      <c r="M22" s="33" t="n">
        <v>114508</v>
      </c>
      <c r="N22" s="33" t="n">
        <v>114868</v>
      </c>
      <c r="O22" s="34" t="n">
        <f aca="false">SUM(C22:N22)</f>
        <v>1612136</v>
      </c>
      <c r="P22" s="34" t="n">
        <f aca="false">AVERAGE(C22:H22)</f>
        <v>150173.5</v>
      </c>
      <c r="Q22" s="34" t="n">
        <f aca="false">AVERAGE(I22:K22)</f>
        <v>122950.333333333</v>
      </c>
      <c r="R22" s="34" t="n">
        <f aca="false">Q22-P22</f>
        <v>-27223.1666666667</v>
      </c>
    </row>
    <row r="23" customFormat="false" ht="15" hidden="false" customHeight="false" outlineLevel="0" collapsed="false">
      <c r="B23" s="6" t="s">
        <v>74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3" t="n">
        <v>0</v>
      </c>
      <c r="M23" s="33" t="n">
        <v>0</v>
      </c>
      <c r="N23" s="33" t="n">
        <v>0</v>
      </c>
      <c r="O23" s="34" t="n">
        <f aca="false">SUM(C23:N23)</f>
        <v>580870</v>
      </c>
      <c r="P23" s="34" t="n">
        <f aca="false">AVERAGE(C23:H23)</f>
        <v>96811.6666666667</v>
      </c>
      <c r="Q23" s="34" t="n">
        <f aca="false">AVERAGE(I23:K23)</f>
        <v>0</v>
      </c>
      <c r="R23" s="34" t="n">
        <f aca="false">Q23-P23</f>
        <v>-96811.6666666667</v>
      </c>
    </row>
    <row r="24" customFormat="false" ht="15" hidden="false" customHeight="false" outlineLevel="0" collapsed="false">
      <c r="B24" s="6" t="s">
        <v>75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3" t="n">
        <v>0</v>
      </c>
      <c r="M24" s="33" t="n">
        <v>0</v>
      </c>
      <c r="N24" s="33" t="n">
        <v>0</v>
      </c>
      <c r="O24" s="34" t="n">
        <f aca="false">SUM(C24:N24)</f>
        <v>3212090</v>
      </c>
      <c r="P24" s="34" t="n">
        <f aca="false">AVERAGE(C24:H24)</f>
        <v>412101.5</v>
      </c>
      <c r="Q24" s="34" t="n">
        <f aca="false">AVERAGE(I24:K24)</f>
        <v>246493.666666667</v>
      </c>
      <c r="R24" s="34" t="n">
        <f aca="false">Q24-P24</f>
        <v>-165607.833333333</v>
      </c>
    </row>
    <row r="25" customFormat="false" ht="15" hidden="false" customHeight="false" outlineLevel="0" collapsed="false">
      <c r="B25" s="6" t="s">
        <v>76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3" t="n">
        <v>1397165</v>
      </c>
      <c r="M25" s="33" t="n">
        <v>2239059</v>
      </c>
      <c r="N25" s="33" t="n">
        <v>1549238</v>
      </c>
      <c r="O25" s="34" t="n">
        <f aca="false">SUM(C25:N25)</f>
        <v>17631310</v>
      </c>
      <c r="P25" s="34" t="n">
        <f aca="false">AVERAGE(C25:H25)</f>
        <v>1467807</v>
      </c>
      <c r="Q25" s="34" t="n">
        <f aca="false">AVERAGE(I25:K25)</f>
        <v>1213002</v>
      </c>
      <c r="R25" s="34" t="n">
        <f aca="false">Q25-P25</f>
        <v>-254805</v>
      </c>
    </row>
    <row r="26" customFormat="false" ht="15" hidden="false" customHeight="false" outlineLevel="0" collapsed="false">
      <c r="B26" s="6" t="s">
        <v>77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3" t="n">
        <v>0</v>
      </c>
      <c r="M26" s="33" t="n">
        <v>0</v>
      </c>
      <c r="N26" s="33" t="n">
        <v>0</v>
      </c>
      <c r="O26" s="34" t="n">
        <f aca="false">SUM(C26:N26)</f>
        <v>1095098</v>
      </c>
      <c r="P26" s="34" t="n">
        <f aca="false">AVERAGE(C26:H26)</f>
        <v>182516.333333333</v>
      </c>
      <c r="Q26" s="34" t="n">
        <f aca="false">AVERAGE(I26:K26)</f>
        <v>0</v>
      </c>
      <c r="R26" s="34" t="n">
        <f aca="false">Q26-P26</f>
        <v>-182516.333333333</v>
      </c>
    </row>
    <row r="27" customFormat="false" ht="15" hidden="false" customHeight="false" outlineLevel="0" collapsed="false">
      <c r="B27" s="6" t="s">
        <v>78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3" t="n">
        <v>1137091</v>
      </c>
      <c r="M27" s="33" t="n">
        <v>1137091</v>
      </c>
      <c r="N27" s="33" t="n">
        <v>1137091</v>
      </c>
      <c r="O27" s="34" t="n">
        <f aca="false">SUM(C27:N27)</f>
        <v>33528144</v>
      </c>
      <c r="P27" s="34" t="n">
        <f aca="false">AVERAGE(C27:H27)</f>
        <v>3394356.83333333</v>
      </c>
      <c r="Q27" s="34" t="n">
        <f aca="false">AVERAGE(I27:K27)</f>
        <v>3250243.33333333</v>
      </c>
      <c r="R27" s="34" t="n">
        <f aca="false">Q27-P27</f>
        <v>-144113.5</v>
      </c>
    </row>
    <row r="28" customFormat="false" ht="15" hidden="false" customHeight="false" outlineLevel="0" collapsed="false">
      <c r="B28" s="6" t="s">
        <v>79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3" t="n">
        <v>0</v>
      </c>
      <c r="M28" s="33" t="n">
        <v>0</v>
      </c>
      <c r="N28" s="33" t="n">
        <v>0</v>
      </c>
      <c r="O28" s="34" t="n">
        <f aca="false">SUM(C28:N28)</f>
        <v>513707</v>
      </c>
      <c r="P28" s="34" t="n">
        <f aca="false">AVERAGE(C28:H28)</f>
        <v>60690</v>
      </c>
      <c r="Q28" s="34" t="n">
        <f aca="false">AVERAGE(I28:K28)</f>
        <v>49855.6666666667</v>
      </c>
      <c r="R28" s="34" t="n">
        <f aca="false">Q28-P28</f>
        <v>-10834.3333333333</v>
      </c>
    </row>
    <row r="29" customFormat="false" ht="15" hidden="false" customHeight="false" outlineLevel="0" collapsed="false">
      <c r="B29" s="6" t="s">
        <v>80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3" t="n">
        <v>179847</v>
      </c>
      <c r="M29" s="33" t="n">
        <v>179847</v>
      </c>
      <c r="N29" s="33" t="n">
        <v>179847</v>
      </c>
      <c r="O29" s="34" t="n">
        <f aca="false">SUM(C29:N29)</f>
        <v>619541</v>
      </c>
      <c r="P29" s="34" t="n">
        <f aca="false">AVERAGE(C29:H29)</f>
        <v>10000</v>
      </c>
      <c r="Q29" s="34" t="n">
        <f aca="false">AVERAGE(I29:K29)</f>
        <v>6666.66666666667</v>
      </c>
      <c r="R29" s="34" t="n">
        <f aca="false">Q29-P29</f>
        <v>-3333.33333333333</v>
      </c>
    </row>
    <row r="30" customFormat="false" ht="15" hidden="false" customHeight="false" outlineLevel="0" collapsed="false">
      <c r="B30" s="6" t="s">
        <v>81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3" t="n">
        <v>0</v>
      </c>
      <c r="M30" s="33" t="n">
        <v>0</v>
      </c>
      <c r="N30" s="33" t="n">
        <v>0</v>
      </c>
      <c r="O30" s="34" t="n">
        <f aca="false">SUM(C30:N30)</f>
        <v>2586997</v>
      </c>
      <c r="P30" s="34" t="n">
        <f aca="false">AVERAGE(C30:H30)</f>
        <v>233852.833333333</v>
      </c>
      <c r="Q30" s="34" t="n">
        <f aca="false">AVERAGE(I30:K30)</f>
        <v>394626.666666667</v>
      </c>
      <c r="R30" s="34" t="n">
        <f aca="false">Q30-P30</f>
        <v>160773.833333333</v>
      </c>
    </row>
    <row r="31" customFormat="false" ht="15" hidden="false" customHeight="false" outlineLevel="0" collapsed="false">
      <c r="B31" s="6" t="s">
        <v>82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3" t="n">
        <v>0</v>
      </c>
      <c r="M31" s="33" t="n">
        <v>0</v>
      </c>
      <c r="N31" s="33" t="n">
        <v>0</v>
      </c>
      <c r="O31" s="34" t="n">
        <f aca="false">SUM(C31:N31)</f>
        <v>82705</v>
      </c>
      <c r="P31" s="34" t="n">
        <f aca="false">AVERAGE(C31:H31)</f>
        <v>13784.1666666667</v>
      </c>
      <c r="Q31" s="34" t="n">
        <f aca="false">AVERAGE(I31:K31)</f>
        <v>0</v>
      </c>
      <c r="R31" s="34" t="n">
        <f aca="false">Q31-P31</f>
        <v>-13784.1666666667</v>
      </c>
    </row>
    <row r="32" customFormat="false" ht="15" hidden="false" customHeight="false" outlineLevel="0" collapsed="false">
      <c r="B32" s="6" t="s">
        <v>83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3" t="n">
        <v>2246731</v>
      </c>
      <c r="M32" s="33" t="n">
        <v>2246731</v>
      </c>
      <c r="N32" s="33" t="n">
        <v>2246731</v>
      </c>
      <c r="O32" s="34" t="n">
        <f aca="false">SUM(C32:N32)</f>
        <v>40872160</v>
      </c>
      <c r="P32" s="34" t="n">
        <f aca="false">AVERAGE(C32:H32)</f>
        <v>3869724.66666667</v>
      </c>
      <c r="Q32" s="34" t="n">
        <f aca="false">AVERAGE(I32:K32)</f>
        <v>3637873</v>
      </c>
      <c r="R32" s="34" t="n">
        <f aca="false">Q32-P32</f>
        <v>-231851.666666667</v>
      </c>
    </row>
    <row r="33" customFormat="false" ht="15" hidden="false" customHeight="false" outlineLevel="0" collapsed="false">
      <c r="B33" s="6" t="s">
        <v>84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3" t="n">
        <v>5546051</v>
      </c>
      <c r="M33" s="33" t="n">
        <v>5910511</v>
      </c>
      <c r="N33" s="33" t="n">
        <v>5571711</v>
      </c>
      <c r="O33" s="34" t="n">
        <f aca="false">SUM(C33:N33)</f>
        <v>33314185</v>
      </c>
      <c r="P33" s="34" t="n">
        <f aca="false">AVERAGE(C33:H33)</f>
        <v>2578076.83333333</v>
      </c>
      <c r="Q33" s="34" t="n">
        <f aca="false">AVERAGE(I33:K33)</f>
        <v>272483.666666667</v>
      </c>
      <c r="R33" s="34" t="n">
        <f aca="false">Q33-P33</f>
        <v>-2305593.16666667</v>
      </c>
    </row>
    <row r="34" customFormat="false" ht="15" hidden="false" customHeight="false" outlineLevel="0" collapsed="false">
      <c r="B34" s="37" t="s">
        <v>85</v>
      </c>
      <c r="C34" s="12" t="n">
        <f aca="false">SUM(C11:C33)</f>
        <v>25374892</v>
      </c>
      <c r="D34" s="12" t="n">
        <f aca="false">SUM(D11:D33)</f>
        <v>30963282</v>
      </c>
      <c r="E34" s="12" t="n">
        <f aca="false">SUM(E11:E33)</f>
        <v>38572456</v>
      </c>
      <c r="F34" s="12" t="n">
        <f aca="false">SUM(F11:F33)</f>
        <v>33761779</v>
      </c>
      <c r="G34" s="12" t="n">
        <f aca="false">SUM(G11:G33)</f>
        <v>34133901</v>
      </c>
      <c r="H34" s="12" t="n">
        <f aca="false">SUM(H11:H33)</f>
        <v>38737868</v>
      </c>
      <c r="I34" s="12" t="n">
        <f aca="false">SUM(I11:I33)</f>
        <v>25883967</v>
      </c>
      <c r="J34" s="12" t="n">
        <f aca="false">SUM(J11:J33)</f>
        <v>24529013</v>
      </c>
      <c r="K34" s="12" t="n">
        <f aca="false">SUM(K11:K33)</f>
        <v>24627286</v>
      </c>
      <c r="L34" s="12" t="n">
        <f aca="false">SUM(L11:L33)</f>
        <v>21021014</v>
      </c>
      <c r="M34" s="12" t="n">
        <f aca="false">SUM(M11:M33)</f>
        <v>23912797</v>
      </c>
      <c r="N34" s="12" t="n">
        <f aca="false">SUM(N11:N33)</f>
        <v>22414578</v>
      </c>
      <c r="O34" s="12" t="n">
        <f aca="false">SUM(C34:N34)</f>
        <v>343932833</v>
      </c>
      <c r="P34" s="12" t="n">
        <f aca="false">AVERAGE(C34:H34)</f>
        <v>33590696.3333333</v>
      </c>
      <c r="Q34" s="12" t="n">
        <f aca="false">AVERAGE(I34:K34)</f>
        <v>25013422</v>
      </c>
      <c r="R34" s="12" t="n">
        <f aca="false">Q34-P34</f>
        <v>-8577274.33333334</v>
      </c>
    </row>
    <row r="35" customFormat="false" ht="15" hidden="false" customHeight="false" outlineLevel="0" collapsed="false">
      <c r="B35" s="15" t="s">
        <v>18</v>
      </c>
      <c r="C35" s="16" t="n">
        <f aca="false">C8-C34</f>
        <v>-11088462</v>
      </c>
      <c r="D35" s="16" t="n">
        <f aca="false">D8-D34</f>
        <v>-3256174</v>
      </c>
      <c r="E35" s="16" t="n">
        <f aca="false">E8-E34</f>
        <v>-16617901</v>
      </c>
      <c r="F35" s="16" t="n">
        <f aca="false">F8-F34</f>
        <v>-17805770</v>
      </c>
      <c r="G35" s="16" t="n">
        <f aca="false">G8-G34</f>
        <v>-13913836</v>
      </c>
      <c r="H35" s="16" t="n">
        <f aca="false">H8-H34</f>
        <v>-24158947</v>
      </c>
      <c r="I35" s="16" t="n">
        <f aca="false">I8-I34</f>
        <v>-10204526</v>
      </c>
      <c r="J35" s="16" t="n">
        <f aca="false">J8-J34</f>
        <v>-6389820</v>
      </c>
      <c r="K35" s="16" t="n">
        <f aca="false">K8-K34</f>
        <v>-8295438</v>
      </c>
      <c r="L35" s="16" t="n">
        <f aca="false">L8-L34</f>
        <v>1072434</v>
      </c>
      <c r="M35" s="16" t="n">
        <f aca="false">M8-M34</f>
        <v>-9672102</v>
      </c>
      <c r="N35" s="16" t="n">
        <f aca="false">N8-N34</f>
        <v>5537114</v>
      </c>
      <c r="O35" s="16" t="n">
        <f aca="false">SUM(C35:N35)</f>
        <v>-114793428</v>
      </c>
    </row>
    <row r="37" customFormat="false" ht="15" hidden="false" customHeight="false" outlineLevel="0" collapsed="false">
      <c r="B37" s="3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8" t="s">
        <v>87</v>
      </c>
    </row>
    <row r="2" customFormat="false" ht="15" hidden="false" customHeight="false" outlineLevel="0" collapsed="false">
      <c r="B2" s="3" t="s">
        <v>88</v>
      </c>
    </row>
    <row r="4" customFormat="false" ht="15" hidden="false" customHeight="false" outlineLevel="0" collapsed="false">
      <c r="B4" s="39" t="s">
        <v>89</v>
      </c>
      <c r="C4" s="40"/>
      <c r="D4" s="40"/>
      <c r="E4" s="40"/>
      <c r="F4" s="40"/>
      <c r="G4" s="40"/>
    </row>
    <row r="5" customFormat="false" ht="15" hidden="false" customHeight="false" outlineLevel="0" collapsed="false">
      <c r="B5" s="22" t="s">
        <v>90</v>
      </c>
      <c r="C5" s="41" t="s">
        <v>91</v>
      </c>
    </row>
    <row r="6" customFormat="false" ht="15" hidden="false" customHeight="false" outlineLevel="0" collapsed="false">
      <c r="B6" s="6" t="s">
        <v>58</v>
      </c>
      <c r="C6" s="42" t="n">
        <f aca="false">AVERAGE(④FY2026月次実績!I6:K6)</f>
        <v>32428397.3333333</v>
      </c>
      <c r="F6" s="43" t="s">
        <v>92</v>
      </c>
    </row>
    <row r="7" customFormat="false" ht="15" hidden="false" customHeight="false" outlineLevel="0" collapsed="false">
      <c r="B7" s="6" t="s">
        <v>60</v>
      </c>
      <c r="C7" s="42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16</v>
      </c>
      <c r="C8" s="42" t="n">
        <f aca="false">AVERAGE(④FY2026月次実績!I34:K34)</f>
        <v>25013422</v>
      </c>
    </row>
    <row r="9" customFormat="false" ht="15" hidden="false" customHeight="false" outlineLevel="0" collapsed="false">
      <c r="B9" s="6" t="s">
        <v>93</v>
      </c>
      <c r="C9" s="44" t="n">
        <f aca="false">C7/C6</f>
        <v>0.515499645619243</v>
      </c>
    </row>
    <row r="11" customFormat="false" ht="15" hidden="false" customHeight="false" outlineLevel="0" collapsed="false">
      <c r="B11" s="39" t="s">
        <v>94</v>
      </c>
      <c r="C11" s="40"/>
      <c r="D11" s="40"/>
      <c r="E11" s="40"/>
      <c r="F11" s="40"/>
      <c r="G11" s="40"/>
    </row>
    <row r="12" customFormat="false" ht="15" hidden="false" customHeight="false" outlineLevel="0" collapsed="false">
      <c r="B12" s="22" t="s">
        <v>95</v>
      </c>
      <c r="C12" s="22" t="s">
        <v>96</v>
      </c>
      <c r="D12" s="22"/>
      <c r="E12" s="22" t="s">
        <v>97</v>
      </c>
    </row>
    <row r="13" customFormat="false" ht="15" hidden="false" customHeight="false" outlineLevel="0" collapsed="false">
      <c r="B13" s="6" t="s">
        <v>98</v>
      </c>
      <c r="C13" s="45" t="n">
        <v>10000000</v>
      </c>
      <c r="E13" s="6" t="s">
        <v>99</v>
      </c>
    </row>
    <row r="14" customFormat="false" ht="15" hidden="false" customHeight="false" outlineLevel="0" collapsed="false">
      <c r="B14" s="6" t="s">
        <v>100</v>
      </c>
      <c r="C14" s="45" t="n">
        <v>60000000</v>
      </c>
      <c r="E14" s="6" t="s">
        <v>99</v>
      </c>
    </row>
    <row r="15" customFormat="false" ht="15" hidden="false" customHeight="false" outlineLevel="0" collapsed="false">
      <c r="B15" s="6" t="s">
        <v>101</v>
      </c>
      <c r="C15" s="45" t="n">
        <v>10000000</v>
      </c>
      <c r="E15" s="6" t="s">
        <v>99</v>
      </c>
    </row>
    <row r="16" customFormat="false" ht="15" hidden="false" customHeight="false" outlineLevel="0" collapsed="false">
      <c r="B16" s="6" t="s">
        <v>102</v>
      </c>
      <c r="C16" s="45" t="n">
        <v>2500000</v>
      </c>
      <c r="E16" s="6" t="s">
        <v>99</v>
      </c>
    </row>
    <row r="17" customFormat="false" ht="15" hidden="false" customHeight="false" outlineLevel="0" collapsed="false">
      <c r="B17" s="6" t="s">
        <v>103</v>
      </c>
      <c r="C17" s="45" t="n">
        <v>10000000</v>
      </c>
      <c r="E17" s="6" t="s">
        <v>99</v>
      </c>
    </row>
    <row r="18" customFormat="false" ht="15" hidden="false" customHeight="false" outlineLevel="0" collapsed="false">
      <c r="B18" s="6" t="s">
        <v>104</v>
      </c>
      <c r="C18" s="45" t="n">
        <v>20000000</v>
      </c>
      <c r="E18" s="6" t="s">
        <v>105</v>
      </c>
    </row>
    <row r="19" customFormat="false" ht="15" hidden="false" customHeight="false" outlineLevel="0" collapsed="false">
      <c r="B19" s="6" t="s">
        <v>106</v>
      </c>
      <c r="C19" s="45" t="n">
        <v>10000000</v>
      </c>
      <c r="E19" s="6" t="s">
        <v>107</v>
      </c>
    </row>
    <row r="20" customFormat="false" ht="15" hidden="false" customHeight="false" outlineLevel="0" collapsed="false">
      <c r="B20" s="6" t="s">
        <v>108</v>
      </c>
      <c r="C20" s="45" t="n">
        <v>10000000</v>
      </c>
      <c r="E20" s="6" t="s">
        <v>109</v>
      </c>
    </row>
    <row r="21" customFormat="false" ht="15" hidden="false" customHeight="false" outlineLevel="0" collapsed="false">
      <c r="B21" s="46" t="s">
        <v>110</v>
      </c>
      <c r="C21" s="34" t="n">
        <f aca="false">SUM(C13:C20)</f>
        <v>132500000</v>
      </c>
      <c r="F21" s="30" t="s">
        <v>111</v>
      </c>
    </row>
    <row r="22" customFormat="false" ht="15" hidden="false" customHeight="false" outlineLevel="0" collapsed="false">
      <c r="B22" s="6" t="s">
        <v>112</v>
      </c>
      <c r="C22" s="8" t="n">
        <f aca="false">SUM(C13:C20)</f>
        <v>132500000</v>
      </c>
      <c r="F22" s="30" t="s">
        <v>113</v>
      </c>
    </row>
    <row r="23" customFormat="false" ht="15" hidden="false" customHeight="false" outlineLevel="0" collapsed="false">
      <c r="B23" s="6" t="s">
        <v>114</v>
      </c>
      <c r="C23" s="8" t="n">
        <v>0</v>
      </c>
      <c r="F23" s="30" t="s">
        <v>115</v>
      </c>
    </row>
    <row r="25" customFormat="false" ht="15" hidden="false" customHeight="false" outlineLevel="0" collapsed="false">
      <c r="B25" s="39" t="s">
        <v>116</v>
      </c>
      <c r="C25" s="40"/>
      <c r="D25" s="40"/>
      <c r="E25" s="40"/>
      <c r="F25" s="40"/>
      <c r="G25" s="40"/>
    </row>
    <row r="26" customFormat="false" ht="15" hidden="false" customHeight="false" outlineLevel="0" collapsed="false">
      <c r="B26" s="6" t="s">
        <v>117</v>
      </c>
      <c r="C26" s="45" t="n">
        <v>15000000</v>
      </c>
      <c r="F26" s="3" t="s">
        <v>118</v>
      </c>
    </row>
    <row r="27" customFormat="false" ht="15" hidden="false" customHeight="false" outlineLevel="0" collapsed="false">
      <c r="B27" s="6" t="s">
        <v>119</v>
      </c>
      <c r="C27" s="47" t="n">
        <v>6</v>
      </c>
      <c r="F27" s="14" t="s">
        <v>120</v>
      </c>
    </row>
    <row r="28" customFormat="false" ht="15" hidden="false" customHeight="false" outlineLevel="0" collapsed="false">
      <c r="B28" s="6" t="s">
        <v>121</v>
      </c>
      <c r="C28" s="47" t="n">
        <v>6</v>
      </c>
      <c r="F28" s="14" t="s">
        <v>120</v>
      </c>
    </row>
    <row r="29" customFormat="false" ht="15" hidden="false" customHeight="false" outlineLevel="0" collapsed="false">
      <c r="B29" s="6" t="s">
        <v>122</v>
      </c>
      <c r="C29" s="47" t="n">
        <v>12</v>
      </c>
      <c r="F29" s="14" t="s">
        <v>123</v>
      </c>
    </row>
    <row r="30" customFormat="false" ht="15" hidden="false" customHeight="false" outlineLevel="0" collapsed="false">
      <c r="B30" s="6" t="s">
        <v>124</v>
      </c>
      <c r="C30" s="45" t="n">
        <v>100000000</v>
      </c>
      <c r="F30" s="3" t="s">
        <v>125</v>
      </c>
    </row>
    <row r="31" customFormat="false" ht="15" hidden="false" customHeight="false" outlineLevel="0" collapsed="false">
      <c r="B31" s="6" t="s">
        <v>126</v>
      </c>
      <c r="C31" s="45" t="n">
        <v>1066000000</v>
      </c>
      <c r="F31" s="3" t="s">
        <v>127</v>
      </c>
    </row>
    <row r="32" customFormat="false" ht="31.5" hidden="false" customHeight="true" outlineLevel="0" collapsed="false">
      <c r="B32" s="6" t="s">
        <v>24</v>
      </c>
      <c r="C32" s="48" t="s">
        <v>128</v>
      </c>
      <c r="F32" s="49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9" t="s">
        <v>130</v>
      </c>
    </row>
    <row r="2" customFormat="false" ht="15" hidden="false" customHeight="false" outlineLevel="0" collapsed="false">
      <c r="B2" s="14" t="s">
        <v>131</v>
      </c>
    </row>
    <row r="4" customFormat="false" ht="30" hidden="false" customHeight="true" outlineLevel="0" collapsed="false">
      <c r="B4" s="22" t="s">
        <v>3</v>
      </c>
      <c r="C4" s="23" t="s">
        <v>132</v>
      </c>
      <c r="D4" s="31" t="s">
        <v>133</v>
      </c>
      <c r="E4" s="31" t="s">
        <v>134</v>
      </c>
      <c r="F4" s="31" t="s">
        <v>135</v>
      </c>
      <c r="G4" s="31" t="s">
        <v>136</v>
      </c>
      <c r="H4" s="31" t="s">
        <v>137</v>
      </c>
      <c r="I4" s="31" t="s">
        <v>138</v>
      </c>
      <c r="J4" s="31" t="s">
        <v>139</v>
      </c>
      <c r="K4" s="31" t="s">
        <v>140</v>
      </c>
      <c r="L4" s="31" t="s">
        <v>141</v>
      </c>
      <c r="M4" s="31" t="s">
        <v>142</v>
      </c>
      <c r="N4" s="31" t="s">
        <v>143</v>
      </c>
      <c r="O4" s="31" t="s">
        <v>144</v>
      </c>
      <c r="P4" s="41" t="s">
        <v>145</v>
      </c>
    </row>
    <row r="5" customFormat="false" ht="15" hidden="false" customHeight="false" outlineLevel="0" collapsed="false">
      <c r="B5" s="36" t="s">
        <v>146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 customFormat="false" ht="15" hidden="false" customHeight="false" outlineLevel="0" collapsed="false">
      <c r="B6" s="6" t="s">
        <v>9</v>
      </c>
      <c r="C6" s="51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4" t="n">
        <f aca="false">SUM(D6:O6)</f>
        <v>389140768</v>
      </c>
    </row>
    <row r="7" customFormat="false" ht="15" hidden="false" customHeight="false" outlineLevel="0" collapsed="false">
      <c r="B7" s="6" t="s">
        <v>147</v>
      </c>
      <c r="C7" s="51" t="n">
        <f aca="false">C6-C8</f>
        <v>15711570</v>
      </c>
      <c r="D7" s="8" t="n">
        <f aca="false">D6-D8</f>
        <v>15711570</v>
      </c>
      <c r="E7" s="8" t="n">
        <f aca="false">E6-E8</f>
        <v>15711570</v>
      </c>
      <c r="F7" s="8" t="n">
        <f aca="false">F6-F8</f>
        <v>15711570</v>
      </c>
      <c r="G7" s="8" t="n">
        <f aca="false">G6-G8</f>
        <v>15711570</v>
      </c>
      <c r="H7" s="8" t="n">
        <f aca="false">H6-H8</f>
        <v>15711570</v>
      </c>
      <c r="I7" s="8" t="n">
        <f aca="false">I6-I8</f>
        <v>15711570</v>
      </c>
      <c r="J7" s="8" t="n">
        <f aca="false">J6-J8</f>
        <v>15711570</v>
      </c>
      <c r="K7" s="8" t="n">
        <f aca="false">K6-K8</f>
        <v>15711570</v>
      </c>
      <c r="L7" s="8" t="n">
        <f aca="false">L6-L8</f>
        <v>15711570</v>
      </c>
      <c r="M7" s="8" t="n">
        <f aca="false">M6-M8</f>
        <v>15711570</v>
      </c>
      <c r="N7" s="8" t="n">
        <f aca="false">N6-N8</f>
        <v>15711570</v>
      </c>
      <c r="O7" s="8" t="n">
        <f aca="false">O6-O8</f>
        <v>15711570</v>
      </c>
      <c r="P7" s="34" t="n">
        <f aca="false">SUM(D7:O7)</f>
        <v>188538840</v>
      </c>
    </row>
    <row r="8" customFormat="false" ht="15" hidden="false" customHeight="false" outlineLevel="0" collapsed="false">
      <c r="B8" s="6" t="s">
        <v>148</v>
      </c>
      <c r="C8" s="51" t="n">
        <f aca="false">②前提!$C$7</f>
        <v>16716827.3333333</v>
      </c>
      <c r="D8" s="8" t="n">
        <f aca="false">$C$8</f>
        <v>16716827.3333333</v>
      </c>
      <c r="E8" s="8" t="n">
        <f aca="false">$C$8</f>
        <v>16716827.3333333</v>
      </c>
      <c r="F8" s="8" t="n">
        <f aca="false">$C$8</f>
        <v>16716827.3333333</v>
      </c>
      <c r="G8" s="8" t="n">
        <f aca="false">$C$8</f>
        <v>16716827.3333333</v>
      </c>
      <c r="H8" s="8" t="n">
        <f aca="false">$C$8</f>
        <v>16716827.3333333</v>
      </c>
      <c r="I8" s="8" t="n">
        <f aca="false">$C$8</f>
        <v>16716827.3333333</v>
      </c>
      <c r="J8" s="8" t="n">
        <f aca="false">$C$8</f>
        <v>16716827.3333333</v>
      </c>
      <c r="K8" s="8" t="n">
        <f aca="false">$C$8</f>
        <v>16716827.3333333</v>
      </c>
      <c r="L8" s="8" t="n">
        <f aca="false">$C$8</f>
        <v>16716827.3333333</v>
      </c>
      <c r="M8" s="8" t="n">
        <f aca="false">$C$8</f>
        <v>16716827.3333333</v>
      </c>
      <c r="N8" s="8" t="n">
        <f aca="false">$C$8</f>
        <v>16716827.3333333</v>
      </c>
      <c r="O8" s="8" t="n">
        <f aca="false">$C$8</f>
        <v>16716827.3333333</v>
      </c>
      <c r="P8" s="34" t="n">
        <f aca="false">SUM(D8:O8)</f>
        <v>200601928</v>
      </c>
    </row>
    <row r="9" customFormat="false" ht="15" hidden="false" customHeight="false" outlineLevel="0" collapsed="false">
      <c r="B9" s="6" t="s">
        <v>149</v>
      </c>
      <c r="C9" s="51" t="n">
        <f aca="false">②前提!$C$13/12</f>
        <v>833333.333333333</v>
      </c>
      <c r="D9" s="8" t="n">
        <f aca="false">$C$9</f>
        <v>833333.333333333</v>
      </c>
      <c r="E9" s="8" t="n">
        <f aca="false">$C$9</f>
        <v>833333.333333333</v>
      </c>
      <c r="F9" s="8" t="n">
        <f aca="false">$C$9</f>
        <v>833333.333333333</v>
      </c>
      <c r="G9" s="8" t="n">
        <f aca="false">$C$9</f>
        <v>833333.333333333</v>
      </c>
      <c r="H9" s="8" t="n">
        <f aca="false">$C$9</f>
        <v>833333.333333333</v>
      </c>
      <c r="I9" s="8" t="n">
        <f aca="false">$C$9</f>
        <v>833333.333333333</v>
      </c>
      <c r="J9" s="8" t="n">
        <f aca="false">$C$9</f>
        <v>833333.333333333</v>
      </c>
      <c r="K9" s="8" t="n">
        <f aca="false">$C$9</f>
        <v>833333.333333333</v>
      </c>
      <c r="L9" s="8" t="n">
        <f aca="false">$C$9</f>
        <v>833333.333333333</v>
      </c>
      <c r="M9" s="8" t="n">
        <f aca="false">$C$9</f>
        <v>833333.333333333</v>
      </c>
      <c r="N9" s="8" t="n">
        <f aca="false">$C$9</f>
        <v>833333.333333333</v>
      </c>
      <c r="O9" s="8" t="n">
        <f aca="false">$C$9</f>
        <v>833333.333333333</v>
      </c>
      <c r="P9" s="34" t="n">
        <f aca="false">SUM(D9:O9)</f>
        <v>10000000</v>
      </c>
    </row>
    <row r="10" customFormat="false" ht="15" hidden="false" customHeight="false" outlineLevel="0" collapsed="false">
      <c r="B10" s="6" t="s">
        <v>150</v>
      </c>
      <c r="C10" s="51" t="n">
        <f aca="false">②前提!$C$14/12</f>
        <v>5000000</v>
      </c>
      <c r="D10" s="8" t="n">
        <f aca="false">$C$10</f>
        <v>5000000</v>
      </c>
      <c r="E10" s="8" t="n">
        <f aca="false">$C$10</f>
        <v>5000000</v>
      </c>
      <c r="F10" s="8" t="n">
        <f aca="false">$C$10</f>
        <v>5000000</v>
      </c>
      <c r="G10" s="8" t="n">
        <f aca="false">$C$10</f>
        <v>5000000</v>
      </c>
      <c r="H10" s="8" t="n">
        <f aca="false">$C$10</f>
        <v>5000000</v>
      </c>
      <c r="I10" s="8" t="n">
        <f aca="false">$C$10</f>
        <v>5000000</v>
      </c>
      <c r="J10" s="8" t="n">
        <f aca="false">$C$10</f>
        <v>5000000</v>
      </c>
      <c r="K10" s="8" t="n">
        <f aca="false">$C$10</f>
        <v>5000000</v>
      </c>
      <c r="L10" s="8" t="n">
        <f aca="false">$C$10</f>
        <v>5000000</v>
      </c>
      <c r="M10" s="8" t="n">
        <f aca="false">$C$10</f>
        <v>5000000</v>
      </c>
      <c r="N10" s="8" t="n">
        <f aca="false">$C$10</f>
        <v>5000000</v>
      </c>
      <c r="O10" s="8" t="n">
        <f aca="false">$C$10</f>
        <v>5000000</v>
      </c>
      <c r="P10" s="34" t="n">
        <f aca="false">SUM(D10:O10)</f>
        <v>60000000</v>
      </c>
    </row>
    <row r="11" customFormat="false" ht="15" hidden="false" customHeight="false" outlineLevel="0" collapsed="false">
      <c r="B11" s="6" t="s">
        <v>151</v>
      </c>
      <c r="C11" s="51" t="n">
        <f aca="false">②前提!$C$15/12</f>
        <v>833333.333333333</v>
      </c>
      <c r="D11" s="8" t="n">
        <f aca="false">$C$11</f>
        <v>833333.333333333</v>
      </c>
      <c r="E11" s="8" t="n">
        <f aca="false">$C$11</f>
        <v>833333.333333333</v>
      </c>
      <c r="F11" s="8" t="n">
        <f aca="false">$C$11</f>
        <v>833333.333333333</v>
      </c>
      <c r="G11" s="8" t="n">
        <f aca="false">$C$11</f>
        <v>833333.333333333</v>
      </c>
      <c r="H11" s="8" t="n">
        <f aca="false">$C$11</f>
        <v>833333.333333333</v>
      </c>
      <c r="I11" s="8" t="n">
        <f aca="false">$C$11</f>
        <v>833333.333333333</v>
      </c>
      <c r="J11" s="8" t="n">
        <f aca="false">$C$11</f>
        <v>833333.333333333</v>
      </c>
      <c r="K11" s="8" t="n">
        <f aca="false">$C$11</f>
        <v>833333.333333333</v>
      </c>
      <c r="L11" s="8" t="n">
        <f aca="false">$C$11</f>
        <v>833333.333333333</v>
      </c>
      <c r="M11" s="8" t="n">
        <f aca="false">$C$11</f>
        <v>833333.333333333</v>
      </c>
      <c r="N11" s="8" t="n">
        <f aca="false">$C$11</f>
        <v>833333.333333333</v>
      </c>
      <c r="O11" s="8" t="n">
        <f aca="false">$C$11</f>
        <v>833333.333333333</v>
      </c>
      <c r="P11" s="34" t="n">
        <f aca="false">SUM(D11:O11)</f>
        <v>10000000</v>
      </c>
    </row>
    <row r="12" customFormat="false" ht="15" hidden="false" customHeight="false" outlineLevel="0" collapsed="false">
      <c r="B12" s="6" t="s">
        <v>152</v>
      </c>
      <c r="C12" s="51" t="n">
        <f aca="false">②前提!$C$16/12</f>
        <v>208333.333333333</v>
      </c>
      <c r="D12" s="8" t="n">
        <f aca="false">$C$12</f>
        <v>208333.333333333</v>
      </c>
      <c r="E12" s="8" t="n">
        <f aca="false">$C$12</f>
        <v>208333.333333333</v>
      </c>
      <c r="F12" s="8" t="n">
        <f aca="false">$C$12</f>
        <v>208333.333333333</v>
      </c>
      <c r="G12" s="8" t="n">
        <f aca="false">$C$12</f>
        <v>208333.333333333</v>
      </c>
      <c r="H12" s="8" t="n">
        <f aca="false">$C$12</f>
        <v>208333.333333333</v>
      </c>
      <c r="I12" s="8" t="n">
        <f aca="false">$C$12</f>
        <v>208333.333333333</v>
      </c>
      <c r="J12" s="8" t="n">
        <f aca="false">$C$12</f>
        <v>208333.333333333</v>
      </c>
      <c r="K12" s="8" t="n">
        <f aca="false">$C$12</f>
        <v>208333.333333333</v>
      </c>
      <c r="L12" s="8" t="n">
        <f aca="false">$C$12</f>
        <v>208333.333333333</v>
      </c>
      <c r="M12" s="8" t="n">
        <f aca="false">$C$12</f>
        <v>208333.333333333</v>
      </c>
      <c r="N12" s="8" t="n">
        <f aca="false">$C$12</f>
        <v>208333.333333333</v>
      </c>
      <c r="O12" s="8" t="n">
        <f aca="false">$C$12</f>
        <v>208333.333333333</v>
      </c>
      <c r="P12" s="34" t="n">
        <f aca="false">SUM(D12:O12)</f>
        <v>2500000</v>
      </c>
    </row>
    <row r="13" customFormat="false" ht="15" hidden="false" customHeight="false" outlineLevel="0" collapsed="false">
      <c r="B13" s="6" t="s">
        <v>153</v>
      </c>
      <c r="C13" s="51" t="n">
        <f aca="false">②前提!$C$17/12</f>
        <v>833333.333333333</v>
      </c>
      <c r="D13" s="8" t="n">
        <f aca="false">$C$13</f>
        <v>833333.333333333</v>
      </c>
      <c r="E13" s="8" t="n">
        <f aca="false">$C$13</f>
        <v>833333.333333333</v>
      </c>
      <c r="F13" s="8" t="n">
        <f aca="false">$C$13</f>
        <v>833333.333333333</v>
      </c>
      <c r="G13" s="8" t="n">
        <f aca="false">$C$13</f>
        <v>833333.333333333</v>
      </c>
      <c r="H13" s="8" t="n">
        <f aca="false">$C$13</f>
        <v>833333.333333333</v>
      </c>
      <c r="I13" s="8" t="n">
        <f aca="false">$C$13</f>
        <v>833333.333333333</v>
      </c>
      <c r="J13" s="8" t="n">
        <f aca="false">$C$13</f>
        <v>833333.333333333</v>
      </c>
      <c r="K13" s="8" t="n">
        <f aca="false">$C$13</f>
        <v>833333.333333333</v>
      </c>
      <c r="L13" s="8" t="n">
        <f aca="false">$C$13</f>
        <v>833333.333333333</v>
      </c>
      <c r="M13" s="8" t="n">
        <f aca="false">$C$13</f>
        <v>833333.333333333</v>
      </c>
      <c r="N13" s="8" t="n">
        <f aca="false">$C$13</f>
        <v>833333.333333333</v>
      </c>
      <c r="O13" s="8" t="n">
        <f aca="false">$C$13</f>
        <v>833333.333333333</v>
      </c>
      <c r="P13" s="34" t="n">
        <f aca="false">SUM(D13:O13)</f>
        <v>10000000</v>
      </c>
    </row>
    <row r="14" customFormat="false" ht="15" hidden="false" customHeight="false" outlineLevel="0" collapsed="false">
      <c r="B14" s="6" t="s">
        <v>154</v>
      </c>
      <c r="D14" s="8" t="n">
        <f aca="false">IF(1=②前提!$C$27,②前提!$C$18,0)</f>
        <v>0</v>
      </c>
      <c r="E14" s="8" t="n">
        <f aca="false">IF(2=②前提!$C$27,②前提!$C$18,0)</f>
        <v>0</v>
      </c>
      <c r="F14" s="8" t="n">
        <f aca="false">IF(3=②前提!$C$27,②前提!$C$18,0)</f>
        <v>0</v>
      </c>
      <c r="G14" s="8" t="n">
        <f aca="false">IF(4=②前提!$C$27,②前提!$C$18,0)</f>
        <v>0</v>
      </c>
      <c r="H14" s="8" t="n">
        <f aca="false">IF(5=②前提!$C$27,②前提!$C$18,0)</f>
        <v>0</v>
      </c>
      <c r="I14" s="8" t="n">
        <f aca="false">IF(6=②前提!$C$27,②前提!$C$18,0)</f>
        <v>20000000</v>
      </c>
      <c r="J14" s="8" t="n">
        <f aca="false">IF(7=②前提!$C$27,②前提!$C$18,0)</f>
        <v>0</v>
      </c>
      <c r="K14" s="8" t="n">
        <f aca="false">IF(8=②前提!$C$27,②前提!$C$18,0)</f>
        <v>0</v>
      </c>
      <c r="L14" s="8" t="n">
        <f aca="false">IF(9=②前提!$C$27,②前提!$C$18,0)</f>
        <v>0</v>
      </c>
      <c r="M14" s="8" t="n">
        <f aca="false">IF(10=②前提!$C$27,②前提!$C$18,0)</f>
        <v>0</v>
      </c>
      <c r="N14" s="8" t="n">
        <f aca="false">IF(11=②前提!$C$27,②前提!$C$18,0)</f>
        <v>0</v>
      </c>
      <c r="O14" s="8" t="n">
        <f aca="false">IF(12=②前提!$C$27,②前提!$C$18,0)</f>
        <v>0</v>
      </c>
      <c r="P14" s="34" t="n">
        <f aca="false">SUM(D14:O14)</f>
        <v>20000000</v>
      </c>
    </row>
    <row r="15" customFormat="false" ht="15" hidden="false" customHeight="false" outlineLevel="0" collapsed="false">
      <c r="B15" s="6" t="s">
        <v>155</v>
      </c>
      <c r="D15" s="8" t="n">
        <f aca="false">IF(1=②前提!$C$28,②前提!$C$19,0)+IF(1=②前提!$C$29,②前提!$C$20,0)</f>
        <v>0</v>
      </c>
      <c r="E15" s="8" t="n">
        <f aca="false">IF(2=②前提!$C$28,②前提!$C$19,0)+IF(2=②前提!$C$29,②前提!$C$20,0)</f>
        <v>0</v>
      </c>
      <c r="F15" s="8" t="n">
        <f aca="false">IF(3=②前提!$C$28,②前提!$C$19,0)+IF(3=②前提!$C$29,②前提!$C$20,0)</f>
        <v>0</v>
      </c>
      <c r="G15" s="8" t="n">
        <f aca="false">IF(4=②前提!$C$28,②前提!$C$19,0)+IF(4=②前提!$C$29,②前提!$C$20,0)</f>
        <v>0</v>
      </c>
      <c r="H15" s="8" t="n">
        <f aca="false">IF(5=②前提!$C$28,②前提!$C$19,0)+IF(5=②前提!$C$29,②前提!$C$20,0)</f>
        <v>0</v>
      </c>
      <c r="I15" s="8" t="n">
        <f aca="false">IF(6=②前提!$C$28,②前提!$C$19,0)+IF(6=②前提!$C$29,②前提!$C$20,0)</f>
        <v>10000000</v>
      </c>
      <c r="J15" s="8" t="n">
        <f aca="false">IF(7=②前提!$C$28,②前提!$C$19,0)+IF(7=②前提!$C$29,②前提!$C$20,0)</f>
        <v>0</v>
      </c>
      <c r="K15" s="8" t="n">
        <f aca="false">IF(8=②前提!$C$28,②前提!$C$19,0)+IF(8=②前提!$C$29,②前提!$C$20,0)</f>
        <v>0</v>
      </c>
      <c r="L15" s="8" t="n">
        <f aca="false">IF(9=②前提!$C$28,②前提!$C$19,0)+IF(9=②前提!$C$29,②前提!$C$20,0)</f>
        <v>0</v>
      </c>
      <c r="M15" s="8" t="n">
        <f aca="false">IF(10=②前提!$C$28,②前提!$C$19,0)+IF(10=②前提!$C$29,②前提!$C$20,0)</f>
        <v>0</v>
      </c>
      <c r="N15" s="8" t="n">
        <f aca="false">IF(11=②前提!$C$28,②前提!$C$19,0)+IF(11=②前提!$C$29,②前提!$C$20,0)</f>
        <v>0</v>
      </c>
      <c r="O15" s="8" t="n">
        <f aca="false">IF(12=②前提!$C$28,②前提!$C$19,0)+IF(12=②前提!$C$29,②前提!$C$20,0)</f>
        <v>10000000</v>
      </c>
      <c r="P15" s="34" t="n">
        <f aca="false">SUM(D15:O15)</f>
        <v>20000000</v>
      </c>
    </row>
    <row r="16" customFormat="false" ht="15" hidden="false" customHeight="false" outlineLevel="0" collapsed="false">
      <c r="B16" s="11" t="s">
        <v>15</v>
      </c>
      <c r="C16" s="12" t="n">
        <f aca="false">C8+SUM(C9:C13)</f>
        <v>24425160.6666667</v>
      </c>
      <c r="D16" s="12" t="n">
        <f aca="false">D8+SUM(D9:D15)</f>
        <v>24425160.6666667</v>
      </c>
      <c r="E16" s="12" t="n">
        <f aca="false">E8+SUM(E9:E15)</f>
        <v>24425160.6666667</v>
      </c>
      <c r="F16" s="12" t="n">
        <f aca="false">F8+SUM(F9:F15)</f>
        <v>24425160.6666667</v>
      </c>
      <c r="G16" s="12" t="n">
        <f aca="false">G8+SUM(G9:G15)</f>
        <v>24425160.6666667</v>
      </c>
      <c r="H16" s="12" t="n">
        <f aca="false">H8+SUM(H9:H15)</f>
        <v>24425160.6666667</v>
      </c>
      <c r="I16" s="12" t="n">
        <f aca="false">I8+SUM(I9:I15)</f>
        <v>54425160.6666667</v>
      </c>
      <c r="J16" s="12" t="n">
        <f aca="false">J8+SUM(J9:J15)</f>
        <v>24425160.6666667</v>
      </c>
      <c r="K16" s="12" t="n">
        <f aca="false">K8+SUM(K9:K15)</f>
        <v>24425160.6666667</v>
      </c>
      <c r="L16" s="12" t="n">
        <f aca="false">L8+SUM(L9:L15)</f>
        <v>24425160.6666667</v>
      </c>
      <c r="M16" s="12" t="n">
        <f aca="false">M8+SUM(M9:M15)</f>
        <v>24425160.6666667</v>
      </c>
      <c r="N16" s="12" t="n">
        <f aca="false">N8+SUM(N9:N15)</f>
        <v>24425160.6666667</v>
      </c>
      <c r="O16" s="12" t="n">
        <f aca="false">O8+SUM(O9:O15)</f>
        <v>34425160.6666667</v>
      </c>
      <c r="P16" s="12" t="n">
        <f aca="false">SUM(D16:O16)</f>
        <v>333101928</v>
      </c>
    </row>
    <row r="18" customFormat="false" ht="15" hidden="false" customHeight="false" outlineLevel="0" collapsed="false">
      <c r="B18" s="36" t="s">
        <v>156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</row>
    <row r="19" customFormat="false" ht="15" hidden="false" customHeight="false" outlineLevel="0" collapsed="false">
      <c r="B19" s="6" t="s">
        <v>62</v>
      </c>
      <c r="C19" s="51" t="n">
        <f aca="false">AVERAGE(④FY2026月次実績!I11:K11)</f>
        <v>2104000</v>
      </c>
      <c r="D19" s="8" t="n">
        <f aca="false">$C$19</f>
        <v>2104000</v>
      </c>
      <c r="E19" s="8" t="n">
        <f aca="false">$C$19</f>
        <v>2104000</v>
      </c>
      <c r="F19" s="8" t="n">
        <f aca="false">$C$19</f>
        <v>2104000</v>
      </c>
      <c r="G19" s="8" t="n">
        <f aca="false">$C$19</f>
        <v>2104000</v>
      </c>
      <c r="H19" s="8" t="n">
        <f aca="false">$C$19</f>
        <v>2104000</v>
      </c>
      <c r="I19" s="8" t="n">
        <f aca="false">$C$19</f>
        <v>2104000</v>
      </c>
      <c r="J19" s="8" t="n">
        <f aca="false">$C$19</f>
        <v>2104000</v>
      </c>
      <c r="K19" s="8" t="n">
        <f aca="false">$C$19</f>
        <v>2104000</v>
      </c>
      <c r="L19" s="8" t="n">
        <f aca="false">$C$19</f>
        <v>2104000</v>
      </c>
      <c r="M19" s="8" t="n">
        <f aca="false">$C$19</f>
        <v>2104000</v>
      </c>
      <c r="N19" s="8" t="n">
        <f aca="false">$C$19</f>
        <v>2104000</v>
      </c>
      <c r="O19" s="8" t="n">
        <f aca="false">$C$19</f>
        <v>2104000</v>
      </c>
      <c r="P19" s="34" t="n">
        <f aca="false">SUM(D19:O19)</f>
        <v>25248000</v>
      </c>
    </row>
    <row r="20" customFormat="false" ht="15" hidden="false" customHeight="false" outlineLevel="0" collapsed="false">
      <c r="B20" s="6" t="s">
        <v>63</v>
      </c>
      <c r="C20" s="51" t="n">
        <f aca="false">AVERAGE(④FY2026月次実績!I12:K12)</f>
        <v>2844602</v>
      </c>
      <c r="D20" s="8" t="n">
        <f aca="false">$C$20</f>
        <v>2844602</v>
      </c>
      <c r="E20" s="8" t="n">
        <f aca="false">$C$20</f>
        <v>2844602</v>
      </c>
      <c r="F20" s="8" t="n">
        <f aca="false">$C$20</f>
        <v>2844602</v>
      </c>
      <c r="G20" s="8" t="n">
        <f aca="false">$C$20</f>
        <v>2844602</v>
      </c>
      <c r="H20" s="8" t="n">
        <f aca="false">$C$20</f>
        <v>2844602</v>
      </c>
      <c r="I20" s="8" t="n">
        <f aca="false">$C$20</f>
        <v>2844602</v>
      </c>
      <c r="J20" s="8" t="n">
        <f aca="false">$C$20</f>
        <v>2844602</v>
      </c>
      <c r="K20" s="8" t="n">
        <f aca="false">$C$20</f>
        <v>2844602</v>
      </c>
      <c r="L20" s="8" t="n">
        <f aca="false">$C$20</f>
        <v>2844602</v>
      </c>
      <c r="M20" s="8" t="n">
        <f aca="false">$C$20</f>
        <v>2844602</v>
      </c>
      <c r="N20" s="8" t="n">
        <f aca="false">$C$20</f>
        <v>2844602</v>
      </c>
      <c r="O20" s="8" t="n">
        <f aca="false">$C$20</f>
        <v>2844602</v>
      </c>
      <c r="P20" s="34" t="n">
        <f aca="false">SUM(D20:O20)</f>
        <v>34135224</v>
      </c>
    </row>
    <row r="21" customFormat="false" ht="15" hidden="false" customHeight="false" outlineLevel="0" collapsed="false">
      <c r="B21" s="6" t="s">
        <v>64</v>
      </c>
      <c r="C21" s="51" t="n">
        <f aca="false">AVERAGE(④FY2026月次実績!I13:K13)</f>
        <v>198075</v>
      </c>
      <c r="D21" s="8" t="n">
        <f aca="false">$C$21</f>
        <v>198075</v>
      </c>
      <c r="E21" s="8" t="n">
        <f aca="false">$C$21</f>
        <v>198075</v>
      </c>
      <c r="F21" s="8" t="n">
        <f aca="false">$C$21</f>
        <v>198075</v>
      </c>
      <c r="G21" s="8" t="n">
        <f aca="false">$C$21</f>
        <v>198075</v>
      </c>
      <c r="H21" s="8" t="n">
        <f aca="false">$C$21</f>
        <v>198075</v>
      </c>
      <c r="I21" s="8" t="n">
        <f aca="false">$C$21</f>
        <v>198075</v>
      </c>
      <c r="J21" s="8" t="n">
        <f aca="false">$C$21</f>
        <v>198075</v>
      </c>
      <c r="K21" s="8" t="n">
        <f aca="false">$C$21</f>
        <v>198075</v>
      </c>
      <c r="L21" s="8" t="n">
        <f aca="false">$C$21</f>
        <v>198075</v>
      </c>
      <c r="M21" s="8" t="n">
        <f aca="false">$C$21</f>
        <v>198075</v>
      </c>
      <c r="N21" s="8" t="n">
        <f aca="false">$C$21</f>
        <v>198075</v>
      </c>
      <c r="O21" s="8" t="n">
        <f aca="false">$C$21</f>
        <v>198075</v>
      </c>
      <c r="P21" s="34" t="n">
        <f aca="false">SUM(D21:O21)</f>
        <v>2376900</v>
      </c>
    </row>
    <row r="22" customFormat="false" ht="15" hidden="false" customHeight="false" outlineLevel="0" collapsed="false">
      <c r="B22" s="6" t="s">
        <v>65</v>
      </c>
      <c r="C22" s="51" t="n">
        <f aca="false">AVERAGE(④FY2026月次実績!I14:K14)</f>
        <v>943189.333333333</v>
      </c>
      <c r="D22" s="8" t="n">
        <f aca="false">$C$22</f>
        <v>943189.333333333</v>
      </c>
      <c r="E22" s="8" t="n">
        <f aca="false">$C$22</f>
        <v>943189.333333333</v>
      </c>
      <c r="F22" s="8" t="n">
        <f aca="false">$C$22</f>
        <v>943189.333333333</v>
      </c>
      <c r="G22" s="8" t="n">
        <f aca="false">$C$22</f>
        <v>943189.333333333</v>
      </c>
      <c r="H22" s="8" t="n">
        <f aca="false">$C$22</f>
        <v>943189.333333333</v>
      </c>
      <c r="I22" s="8" t="n">
        <f aca="false">$C$22</f>
        <v>943189.333333333</v>
      </c>
      <c r="J22" s="8" t="n">
        <f aca="false">$C$22</f>
        <v>943189.333333333</v>
      </c>
      <c r="K22" s="8" t="n">
        <f aca="false">$C$22</f>
        <v>943189.333333333</v>
      </c>
      <c r="L22" s="8" t="n">
        <f aca="false">$C$22</f>
        <v>943189.333333333</v>
      </c>
      <c r="M22" s="8" t="n">
        <f aca="false">$C$22</f>
        <v>943189.333333333</v>
      </c>
      <c r="N22" s="8" t="n">
        <f aca="false">$C$22</f>
        <v>943189.333333333</v>
      </c>
      <c r="O22" s="8" t="n">
        <f aca="false">$C$22</f>
        <v>943189.333333333</v>
      </c>
      <c r="P22" s="34" t="n">
        <f aca="false">SUM(D22:O22)</f>
        <v>11318272</v>
      </c>
    </row>
    <row r="23" customFormat="false" ht="15" hidden="false" customHeight="false" outlineLevel="0" collapsed="false">
      <c r="B23" s="6" t="s">
        <v>66</v>
      </c>
      <c r="C23" s="51" t="n">
        <f aca="false">AVERAGE(④FY2026月次実績!I15:K15)</f>
        <v>520742.333333333</v>
      </c>
      <c r="D23" s="8" t="n">
        <f aca="false">$C$23</f>
        <v>520742.333333333</v>
      </c>
      <c r="E23" s="8" t="n">
        <f aca="false">$C$23</f>
        <v>520742.333333333</v>
      </c>
      <c r="F23" s="8" t="n">
        <f aca="false">$C$23</f>
        <v>520742.333333333</v>
      </c>
      <c r="G23" s="8" t="n">
        <f aca="false">$C$23</f>
        <v>520742.333333333</v>
      </c>
      <c r="H23" s="8" t="n">
        <f aca="false">$C$23</f>
        <v>520742.333333333</v>
      </c>
      <c r="I23" s="8" t="n">
        <f aca="false">$C$23</f>
        <v>520742.333333333</v>
      </c>
      <c r="J23" s="8" t="n">
        <f aca="false">$C$23</f>
        <v>520742.333333333</v>
      </c>
      <c r="K23" s="8" t="n">
        <f aca="false">$C$23</f>
        <v>520742.333333333</v>
      </c>
      <c r="L23" s="8" t="n">
        <f aca="false">$C$23</f>
        <v>520742.333333333</v>
      </c>
      <c r="M23" s="8" t="n">
        <f aca="false">$C$23</f>
        <v>520742.333333333</v>
      </c>
      <c r="N23" s="8" t="n">
        <f aca="false">$C$23</f>
        <v>520742.333333333</v>
      </c>
      <c r="O23" s="8" t="n">
        <f aca="false">$C$23</f>
        <v>520742.333333333</v>
      </c>
      <c r="P23" s="34" t="n">
        <f aca="false">SUM(D23:O23)</f>
        <v>6248908</v>
      </c>
    </row>
    <row r="24" customFormat="false" ht="15" hidden="false" customHeight="false" outlineLevel="0" collapsed="false">
      <c r="B24" s="6" t="s">
        <v>67</v>
      </c>
      <c r="C24" s="51" t="n">
        <f aca="false">AVERAGE(④FY2026月次実績!I16:K16)</f>
        <v>986309.666666667</v>
      </c>
      <c r="D24" s="8" t="n">
        <f aca="false">$C$24</f>
        <v>986309.666666667</v>
      </c>
      <c r="E24" s="8" t="n">
        <f aca="false">$C$24</f>
        <v>986309.666666667</v>
      </c>
      <c r="F24" s="8" t="n">
        <f aca="false">$C$24</f>
        <v>986309.666666667</v>
      </c>
      <c r="G24" s="8" t="n">
        <f aca="false">$C$24</f>
        <v>986309.666666667</v>
      </c>
      <c r="H24" s="8" t="n">
        <f aca="false">$C$24</f>
        <v>986309.666666667</v>
      </c>
      <c r="I24" s="8" t="n">
        <f aca="false">$C$24</f>
        <v>986309.666666667</v>
      </c>
      <c r="J24" s="8" t="n">
        <f aca="false">$C$24</f>
        <v>986309.666666667</v>
      </c>
      <c r="K24" s="8" t="n">
        <f aca="false">$C$24</f>
        <v>986309.666666667</v>
      </c>
      <c r="L24" s="8" t="n">
        <f aca="false">$C$24</f>
        <v>986309.666666667</v>
      </c>
      <c r="M24" s="8" t="n">
        <f aca="false">$C$24</f>
        <v>986309.666666667</v>
      </c>
      <c r="N24" s="8" t="n">
        <f aca="false">$C$24</f>
        <v>986309.666666667</v>
      </c>
      <c r="O24" s="8" t="n">
        <f aca="false">$C$24</f>
        <v>986309.666666667</v>
      </c>
      <c r="P24" s="34" t="n">
        <f aca="false">SUM(D24:O24)</f>
        <v>11835716</v>
      </c>
    </row>
    <row r="25" customFormat="false" ht="15" hidden="false" customHeight="false" outlineLevel="0" collapsed="false">
      <c r="B25" s="6" t="s">
        <v>68</v>
      </c>
      <c r="C25" s="51" t="n">
        <f aca="false">AVERAGE(④FY2026月次実績!I17:K17)</f>
        <v>3258950</v>
      </c>
      <c r="D25" s="8" t="n">
        <f aca="false">$C$25</f>
        <v>3258950</v>
      </c>
      <c r="E25" s="8" t="n">
        <f aca="false">$C$25</f>
        <v>3258950</v>
      </c>
      <c r="F25" s="8" t="n">
        <f aca="false">$C$25</f>
        <v>3258950</v>
      </c>
      <c r="G25" s="8" t="n">
        <f aca="false">$C$25</f>
        <v>3258950</v>
      </c>
      <c r="H25" s="8" t="n">
        <f aca="false">$C$25</f>
        <v>3258950</v>
      </c>
      <c r="I25" s="8" t="n">
        <f aca="false">$C$25</f>
        <v>3258950</v>
      </c>
      <c r="J25" s="8" t="n">
        <f aca="false">$C$25</f>
        <v>3258950</v>
      </c>
      <c r="K25" s="8" t="n">
        <f aca="false">$C$25</f>
        <v>3258950</v>
      </c>
      <c r="L25" s="8" t="n">
        <f aca="false">$C$25</f>
        <v>3258950</v>
      </c>
      <c r="M25" s="8" t="n">
        <f aca="false">$C$25</f>
        <v>3258950</v>
      </c>
      <c r="N25" s="8" t="n">
        <f aca="false">$C$25</f>
        <v>3258950</v>
      </c>
      <c r="O25" s="8" t="n">
        <f aca="false">$C$25</f>
        <v>3258950</v>
      </c>
      <c r="P25" s="34" t="n">
        <f aca="false">SUM(D25:O25)</f>
        <v>39107400</v>
      </c>
    </row>
    <row r="26" customFormat="false" ht="15" hidden="false" customHeight="false" outlineLevel="0" collapsed="false">
      <c r="B26" s="6" t="s">
        <v>69</v>
      </c>
      <c r="C26" s="51" t="n">
        <f aca="false">AVERAGE(④FY2026月次実績!I18:K18)</f>
        <v>3721702.66666667</v>
      </c>
      <c r="D26" s="8" t="n">
        <f aca="false">$C$26</f>
        <v>3721702.66666667</v>
      </c>
      <c r="E26" s="8" t="n">
        <f aca="false">$C$26</f>
        <v>3721702.66666667</v>
      </c>
      <c r="F26" s="8" t="n">
        <f aca="false">$C$26</f>
        <v>3721702.66666667</v>
      </c>
      <c r="G26" s="8" t="n">
        <f aca="false">$C$26</f>
        <v>3721702.66666667</v>
      </c>
      <c r="H26" s="8" t="n">
        <f aca="false">$C$26</f>
        <v>3721702.66666667</v>
      </c>
      <c r="I26" s="8" t="n">
        <f aca="false">$C$26</f>
        <v>3721702.66666667</v>
      </c>
      <c r="J26" s="8" t="n">
        <f aca="false">$C$26</f>
        <v>3721702.66666667</v>
      </c>
      <c r="K26" s="8" t="n">
        <f aca="false">$C$26</f>
        <v>3721702.66666667</v>
      </c>
      <c r="L26" s="8" t="n">
        <f aca="false">$C$26</f>
        <v>3721702.66666667</v>
      </c>
      <c r="M26" s="8" t="n">
        <f aca="false">$C$26</f>
        <v>3721702.66666667</v>
      </c>
      <c r="N26" s="8" t="n">
        <f aca="false">$C$26</f>
        <v>3721702.66666667</v>
      </c>
      <c r="O26" s="8" t="n">
        <f aca="false">$C$26</f>
        <v>3721702.66666667</v>
      </c>
      <c r="P26" s="34" t="n">
        <f aca="false">SUM(D26:O26)</f>
        <v>44660432</v>
      </c>
    </row>
    <row r="27" customFormat="false" ht="15" hidden="false" customHeight="false" outlineLevel="0" collapsed="false">
      <c r="B27" s="6" t="s">
        <v>70</v>
      </c>
      <c r="C27" s="51" t="n">
        <f aca="false">AVERAGE(④FY2026月次実績!I19:K19)</f>
        <v>400027.333333333</v>
      </c>
      <c r="D27" s="8" t="n">
        <f aca="false">$C$27</f>
        <v>400027.333333333</v>
      </c>
      <c r="E27" s="8" t="n">
        <f aca="false">$C$27</f>
        <v>400027.333333333</v>
      </c>
      <c r="F27" s="8" t="n">
        <f aca="false">$C$27</f>
        <v>400027.333333333</v>
      </c>
      <c r="G27" s="8" t="n">
        <f aca="false">$C$27</f>
        <v>400027.333333333</v>
      </c>
      <c r="H27" s="8" t="n">
        <f aca="false">$C$27</f>
        <v>400027.333333333</v>
      </c>
      <c r="I27" s="8" t="n">
        <f aca="false">$C$27</f>
        <v>400027.333333333</v>
      </c>
      <c r="J27" s="8" t="n">
        <f aca="false">$C$27</f>
        <v>400027.333333333</v>
      </c>
      <c r="K27" s="8" t="n">
        <f aca="false">$C$27</f>
        <v>400027.333333333</v>
      </c>
      <c r="L27" s="8" t="n">
        <f aca="false">$C$27</f>
        <v>400027.333333333</v>
      </c>
      <c r="M27" s="8" t="n">
        <f aca="false">$C$27</f>
        <v>400027.333333333</v>
      </c>
      <c r="N27" s="8" t="n">
        <f aca="false">$C$27</f>
        <v>400027.333333333</v>
      </c>
      <c r="O27" s="8" t="n">
        <f aca="false">$C$27</f>
        <v>400027.333333333</v>
      </c>
      <c r="P27" s="34" t="n">
        <f aca="false">SUM(D27:O27)</f>
        <v>4800328</v>
      </c>
    </row>
    <row r="28" customFormat="false" ht="15" hidden="false" customHeight="false" outlineLevel="0" collapsed="false">
      <c r="B28" s="6" t="s">
        <v>71</v>
      </c>
      <c r="C28" s="51" t="n">
        <f aca="false">AVERAGE(④FY2026月次実績!I20:K20)</f>
        <v>687496.333333333</v>
      </c>
      <c r="D28" s="8" t="n">
        <f aca="false">$C$28</f>
        <v>687496.333333333</v>
      </c>
      <c r="E28" s="8" t="n">
        <f aca="false">$C$28</f>
        <v>687496.333333333</v>
      </c>
      <c r="F28" s="8" t="n">
        <f aca="false">$C$28</f>
        <v>687496.333333333</v>
      </c>
      <c r="G28" s="8" t="n">
        <f aca="false">$C$28</f>
        <v>687496.333333333</v>
      </c>
      <c r="H28" s="8" t="n">
        <f aca="false">$C$28</f>
        <v>687496.333333333</v>
      </c>
      <c r="I28" s="8" t="n">
        <f aca="false">$C$28</f>
        <v>687496.333333333</v>
      </c>
      <c r="J28" s="8" t="n">
        <f aca="false">$C$28</f>
        <v>687496.333333333</v>
      </c>
      <c r="K28" s="8" t="n">
        <f aca="false">$C$28</f>
        <v>687496.333333333</v>
      </c>
      <c r="L28" s="8" t="n">
        <f aca="false">$C$28</f>
        <v>687496.333333333</v>
      </c>
      <c r="M28" s="8" t="n">
        <f aca="false">$C$28</f>
        <v>687496.333333333</v>
      </c>
      <c r="N28" s="8" t="n">
        <f aca="false">$C$28</f>
        <v>687496.333333333</v>
      </c>
      <c r="O28" s="8" t="n">
        <f aca="false">$C$28</f>
        <v>687496.333333333</v>
      </c>
      <c r="P28" s="34" t="n">
        <f aca="false">SUM(D28:O28)</f>
        <v>8249956</v>
      </c>
    </row>
    <row r="29" customFormat="false" ht="15" hidden="false" customHeight="false" outlineLevel="0" collapsed="false">
      <c r="B29" s="6" t="s">
        <v>72</v>
      </c>
      <c r="C29" s="51" t="n">
        <f aca="false">AVERAGE(④FY2026月次実績!I21:K21)</f>
        <v>154132.333333333</v>
      </c>
      <c r="D29" s="8" t="n">
        <f aca="false">$C$29</f>
        <v>154132.333333333</v>
      </c>
      <c r="E29" s="8" t="n">
        <f aca="false">$C$29</f>
        <v>154132.333333333</v>
      </c>
      <c r="F29" s="8" t="n">
        <f aca="false">$C$29</f>
        <v>154132.333333333</v>
      </c>
      <c r="G29" s="8" t="n">
        <f aca="false">$C$29</f>
        <v>154132.333333333</v>
      </c>
      <c r="H29" s="8" t="n">
        <f aca="false">$C$29</f>
        <v>154132.333333333</v>
      </c>
      <c r="I29" s="8" t="n">
        <f aca="false">$C$29</f>
        <v>154132.333333333</v>
      </c>
      <c r="J29" s="8" t="n">
        <f aca="false">$C$29</f>
        <v>154132.333333333</v>
      </c>
      <c r="K29" s="8" t="n">
        <f aca="false">$C$29</f>
        <v>154132.333333333</v>
      </c>
      <c r="L29" s="8" t="n">
        <f aca="false">$C$29</f>
        <v>154132.333333333</v>
      </c>
      <c r="M29" s="8" t="n">
        <f aca="false">$C$29</f>
        <v>154132.333333333</v>
      </c>
      <c r="N29" s="8" t="n">
        <f aca="false">$C$29</f>
        <v>154132.333333333</v>
      </c>
      <c r="O29" s="8" t="n">
        <f aca="false">$C$29</f>
        <v>154132.333333333</v>
      </c>
      <c r="P29" s="34" t="n">
        <f aca="false">SUM(D29:O29)</f>
        <v>1849588</v>
      </c>
    </row>
    <row r="30" customFormat="false" ht="15" hidden="false" customHeight="false" outlineLevel="0" collapsed="false">
      <c r="B30" s="6" t="s">
        <v>73</v>
      </c>
      <c r="C30" s="51" t="n">
        <f aca="false">AVERAGE(④FY2026月次実績!I22:K22)</f>
        <v>122950.333333333</v>
      </c>
      <c r="D30" s="8" t="n">
        <f aca="false">$C$30</f>
        <v>122950.333333333</v>
      </c>
      <c r="E30" s="8" t="n">
        <f aca="false">$C$30</f>
        <v>122950.333333333</v>
      </c>
      <c r="F30" s="8" t="n">
        <f aca="false">$C$30</f>
        <v>122950.333333333</v>
      </c>
      <c r="G30" s="8" t="n">
        <f aca="false">$C$30</f>
        <v>122950.333333333</v>
      </c>
      <c r="H30" s="8" t="n">
        <f aca="false">$C$30</f>
        <v>122950.333333333</v>
      </c>
      <c r="I30" s="8" t="n">
        <f aca="false">$C$30</f>
        <v>122950.333333333</v>
      </c>
      <c r="J30" s="8" t="n">
        <f aca="false">$C$30</f>
        <v>122950.333333333</v>
      </c>
      <c r="K30" s="8" t="n">
        <f aca="false">$C$30</f>
        <v>122950.333333333</v>
      </c>
      <c r="L30" s="8" t="n">
        <f aca="false">$C$30</f>
        <v>122950.333333333</v>
      </c>
      <c r="M30" s="8" t="n">
        <f aca="false">$C$30</f>
        <v>122950.333333333</v>
      </c>
      <c r="N30" s="8" t="n">
        <f aca="false">$C$30</f>
        <v>122950.333333333</v>
      </c>
      <c r="O30" s="8" t="n">
        <f aca="false">$C$30</f>
        <v>122950.333333333</v>
      </c>
      <c r="P30" s="34" t="n">
        <f aca="false">SUM(D30:O30)</f>
        <v>1475404</v>
      </c>
    </row>
    <row r="31" customFormat="false" ht="15" hidden="false" customHeight="false" outlineLevel="0" collapsed="false">
      <c r="B31" s="6" t="s">
        <v>74</v>
      </c>
      <c r="C31" s="51" t="n">
        <f aca="false">AVERAGE(④FY2026月次実績!I23:K23)</f>
        <v>0</v>
      </c>
      <c r="D31" s="8" t="n">
        <f aca="false">$C$31</f>
        <v>0</v>
      </c>
      <c r="E31" s="8" t="n">
        <f aca="false">$C$31</f>
        <v>0</v>
      </c>
      <c r="F31" s="8" t="n">
        <f aca="false">$C$31</f>
        <v>0</v>
      </c>
      <c r="G31" s="8" t="n">
        <f aca="false">$C$31</f>
        <v>0</v>
      </c>
      <c r="H31" s="8" t="n">
        <f aca="false">$C$31</f>
        <v>0</v>
      </c>
      <c r="I31" s="8" t="n">
        <f aca="false">$C$31</f>
        <v>0</v>
      </c>
      <c r="J31" s="8" t="n">
        <f aca="false">$C$31</f>
        <v>0</v>
      </c>
      <c r="K31" s="8" t="n">
        <f aca="false">$C$31</f>
        <v>0</v>
      </c>
      <c r="L31" s="8" t="n">
        <f aca="false">$C$31</f>
        <v>0</v>
      </c>
      <c r="M31" s="8" t="n">
        <f aca="false">$C$31</f>
        <v>0</v>
      </c>
      <c r="N31" s="8" t="n">
        <f aca="false">$C$31</f>
        <v>0</v>
      </c>
      <c r="O31" s="8" t="n">
        <f aca="false">$C$31</f>
        <v>0</v>
      </c>
      <c r="P31" s="34" t="n">
        <f aca="false">SUM(D31:O31)</f>
        <v>0</v>
      </c>
    </row>
    <row r="32" customFormat="false" ht="15" hidden="false" customHeight="false" outlineLevel="0" collapsed="false">
      <c r="B32" s="6" t="s">
        <v>75</v>
      </c>
      <c r="C32" s="51" t="n">
        <f aca="false">AVERAGE(④FY2026月次実績!I24:K24)</f>
        <v>246493.666666667</v>
      </c>
      <c r="D32" s="8" t="n">
        <f aca="false">$C$32</f>
        <v>246493.666666667</v>
      </c>
      <c r="E32" s="8" t="n">
        <f aca="false">$C$32</f>
        <v>246493.666666667</v>
      </c>
      <c r="F32" s="8" t="n">
        <f aca="false">$C$32</f>
        <v>246493.666666667</v>
      </c>
      <c r="G32" s="8" t="n">
        <f aca="false">$C$32</f>
        <v>246493.666666667</v>
      </c>
      <c r="H32" s="8" t="n">
        <f aca="false">$C$32</f>
        <v>246493.666666667</v>
      </c>
      <c r="I32" s="8" t="n">
        <f aca="false">$C$32</f>
        <v>246493.666666667</v>
      </c>
      <c r="J32" s="8" t="n">
        <f aca="false">$C$32</f>
        <v>246493.666666667</v>
      </c>
      <c r="K32" s="8" t="n">
        <f aca="false">$C$32</f>
        <v>246493.666666667</v>
      </c>
      <c r="L32" s="8" t="n">
        <f aca="false">$C$32</f>
        <v>246493.666666667</v>
      </c>
      <c r="M32" s="8" t="n">
        <f aca="false">$C$32</f>
        <v>246493.666666667</v>
      </c>
      <c r="N32" s="8" t="n">
        <f aca="false">$C$32</f>
        <v>246493.666666667</v>
      </c>
      <c r="O32" s="8" t="n">
        <f aca="false">$C$32</f>
        <v>246493.666666667</v>
      </c>
      <c r="P32" s="34" t="n">
        <f aca="false">SUM(D32:O32)</f>
        <v>2957924</v>
      </c>
    </row>
    <row r="33" customFormat="false" ht="15" hidden="false" customHeight="false" outlineLevel="0" collapsed="false">
      <c r="B33" s="6" t="s">
        <v>76</v>
      </c>
      <c r="C33" s="51" t="n">
        <f aca="false">AVERAGE(④FY2026月次実績!I25:K25)</f>
        <v>1213002</v>
      </c>
      <c r="D33" s="8" t="n">
        <f aca="false">$C$33</f>
        <v>1213002</v>
      </c>
      <c r="E33" s="8" t="n">
        <f aca="false">$C$33</f>
        <v>1213002</v>
      </c>
      <c r="F33" s="8" t="n">
        <f aca="false">$C$33</f>
        <v>1213002</v>
      </c>
      <c r="G33" s="8" t="n">
        <f aca="false">$C$33</f>
        <v>1213002</v>
      </c>
      <c r="H33" s="8" t="n">
        <f aca="false">$C$33</f>
        <v>1213002</v>
      </c>
      <c r="I33" s="8" t="n">
        <f aca="false">$C$33</f>
        <v>1213002</v>
      </c>
      <c r="J33" s="8" t="n">
        <f aca="false">$C$33</f>
        <v>1213002</v>
      </c>
      <c r="K33" s="8" t="n">
        <f aca="false">$C$33</f>
        <v>1213002</v>
      </c>
      <c r="L33" s="8" t="n">
        <f aca="false">$C$33</f>
        <v>1213002</v>
      </c>
      <c r="M33" s="8" t="n">
        <f aca="false">$C$33</f>
        <v>1213002</v>
      </c>
      <c r="N33" s="8" t="n">
        <f aca="false">$C$33</f>
        <v>1213002</v>
      </c>
      <c r="O33" s="8" t="n">
        <f aca="false">$C$33</f>
        <v>1213002</v>
      </c>
      <c r="P33" s="34" t="n">
        <f aca="false">SUM(D33:O33)</f>
        <v>14556024</v>
      </c>
    </row>
    <row r="34" customFormat="false" ht="15" hidden="false" customHeight="false" outlineLevel="0" collapsed="false">
      <c r="B34" s="6" t="s">
        <v>77</v>
      </c>
      <c r="C34" s="51" t="n">
        <f aca="false">AVERAGE(④FY2026月次実績!I26:K26)</f>
        <v>0</v>
      </c>
      <c r="D34" s="8" t="n">
        <f aca="false">$C$34</f>
        <v>0</v>
      </c>
      <c r="E34" s="8" t="n">
        <f aca="false">$C$34</f>
        <v>0</v>
      </c>
      <c r="F34" s="8" t="n">
        <f aca="false">$C$34</f>
        <v>0</v>
      </c>
      <c r="G34" s="8" t="n">
        <f aca="false">$C$34</f>
        <v>0</v>
      </c>
      <c r="H34" s="8" t="n">
        <f aca="false">$C$34</f>
        <v>0</v>
      </c>
      <c r="I34" s="8" t="n">
        <f aca="false">$C$34</f>
        <v>0</v>
      </c>
      <c r="J34" s="8" t="n">
        <f aca="false">$C$34</f>
        <v>0</v>
      </c>
      <c r="K34" s="8" t="n">
        <f aca="false">$C$34</f>
        <v>0</v>
      </c>
      <c r="L34" s="8" t="n">
        <f aca="false">$C$34</f>
        <v>0</v>
      </c>
      <c r="M34" s="8" t="n">
        <f aca="false">$C$34</f>
        <v>0</v>
      </c>
      <c r="N34" s="8" t="n">
        <f aca="false">$C$34</f>
        <v>0</v>
      </c>
      <c r="O34" s="8" t="n">
        <f aca="false">$C$34</f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78</v>
      </c>
      <c r="C35" s="51" t="n">
        <f aca="false">AVERAGE(④FY2026月次実績!I27:K27)</f>
        <v>3250243.33333333</v>
      </c>
      <c r="D35" s="8" t="n">
        <f aca="false">$C$35</f>
        <v>3250243.33333333</v>
      </c>
      <c r="E35" s="8" t="n">
        <f aca="false">$C$35</f>
        <v>3250243.33333333</v>
      </c>
      <c r="F35" s="8" t="n">
        <f aca="false">$C$35</f>
        <v>3250243.33333333</v>
      </c>
      <c r="G35" s="8" t="n">
        <f aca="false">$C$35</f>
        <v>3250243.33333333</v>
      </c>
      <c r="H35" s="8" t="n">
        <f aca="false">$C$35</f>
        <v>3250243.33333333</v>
      </c>
      <c r="I35" s="8" t="n">
        <f aca="false">$C$35</f>
        <v>3250243.33333333</v>
      </c>
      <c r="J35" s="8" t="n">
        <f aca="false">$C$35</f>
        <v>3250243.33333333</v>
      </c>
      <c r="K35" s="8" t="n">
        <f aca="false">$C$35</f>
        <v>3250243.33333333</v>
      </c>
      <c r="L35" s="8" t="n">
        <f aca="false">$C$35</f>
        <v>3250243.33333333</v>
      </c>
      <c r="M35" s="8" t="n">
        <f aca="false">$C$35</f>
        <v>3250243.33333333</v>
      </c>
      <c r="N35" s="8" t="n">
        <f aca="false">$C$35</f>
        <v>3250243.33333333</v>
      </c>
      <c r="O35" s="8" t="n">
        <f aca="false">$C$35</f>
        <v>3250243.33333333</v>
      </c>
      <c r="P35" s="34" t="n">
        <f aca="false">SUM(D35:O35)</f>
        <v>39002920</v>
      </c>
    </row>
    <row r="36" customFormat="false" ht="15" hidden="false" customHeight="false" outlineLevel="0" collapsed="false">
      <c r="B36" s="6" t="s">
        <v>79</v>
      </c>
      <c r="C36" s="51" t="n">
        <f aca="false">AVERAGE(④FY2026月次実績!I28:K28)</f>
        <v>49855.6666666667</v>
      </c>
      <c r="D36" s="8" t="n">
        <f aca="false">$C$36</f>
        <v>49855.6666666667</v>
      </c>
      <c r="E36" s="8" t="n">
        <f aca="false">$C$36</f>
        <v>49855.6666666667</v>
      </c>
      <c r="F36" s="8" t="n">
        <f aca="false">$C$36</f>
        <v>49855.6666666667</v>
      </c>
      <c r="G36" s="8" t="n">
        <f aca="false">$C$36</f>
        <v>49855.6666666667</v>
      </c>
      <c r="H36" s="8" t="n">
        <f aca="false">$C$36</f>
        <v>49855.6666666667</v>
      </c>
      <c r="I36" s="8" t="n">
        <f aca="false">$C$36</f>
        <v>49855.6666666667</v>
      </c>
      <c r="J36" s="8" t="n">
        <f aca="false">$C$36</f>
        <v>49855.6666666667</v>
      </c>
      <c r="K36" s="8" t="n">
        <f aca="false">$C$36</f>
        <v>49855.6666666667</v>
      </c>
      <c r="L36" s="8" t="n">
        <f aca="false">$C$36</f>
        <v>49855.6666666667</v>
      </c>
      <c r="M36" s="8" t="n">
        <f aca="false">$C$36</f>
        <v>49855.6666666667</v>
      </c>
      <c r="N36" s="8" t="n">
        <f aca="false">$C$36</f>
        <v>49855.6666666667</v>
      </c>
      <c r="O36" s="8" t="n">
        <f aca="false">$C$36</f>
        <v>49855.6666666667</v>
      </c>
      <c r="P36" s="34" t="n">
        <f aca="false">SUM(D36:O36)</f>
        <v>598268</v>
      </c>
    </row>
    <row r="37" customFormat="false" ht="15" hidden="false" customHeight="false" outlineLevel="0" collapsed="false">
      <c r="B37" s="6" t="s">
        <v>80</v>
      </c>
      <c r="C37" s="51" t="n">
        <f aca="false">AVERAGE(④FY2026月次実績!I29:K29)</f>
        <v>6666.66666666667</v>
      </c>
      <c r="D37" s="8" t="n">
        <f aca="false">$C$37</f>
        <v>6666.66666666667</v>
      </c>
      <c r="E37" s="8" t="n">
        <f aca="false">$C$37</f>
        <v>6666.66666666667</v>
      </c>
      <c r="F37" s="8" t="n">
        <f aca="false">$C$37</f>
        <v>6666.66666666667</v>
      </c>
      <c r="G37" s="8" t="n">
        <f aca="false">$C$37</f>
        <v>6666.66666666667</v>
      </c>
      <c r="H37" s="8" t="n">
        <f aca="false">$C$37</f>
        <v>6666.66666666667</v>
      </c>
      <c r="I37" s="8" t="n">
        <f aca="false">$C$37</f>
        <v>6666.66666666667</v>
      </c>
      <c r="J37" s="8" t="n">
        <f aca="false">$C$37</f>
        <v>6666.66666666667</v>
      </c>
      <c r="K37" s="8" t="n">
        <f aca="false">$C$37</f>
        <v>6666.66666666667</v>
      </c>
      <c r="L37" s="8" t="n">
        <f aca="false">$C$37</f>
        <v>6666.66666666667</v>
      </c>
      <c r="M37" s="8" t="n">
        <f aca="false">$C$37</f>
        <v>6666.66666666667</v>
      </c>
      <c r="N37" s="8" t="n">
        <f aca="false">$C$37</f>
        <v>6666.66666666667</v>
      </c>
      <c r="O37" s="8" t="n">
        <f aca="false">$C$37</f>
        <v>6666.66666666667</v>
      </c>
      <c r="P37" s="34" t="n">
        <f aca="false">SUM(D37:O37)</f>
        <v>80000</v>
      </c>
    </row>
    <row r="38" customFormat="false" ht="15" hidden="false" customHeight="false" outlineLevel="0" collapsed="false">
      <c r="B38" s="6" t="s">
        <v>81</v>
      </c>
      <c r="C38" s="51" t="n">
        <f aca="false">AVERAGE(④FY2026月次実績!I30:K30)</f>
        <v>394626.666666667</v>
      </c>
      <c r="D38" s="8" t="n">
        <f aca="false">$C$38</f>
        <v>394626.666666667</v>
      </c>
      <c r="E38" s="8" t="n">
        <f aca="false">$C$38</f>
        <v>394626.666666667</v>
      </c>
      <c r="F38" s="8" t="n">
        <f aca="false">$C$38</f>
        <v>394626.666666667</v>
      </c>
      <c r="G38" s="8" t="n">
        <f aca="false">$C$38</f>
        <v>394626.666666667</v>
      </c>
      <c r="H38" s="8" t="n">
        <f aca="false">$C$38</f>
        <v>394626.666666667</v>
      </c>
      <c r="I38" s="8" t="n">
        <f aca="false">$C$38</f>
        <v>394626.666666667</v>
      </c>
      <c r="J38" s="8" t="n">
        <f aca="false">$C$38</f>
        <v>394626.666666667</v>
      </c>
      <c r="K38" s="8" t="n">
        <f aca="false">$C$38</f>
        <v>394626.666666667</v>
      </c>
      <c r="L38" s="8" t="n">
        <f aca="false">$C$38</f>
        <v>394626.666666667</v>
      </c>
      <c r="M38" s="8" t="n">
        <f aca="false">$C$38</f>
        <v>394626.666666667</v>
      </c>
      <c r="N38" s="8" t="n">
        <f aca="false">$C$38</f>
        <v>394626.666666667</v>
      </c>
      <c r="O38" s="8" t="n">
        <f aca="false">$C$38</f>
        <v>394626.666666667</v>
      </c>
      <c r="P38" s="34" t="n">
        <f aca="false">SUM(D38:O38)</f>
        <v>4735520</v>
      </c>
    </row>
    <row r="39" customFormat="false" ht="15" hidden="false" customHeight="false" outlineLevel="0" collapsed="false">
      <c r="B39" s="6" t="s">
        <v>82</v>
      </c>
      <c r="C39" s="51" t="n">
        <f aca="false">AVERAGE(④FY2026月次実績!I31:K31)</f>
        <v>0</v>
      </c>
      <c r="D39" s="8" t="n">
        <f aca="false">$C$39</f>
        <v>0</v>
      </c>
      <c r="E39" s="8" t="n">
        <f aca="false">$C$39</f>
        <v>0</v>
      </c>
      <c r="F39" s="8" t="n">
        <f aca="false">$C$39</f>
        <v>0</v>
      </c>
      <c r="G39" s="8" t="n">
        <f aca="false">$C$39</f>
        <v>0</v>
      </c>
      <c r="H39" s="8" t="n">
        <f aca="false">$C$39</f>
        <v>0</v>
      </c>
      <c r="I39" s="8" t="n">
        <f aca="false">$C$39</f>
        <v>0</v>
      </c>
      <c r="J39" s="8" t="n">
        <f aca="false">$C$39</f>
        <v>0</v>
      </c>
      <c r="K39" s="8" t="n">
        <f aca="false">$C$39</f>
        <v>0</v>
      </c>
      <c r="L39" s="8" t="n">
        <f aca="false">$C$39</f>
        <v>0</v>
      </c>
      <c r="M39" s="8" t="n">
        <f aca="false">$C$39</f>
        <v>0</v>
      </c>
      <c r="N39" s="8" t="n">
        <f aca="false">$C$39</f>
        <v>0</v>
      </c>
      <c r="O39" s="8" t="n">
        <f aca="false">$C$39</f>
        <v>0</v>
      </c>
      <c r="P39" s="34" t="n">
        <f aca="false">SUM(D39:O39)</f>
        <v>0</v>
      </c>
    </row>
    <row r="40" customFormat="false" ht="15" hidden="false" customHeight="false" outlineLevel="0" collapsed="false">
      <c r="B40" s="6" t="s">
        <v>83</v>
      </c>
      <c r="C40" s="51" t="n">
        <f aca="false">AVERAGE(④FY2026月次実績!I32:K32)</f>
        <v>3637873</v>
      </c>
      <c r="D40" s="8" t="n">
        <f aca="false">$C$40</f>
        <v>3637873</v>
      </c>
      <c r="E40" s="8" t="n">
        <f aca="false">$C$40</f>
        <v>3637873</v>
      </c>
      <c r="F40" s="8" t="n">
        <f aca="false">$C$40</f>
        <v>3637873</v>
      </c>
      <c r="G40" s="8" t="n">
        <f aca="false">$C$40</f>
        <v>3637873</v>
      </c>
      <c r="H40" s="8" t="n">
        <f aca="false">$C$40</f>
        <v>3637873</v>
      </c>
      <c r="I40" s="8" t="n">
        <f aca="false">$C$40</f>
        <v>3637873</v>
      </c>
      <c r="J40" s="8" t="n">
        <f aca="false">$C$40</f>
        <v>3637873</v>
      </c>
      <c r="K40" s="8" t="n">
        <f aca="false">$C$40</f>
        <v>3637873</v>
      </c>
      <c r="L40" s="8" t="n">
        <f aca="false">$C$40</f>
        <v>3637873</v>
      </c>
      <c r="M40" s="8" t="n">
        <f aca="false">$C$40</f>
        <v>3637873</v>
      </c>
      <c r="N40" s="8" t="n">
        <f aca="false">$C$40</f>
        <v>3637873</v>
      </c>
      <c r="O40" s="8" t="n">
        <f aca="false">$C$40</f>
        <v>3637873</v>
      </c>
      <c r="P40" s="34" t="n">
        <f aca="false">SUM(D40:O40)</f>
        <v>43654476</v>
      </c>
    </row>
    <row r="41" customFormat="false" ht="15" hidden="false" customHeight="false" outlineLevel="0" collapsed="false">
      <c r="B41" s="6" t="s">
        <v>84</v>
      </c>
      <c r="C41" s="51" t="n">
        <f aca="false">AVERAGE(④FY2026月次実績!I33:K33)</f>
        <v>272483.666666667</v>
      </c>
      <c r="D41" s="8" t="n">
        <f aca="false">$C$41</f>
        <v>272483.666666667</v>
      </c>
      <c r="E41" s="8" t="n">
        <f aca="false">$C$41</f>
        <v>272483.666666667</v>
      </c>
      <c r="F41" s="8" t="n">
        <f aca="false">$C$41</f>
        <v>272483.666666667</v>
      </c>
      <c r="G41" s="8" t="n">
        <f aca="false">$C$41</f>
        <v>272483.666666667</v>
      </c>
      <c r="H41" s="8" t="n">
        <f aca="false">$C$41</f>
        <v>272483.666666667</v>
      </c>
      <c r="I41" s="8" t="n">
        <f aca="false">$C$41</f>
        <v>272483.666666667</v>
      </c>
      <c r="J41" s="8" t="n">
        <f aca="false">$C$41</f>
        <v>272483.666666667</v>
      </c>
      <c r="K41" s="8" t="n">
        <f aca="false">$C$41</f>
        <v>272483.666666667</v>
      </c>
      <c r="L41" s="8" t="n">
        <f aca="false">$C$41</f>
        <v>272483.666666667</v>
      </c>
      <c r="M41" s="8" t="n">
        <f aca="false">$C$41</f>
        <v>272483.666666667</v>
      </c>
      <c r="N41" s="8" t="n">
        <f aca="false">$C$41</f>
        <v>272483.666666667</v>
      </c>
      <c r="O41" s="8" t="n">
        <f aca="false">$C$41</f>
        <v>272483.666666667</v>
      </c>
      <c r="P41" s="34" t="n">
        <f aca="false">SUM(D41:O41)</f>
        <v>3269804</v>
      </c>
    </row>
    <row r="42" customFormat="false" ht="15" hidden="false" customHeight="false" outlineLevel="0" collapsed="false">
      <c r="B42" s="11" t="s">
        <v>85</v>
      </c>
      <c r="C42" s="12" t="n">
        <f aca="false">SUM(C19:C41)</f>
        <v>25013422</v>
      </c>
      <c r="D42" s="12" t="n">
        <f aca="false">SUM(D19:D41)</f>
        <v>25013422</v>
      </c>
      <c r="E42" s="12" t="n">
        <f aca="false">SUM(E19:E41)</f>
        <v>25013422</v>
      </c>
      <c r="F42" s="12" t="n">
        <f aca="false">SUM(F19:F41)</f>
        <v>25013422</v>
      </c>
      <c r="G42" s="12" t="n">
        <f aca="false">SUM(G19:G41)</f>
        <v>25013422</v>
      </c>
      <c r="H42" s="12" t="n">
        <f aca="false">SUM(H19:H41)</f>
        <v>25013422</v>
      </c>
      <c r="I42" s="12" t="n">
        <f aca="false">SUM(I19:I41)</f>
        <v>25013422</v>
      </c>
      <c r="J42" s="12" t="n">
        <f aca="false">SUM(J19:J41)</f>
        <v>25013422</v>
      </c>
      <c r="K42" s="12" t="n">
        <f aca="false">SUM(K19:K41)</f>
        <v>25013422</v>
      </c>
      <c r="L42" s="12" t="n">
        <f aca="false">SUM(L19:L41)</f>
        <v>25013422</v>
      </c>
      <c r="M42" s="12" t="n">
        <f aca="false">SUM(M19:M41)</f>
        <v>25013422</v>
      </c>
      <c r="N42" s="12" t="n">
        <f aca="false">SUM(N19:N41)</f>
        <v>25013422</v>
      </c>
      <c r="O42" s="12" t="n">
        <f aca="false">SUM(O19:O41)</f>
        <v>25013422</v>
      </c>
      <c r="P42" s="12" t="n">
        <f aca="false">SUM(D42:O42)</f>
        <v>300161064</v>
      </c>
    </row>
    <row r="44" customFormat="false" ht="15" hidden="false" customHeight="false" outlineLevel="0" collapsed="false">
      <c r="B44" s="36" t="s">
        <v>157</v>
      </c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</row>
    <row r="45" customFormat="false" ht="15" hidden="false" customHeight="false" outlineLevel="0" collapsed="false">
      <c r="B45" s="15" t="s">
        <v>18</v>
      </c>
      <c r="C45" s="16" t="n">
        <f aca="false">C16-C42</f>
        <v>-588261.333333332</v>
      </c>
      <c r="D45" s="16" t="n">
        <f aca="false">D16-D42</f>
        <v>-588261.333333332</v>
      </c>
      <c r="E45" s="16" t="n">
        <f aca="false">E16-E42</f>
        <v>-588261.333333332</v>
      </c>
      <c r="F45" s="16" t="n">
        <f aca="false">F16-F42</f>
        <v>-588261.333333332</v>
      </c>
      <c r="G45" s="16" t="n">
        <f aca="false">G16-G42</f>
        <v>-588261.333333332</v>
      </c>
      <c r="H45" s="16" t="n">
        <f aca="false">H16-H42</f>
        <v>-588261.333333332</v>
      </c>
      <c r="I45" s="16" t="n">
        <f aca="false">I16-I42</f>
        <v>29411738.6666667</v>
      </c>
      <c r="J45" s="16" t="n">
        <f aca="false">J16-J42</f>
        <v>-588261.333333332</v>
      </c>
      <c r="K45" s="16" t="n">
        <f aca="false">K16-K42</f>
        <v>-588261.333333332</v>
      </c>
      <c r="L45" s="16" t="n">
        <f aca="false">L16-L42</f>
        <v>-588261.333333332</v>
      </c>
      <c r="M45" s="16" t="n">
        <f aca="false">M16-M42</f>
        <v>-588261.333333332</v>
      </c>
      <c r="N45" s="16" t="n">
        <f aca="false">N16-N42</f>
        <v>-588261.333333332</v>
      </c>
      <c r="O45" s="16" t="n">
        <f aca="false">O16-O42</f>
        <v>9411738.66666666</v>
      </c>
      <c r="P45" s="16" t="n">
        <f aca="false">SUM(D45:O45)</f>
        <v>32940864</v>
      </c>
    </row>
    <row r="46" customFormat="false" ht="15" hidden="false" customHeight="false" outlineLevel="0" collapsed="false">
      <c r="B46" s="6" t="s">
        <v>19</v>
      </c>
      <c r="D46" s="8" t="n">
        <f aca="false">0</f>
        <v>0</v>
      </c>
      <c r="E46" s="8" t="n">
        <f aca="false">0</f>
        <v>0</v>
      </c>
      <c r="F46" s="8" t="n">
        <f aca="false">0</f>
        <v>0</v>
      </c>
      <c r="G46" s="8" t="n">
        <f aca="false">0</f>
        <v>0</v>
      </c>
      <c r="H46" s="8" t="n">
        <f aca="false">0</f>
        <v>0</v>
      </c>
      <c r="I46" s="8" t="n">
        <f aca="false">0</f>
        <v>0</v>
      </c>
      <c r="J46" s="8" t="n">
        <f aca="false">0</f>
        <v>0</v>
      </c>
      <c r="K46" s="8" t="n">
        <f aca="false">0</f>
        <v>0</v>
      </c>
      <c r="L46" s="8" t="n">
        <f aca="false">0</f>
        <v>0</v>
      </c>
      <c r="M46" s="8" t="n">
        <f aca="false">0</f>
        <v>0</v>
      </c>
      <c r="N46" s="8" t="n">
        <f aca="false">0</f>
        <v>0</v>
      </c>
      <c r="O46" s="8" t="n">
        <f aca="false">0</f>
        <v>0</v>
      </c>
      <c r="P46" s="34" t="n">
        <f aca="false">SUM(D46:O46)</f>
        <v>0</v>
      </c>
    </row>
    <row r="47" customFormat="false" ht="15" hidden="false" customHeight="false" outlineLevel="0" collapsed="false">
      <c r="B47" s="6" t="s">
        <v>158</v>
      </c>
      <c r="C47" s="51" t="n">
        <f aca="false">②前提!$C$26/12</f>
        <v>1250000</v>
      </c>
      <c r="D47" s="8" t="n">
        <f aca="false">$C$47</f>
        <v>1250000</v>
      </c>
      <c r="E47" s="8" t="n">
        <f aca="false">$C$47</f>
        <v>1250000</v>
      </c>
      <c r="F47" s="8" t="n">
        <f aca="false">$C$47</f>
        <v>1250000</v>
      </c>
      <c r="G47" s="8" t="n">
        <f aca="false">$C$47</f>
        <v>1250000</v>
      </c>
      <c r="H47" s="8" t="n">
        <f aca="false">$C$47</f>
        <v>1250000</v>
      </c>
      <c r="I47" s="8" t="n">
        <f aca="false">$C$47</f>
        <v>1250000</v>
      </c>
      <c r="J47" s="8" t="n">
        <f aca="false">$C$47</f>
        <v>1250000</v>
      </c>
      <c r="K47" s="8" t="n">
        <f aca="false">$C$47</f>
        <v>1250000</v>
      </c>
      <c r="L47" s="8" t="n">
        <f aca="false">$C$47</f>
        <v>1250000</v>
      </c>
      <c r="M47" s="8" t="n">
        <f aca="false">$C$47</f>
        <v>1250000</v>
      </c>
      <c r="N47" s="8" t="n">
        <f aca="false">$C$47</f>
        <v>1250000</v>
      </c>
      <c r="O47" s="8" t="n">
        <f aca="false">$C$47</f>
        <v>1250000</v>
      </c>
      <c r="P47" s="34" t="n">
        <f aca="false">SUM(D47:O47)</f>
        <v>15000000</v>
      </c>
    </row>
    <row r="48" customFormat="false" ht="15" hidden="false" customHeight="false" outlineLevel="0" collapsed="false">
      <c r="B48" s="18" t="s">
        <v>22</v>
      </c>
      <c r="C48" s="19" t="n">
        <f aca="false">C45+C46-C47</f>
        <v>-1838261.33333333</v>
      </c>
      <c r="D48" s="19" t="n">
        <f aca="false">D45+D46-D47</f>
        <v>-1838261.33333333</v>
      </c>
      <c r="E48" s="19" t="n">
        <f aca="false">E45+E46-E47</f>
        <v>-1838261.33333333</v>
      </c>
      <c r="F48" s="19" t="n">
        <f aca="false">F45+F46-F47</f>
        <v>-1838261.33333333</v>
      </c>
      <c r="G48" s="19" t="n">
        <f aca="false">G45+G46-G47</f>
        <v>-1838261.33333333</v>
      </c>
      <c r="H48" s="19" t="n">
        <f aca="false">H45+H46-H47</f>
        <v>-1838261.33333333</v>
      </c>
      <c r="I48" s="19" t="n">
        <f aca="false">I45+I46-I47</f>
        <v>28161738.6666667</v>
      </c>
      <c r="J48" s="19" t="n">
        <f aca="false">J45+J46-J47</f>
        <v>-1838261.33333333</v>
      </c>
      <c r="K48" s="19" t="n">
        <f aca="false">K45+K46-K47</f>
        <v>-1838261.33333333</v>
      </c>
      <c r="L48" s="19" t="n">
        <f aca="false">L45+L46-L47</f>
        <v>-1838261.33333333</v>
      </c>
      <c r="M48" s="19" t="n">
        <f aca="false">M45+M46-M47</f>
        <v>-1838261.33333333</v>
      </c>
      <c r="N48" s="19" t="n">
        <f aca="false">N45+N46-N47</f>
        <v>-1838261.33333333</v>
      </c>
      <c r="O48" s="19" t="n">
        <f aca="false">O45+O46-O47</f>
        <v>8161738.66666666</v>
      </c>
      <c r="P48" s="19" t="n">
        <f aca="false">SUM(D48:O48)</f>
        <v>17940864</v>
      </c>
    </row>
    <row r="49" customFormat="false" ht="15" hidden="false" customHeight="false" outlineLevel="0" collapsed="false">
      <c r="B49" s="46" t="s">
        <v>159</v>
      </c>
      <c r="D49" s="52" t="n">
        <f aca="false">D48</f>
        <v>-1838261.33333333</v>
      </c>
      <c r="E49" s="52" t="n">
        <f aca="false">D49+E48</f>
        <v>-3676522.66666666</v>
      </c>
      <c r="F49" s="52" t="n">
        <f aca="false">E49+F48</f>
        <v>-5514784</v>
      </c>
      <c r="G49" s="52" t="n">
        <f aca="false">F49+G48</f>
        <v>-7353045.33333333</v>
      </c>
      <c r="H49" s="52" t="n">
        <f aca="false">G49+H48</f>
        <v>-9191306.66666666</v>
      </c>
      <c r="I49" s="52" t="n">
        <f aca="false">H49+I48</f>
        <v>18970432</v>
      </c>
      <c r="J49" s="52" t="n">
        <f aca="false">I49+J48</f>
        <v>17132170.6666667</v>
      </c>
      <c r="K49" s="52" t="n">
        <f aca="false">J49+K48</f>
        <v>15293909.3333333</v>
      </c>
      <c r="L49" s="52" t="n">
        <f aca="false">K49+L48</f>
        <v>13455648</v>
      </c>
      <c r="M49" s="52" t="n">
        <f aca="false">L49+M48</f>
        <v>11617386.6666667</v>
      </c>
      <c r="N49" s="52" t="n">
        <f aca="false">M49+N48</f>
        <v>9779125.33333334</v>
      </c>
      <c r="O49" s="52" t="n">
        <f aca="false">N49+O48</f>
        <v>17940864</v>
      </c>
    </row>
    <row r="51" customFormat="false" ht="15" hidden="false" customHeight="false" outlineLevel="0" collapsed="false">
      <c r="B51" s="3" t="s">
        <v>160</v>
      </c>
    </row>
    <row r="52" customFormat="false" ht="15" hidden="false" customHeight="false" outlineLevel="0" collapsed="false">
      <c r="B52" s="3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8" t="s">
        <v>162</v>
      </c>
    </row>
    <row r="2" customFormat="false" ht="15" hidden="false" customHeight="false" outlineLevel="0" collapsed="false">
      <c r="B2" s="3" t="s">
        <v>163</v>
      </c>
    </row>
    <row r="4" customFormat="false" ht="15" hidden="false" customHeight="false" outlineLevel="0" collapsed="false">
      <c r="B4" s="39" t="s">
        <v>90</v>
      </c>
      <c r="C4" s="39" t="s">
        <v>164</v>
      </c>
      <c r="D4" s="39" t="s">
        <v>165</v>
      </c>
      <c r="E4" s="39" t="s">
        <v>166</v>
      </c>
    </row>
    <row r="5" customFormat="false" ht="15" hidden="false" customHeight="false" outlineLevel="0" collapsed="false">
      <c r="B5" s="53" t="s">
        <v>167</v>
      </c>
      <c r="C5" s="54" t="n">
        <v>-114793431</v>
      </c>
      <c r="D5" s="34" t="n">
        <f aca="false">C5</f>
        <v>-114793431</v>
      </c>
      <c r="E5" s="3" t="s">
        <v>168</v>
      </c>
    </row>
    <row r="6" customFormat="false" ht="15" hidden="false" customHeight="false" outlineLevel="0" collapsed="false">
      <c r="B6" s="6" t="s">
        <v>169</v>
      </c>
      <c r="C6" s="8" t="n">
        <f aca="false">②前提!$C$7*12-229139405</f>
        <v>-28537477</v>
      </c>
      <c r="D6" s="34" t="n">
        <f aca="false">D5+C6</f>
        <v>-143330908</v>
      </c>
      <c r="E6" s="14" t="s">
        <v>170</v>
      </c>
    </row>
    <row r="7" customFormat="false" ht="15" hidden="false" customHeight="false" outlineLevel="0" collapsed="false">
      <c r="B7" s="6" t="s">
        <v>171</v>
      </c>
      <c r="C7" s="8" t="n">
        <f aca="false">343932836-②前提!$C$8*12</f>
        <v>43771772</v>
      </c>
      <c r="D7" s="34" t="n">
        <f aca="false">D6+C7</f>
        <v>-99559136</v>
      </c>
      <c r="E7" s="3" t="s">
        <v>172</v>
      </c>
    </row>
    <row r="8" customFormat="false" ht="15" hidden="false" customHeight="false" outlineLevel="0" collapsed="false">
      <c r="B8" s="6" t="s">
        <v>173</v>
      </c>
      <c r="C8" s="8" t="n">
        <f aca="false">②前提!$C$22</f>
        <v>132500000</v>
      </c>
      <c r="D8" s="34" t="n">
        <f aca="false">D7+C8</f>
        <v>32940864</v>
      </c>
      <c r="E8" s="3" t="s">
        <v>174</v>
      </c>
    </row>
    <row r="9" customFormat="false" ht="15" hidden="false" customHeight="false" outlineLevel="0" collapsed="false">
      <c r="B9" s="55" t="s">
        <v>175</v>
      </c>
      <c r="D9" s="16" t="n">
        <f aca="false">D8</f>
        <v>32940864</v>
      </c>
      <c r="E9" s="3" t="s">
        <v>176</v>
      </c>
    </row>
    <row r="12" customFormat="false" ht="16.4" hidden="false" customHeight="false" outlineLevel="0" collapsed="false">
      <c r="B12" s="21" t="s">
        <v>27</v>
      </c>
    </row>
    <row r="13" customFormat="false" ht="15" hidden="false" customHeight="false" outlineLevel="0" collapsed="false">
      <c r="B13" s="6" t="s">
        <v>177</v>
      </c>
      <c r="C13" s="24" t="n">
        <f aca="false">①サマリー!C23</f>
        <v>159183690.420246</v>
      </c>
      <c r="E13" s="56" t="n">
        <f aca="false">①サマリー!D23</f>
        <v>0.149328039793852</v>
      </c>
      <c r="F13" s="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7" t="s">
        <v>179</v>
      </c>
    </row>
    <row r="2" customFormat="false" ht="15" hidden="false" customHeight="false" outlineLevel="0" collapsed="false">
      <c r="B2" s="30" t="s">
        <v>180</v>
      </c>
    </row>
    <row r="4" customFormat="false" ht="15" hidden="false" customHeight="false" outlineLevel="0" collapsed="false">
      <c r="B4" s="39" t="s">
        <v>181</v>
      </c>
      <c r="C4" s="40"/>
      <c r="D4" s="40"/>
      <c r="E4" s="40"/>
      <c r="F4" s="40"/>
      <c r="G4" s="40"/>
      <c r="H4" s="40"/>
    </row>
    <row r="5" customFormat="false" ht="15" hidden="false" customHeight="false" outlineLevel="0" collapsed="false">
      <c r="B5" s="22" t="s">
        <v>182</v>
      </c>
      <c r="C5" s="31" t="s">
        <v>183</v>
      </c>
      <c r="D5" s="31" t="s">
        <v>184</v>
      </c>
      <c r="E5" s="31" t="s">
        <v>185</v>
      </c>
      <c r="F5" s="31" t="s">
        <v>186</v>
      </c>
      <c r="G5" s="31" t="s">
        <v>187</v>
      </c>
    </row>
    <row r="6" customFormat="false" ht="15" hidden="false" customHeight="false" outlineLevel="0" collapsed="false">
      <c r="B6" s="6" t="s">
        <v>188</v>
      </c>
      <c r="C6" s="58" t="n">
        <v>560</v>
      </c>
      <c r="D6" s="58" t="n">
        <v>470</v>
      </c>
      <c r="E6" s="58" t="n">
        <v>480</v>
      </c>
      <c r="F6" s="58" t="n">
        <v>530</v>
      </c>
      <c r="G6" s="58" t="n">
        <v>620</v>
      </c>
    </row>
    <row r="7" customFormat="false" ht="15" hidden="false" customHeight="false" outlineLevel="0" collapsed="false">
      <c r="B7" s="53" t="s">
        <v>189</v>
      </c>
      <c r="C7" s="59" t="n">
        <f aca="false">G6-E6</f>
        <v>140</v>
      </c>
      <c r="D7" s="3" t="s">
        <v>190</v>
      </c>
      <c r="E7" s="60" t="n">
        <f aca="false">C7/6</f>
        <v>23.3333333333333</v>
      </c>
      <c r="F7" s="30" t="s">
        <v>191</v>
      </c>
    </row>
    <row r="8" customFormat="false" ht="15" hidden="false" customHeight="false" outlineLevel="0" collapsed="false">
      <c r="B8" s="3" t="s">
        <v>192</v>
      </c>
    </row>
    <row r="10" customFormat="false" ht="15" hidden="false" customHeight="false" outlineLevel="0" collapsed="false">
      <c r="B10" s="39" t="s">
        <v>193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customFormat="false" ht="15" hidden="false" customHeight="false" outlineLevel="0" collapsed="false">
      <c r="B11" s="22" t="s">
        <v>3</v>
      </c>
      <c r="C11" s="41" t="s">
        <v>194</v>
      </c>
      <c r="D11" s="31" t="s">
        <v>133</v>
      </c>
      <c r="E11" s="31" t="s">
        <v>134</v>
      </c>
      <c r="F11" s="31" t="s">
        <v>135</v>
      </c>
      <c r="G11" s="31" t="s">
        <v>136</v>
      </c>
      <c r="H11" s="31" t="s">
        <v>137</v>
      </c>
      <c r="I11" s="31" t="s">
        <v>138</v>
      </c>
      <c r="J11" s="31" t="s">
        <v>139</v>
      </c>
      <c r="K11" s="31" t="s">
        <v>140</v>
      </c>
      <c r="L11" s="31" t="s">
        <v>141</v>
      </c>
      <c r="M11" s="31" t="s">
        <v>142</v>
      </c>
      <c r="N11" s="31" t="s">
        <v>143</v>
      </c>
      <c r="O11" s="31" t="s">
        <v>144</v>
      </c>
      <c r="P11" s="41" t="s">
        <v>54</v>
      </c>
    </row>
    <row r="12" customFormat="false" ht="15" hidden="false" customHeight="false" outlineLevel="0" collapsed="false">
      <c r="B12" s="6" t="s">
        <v>195</v>
      </c>
      <c r="C12" s="45" t="n">
        <v>420000000</v>
      </c>
      <c r="Q12" s="43" t="s">
        <v>196</v>
      </c>
    </row>
    <row r="13" customFormat="false" ht="15" hidden="false" customHeight="false" outlineLevel="0" collapsed="false">
      <c r="B13" s="6" t="s">
        <v>197</v>
      </c>
      <c r="C13" s="45" t="n">
        <v>0</v>
      </c>
      <c r="Q13" s="14" t="s">
        <v>198</v>
      </c>
    </row>
    <row r="14" customFormat="false" ht="15" hidden="false" customHeight="false" outlineLevel="0" collapsed="false">
      <c r="B14" s="6" t="s">
        <v>199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  <c r="J14" s="45" t="n">
        <v>0</v>
      </c>
      <c r="K14" s="45" t="n">
        <v>0</v>
      </c>
      <c r="L14" s="45" t="n">
        <v>0</v>
      </c>
      <c r="M14" s="45" t="n">
        <v>0</v>
      </c>
      <c r="N14" s="45" t="n">
        <v>0</v>
      </c>
      <c r="O14" s="45" t="n">
        <v>0</v>
      </c>
      <c r="P14" s="34" t="n">
        <f aca="false">SUM(D14:O14)</f>
        <v>0</v>
      </c>
      <c r="Q14" s="3" t="s">
        <v>200</v>
      </c>
    </row>
    <row r="15" customFormat="false" ht="15" hidden="false" customHeight="false" outlineLevel="0" collapsed="false">
      <c r="B15" s="6" t="s">
        <v>201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34" t="n">
        <f aca="false">SUM(D15:O15)</f>
        <v>0</v>
      </c>
      <c r="Q15" s="3" t="s">
        <v>202</v>
      </c>
    </row>
    <row r="16" customFormat="false" ht="15" hidden="false" customHeight="false" outlineLevel="0" collapsed="false">
      <c r="B16" s="37" t="s">
        <v>203</v>
      </c>
      <c r="D16" s="12" t="n">
        <f aca="false">D17+$C$13+D14+D15</f>
        <v>15711570</v>
      </c>
      <c r="E16" s="12" t="n">
        <f aca="false">E17+$C$13+E14+E15</f>
        <v>15711570</v>
      </c>
      <c r="F16" s="12" t="n">
        <f aca="false">F17+$C$13+F14+F15</f>
        <v>15711570</v>
      </c>
      <c r="G16" s="12" t="n">
        <f aca="false">G17+$C$13+G14+G15</f>
        <v>15711570</v>
      </c>
      <c r="H16" s="12" t="n">
        <f aca="false">H17+$C$13+H14+H15</f>
        <v>15711570</v>
      </c>
      <c r="I16" s="12" t="n">
        <f aca="false">I17+$C$13+I14+I15</f>
        <v>15711570</v>
      </c>
      <c r="J16" s="12" t="n">
        <f aca="false">J17+$C$13+J14+J15</f>
        <v>15711570</v>
      </c>
      <c r="K16" s="12" t="n">
        <f aca="false">K17+$C$13+K14+K15</f>
        <v>15711570</v>
      </c>
      <c r="L16" s="12" t="n">
        <f aca="false">L17+$C$13+L14+L15</f>
        <v>15711570</v>
      </c>
      <c r="M16" s="12" t="n">
        <f aca="false">M17+$C$13+M14+M15</f>
        <v>15711570</v>
      </c>
      <c r="N16" s="12" t="n">
        <f aca="false">N17+$C$13+N14+N15</f>
        <v>15711570</v>
      </c>
      <c r="O16" s="12" t="n">
        <f aca="false">O17+$C$13+O14+O15</f>
        <v>15711570</v>
      </c>
      <c r="P16" s="34" t="n">
        <f aca="false">SUM(D16:O16)</f>
        <v>188538840</v>
      </c>
    </row>
    <row r="17" customFormat="false" ht="15" hidden="false" customHeight="false" outlineLevel="0" collapsed="false">
      <c r="B17" s="6" t="s">
        <v>204</v>
      </c>
      <c r="D17" s="51" t="n">
        <f aca="false">③FY2027月次推移!D7</f>
        <v>15711570</v>
      </c>
      <c r="E17" s="51" t="n">
        <f aca="false">③FY2027月次推移!E7</f>
        <v>15711570</v>
      </c>
      <c r="F17" s="51" t="n">
        <f aca="false">③FY2027月次推移!F7</f>
        <v>15711570</v>
      </c>
      <c r="G17" s="51" t="n">
        <f aca="false">③FY2027月次推移!G7</f>
        <v>15711570</v>
      </c>
      <c r="H17" s="51" t="n">
        <f aca="false">③FY2027月次推移!H7</f>
        <v>15711570</v>
      </c>
      <c r="I17" s="51" t="n">
        <f aca="false">③FY2027月次推移!I7</f>
        <v>15711570</v>
      </c>
      <c r="J17" s="51" t="n">
        <f aca="false">③FY2027月次推移!J7</f>
        <v>15711570</v>
      </c>
      <c r="K17" s="51" t="n">
        <f aca="false">③FY2027月次推移!K7</f>
        <v>15711570</v>
      </c>
      <c r="L17" s="51" t="n">
        <f aca="false">③FY2027月次推移!L7</f>
        <v>15711570</v>
      </c>
      <c r="M17" s="51" t="n">
        <f aca="false">③FY2027月次推移!M7</f>
        <v>15711570</v>
      </c>
      <c r="N17" s="51" t="n">
        <f aca="false">③FY2027月次推移!N7</f>
        <v>15711570</v>
      </c>
      <c r="O17" s="51" t="n">
        <f aca="false">③FY2027月次推移!O7</f>
        <v>15711570</v>
      </c>
      <c r="P17" s="34" t="n">
        <f aca="false">SUM(D17:O17)</f>
        <v>188538840</v>
      </c>
    </row>
    <row r="18" customFormat="false" ht="15" hidden="false" customHeight="false" outlineLevel="0" collapsed="false">
      <c r="B18" s="37" t="s">
        <v>205</v>
      </c>
      <c r="D18" s="61" t="n">
        <f aca="false">$C$12+D16-D17</f>
        <v>420000000</v>
      </c>
      <c r="E18" s="61" t="n">
        <f aca="false">D18+E16-E17</f>
        <v>420000000</v>
      </c>
      <c r="F18" s="61" t="n">
        <f aca="false">E18+F16-F17</f>
        <v>420000000</v>
      </c>
      <c r="G18" s="61" t="n">
        <f aca="false">F18+G16-G17</f>
        <v>420000000</v>
      </c>
      <c r="H18" s="61" t="n">
        <f aca="false">G18+H16-H17</f>
        <v>420000000</v>
      </c>
      <c r="I18" s="61" t="n">
        <f aca="false">H18+I16-I17</f>
        <v>420000000</v>
      </c>
      <c r="J18" s="61" t="n">
        <f aca="false">I18+J16-J17</f>
        <v>420000000</v>
      </c>
      <c r="K18" s="61" t="n">
        <f aca="false">J18+K16-K17</f>
        <v>420000000</v>
      </c>
      <c r="L18" s="61" t="n">
        <f aca="false">K18+L16-L17</f>
        <v>420000000</v>
      </c>
      <c r="M18" s="61" t="n">
        <f aca="false">L18+M16-M17</f>
        <v>420000000</v>
      </c>
      <c r="N18" s="61" t="n">
        <f aca="false">M18+N16-N17</f>
        <v>420000000</v>
      </c>
      <c r="O18" s="61" t="n">
        <f aca="false">N18+O16-O17</f>
        <v>420000000</v>
      </c>
      <c r="P18" s="62" t="n">
        <f aca="false">O18</f>
        <v>420000000</v>
      </c>
    </row>
    <row r="20" customFormat="false" ht="15" hidden="false" customHeight="false" outlineLevel="0" collapsed="false">
      <c r="B20" s="30" t="s">
        <v>206</v>
      </c>
    </row>
    <row r="21" customFormat="false" ht="15" hidden="false" customHeight="false" outlineLevel="0" collapsed="false">
      <c r="B21" s="30" t="s">
        <v>207</v>
      </c>
    </row>
    <row r="22" customFormat="false" ht="15" hidden="false" customHeight="false" outlineLevel="0" collapsed="false">
      <c r="B22" s="43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8" t="s">
        <v>209</v>
      </c>
    </row>
    <row r="2" customFormat="false" ht="15" hidden="false" customHeight="false" outlineLevel="0" collapsed="false">
      <c r="B2" s="3" t="s">
        <v>210</v>
      </c>
    </row>
    <row r="4" customFormat="false" ht="15" hidden="false" customHeight="false" outlineLevel="0" collapsed="false">
      <c r="B4" s="39" t="s">
        <v>211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</row>
    <row r="5" customFormat="false" ht="15" hidden="false" customHeight="false" outlineLevel="0" collapsed="false">
      <c r="B5" s="6" t="s">
        <v>212</v>
      </c>
      <c r="C5" s="45" t="n">
        <v>24390278</v>
      </c>
      <c r="D5" s="30" t="s">
        <v>213</v>
      </c>
    </row>
    <row r="6" customFormat="false" ht="15" hidden="false" customHeight="false" outlineLevel="0" collapsed="false">
      <c r="B6" s="6" t="s">
        <v>214</v>
      </c>
      <c r="C6" s="63" t="n">
        <v>0.1</v>
      </c>
      <c r="D6" s="3"/>
    </row>
    <row r="7" customFormat="false" ht="15" hidden="false" customHeight="false" outlineLevel="0" collapsed="false">
      <c r="B7" s="6" t="s">
        <v>215</v>
      </c>
      <c r="C7" s="64" t="n">
        <v>1</v>
      </c>
      <c r="D7" s="3" t="s">
        <v>216</v>
      </c>
    </row>
    <row r="8" customFormat="false" ht="15" hidden="false" customHeight="false" outlineLevel="0" collapsed="false">
      <c r="B8" s="6" t="s">
        <v>217</v>
      </c>
      <c r="C8" s="64" t="n">
        <v>1</v>
      </c>
      <c r="D8" s="3" t="s">
        <v>218</v>
      </c>
    </row>
    <row r="9" customFormat="false" ht="15" hidden="false" customHeight="false" outlineLevel="0" collapsed="false">
      <c r="B9" s="6" t="s">
        <v>219</v>
      </c>
      <c r="C9" s="45" t="n">
        <v>2662179</v>
      </c>
      <c r="D9" s="30" t="s">
        <v>220</v>
      </c>
    </row>
    <row r="10" customFormat="false" ht="15" hidden="false" customHeight="false" outlineLevel="0" collapsed="false">
      <c r="B10" s="6" t="s">
        <v>221</v>
      </c>
      <c r="C10" s="7" t="n">
        <v>0</v>
      </c>
      <c r="D10" s="3" t="s">
        <v>222</v>
      </c>
    </row>
    <row r="12" customFormat="false" ht="15" hidden="false" customHeight="false" outlineLevel="0" collapsed="false">
      <c r="B12" s="22" t="s">
        <v>3</v>
      </c>
      <c r="C12" s="41" t="s">
        <v>194</v>
      </c>
      <c r="D12" s="31" t="s">
        <v>133</v>
      </c>
      <c r="E12" s="31" t="s">
        <v>134</v>
      </c>
      <c r="F12" s="31" t="s">
        <v>135</v>
      </c>
      <c r="G12" s="31" t="s">
        <v>136</v>
      </c>
      <c r="H12" s="31" t="s">
        <v>137</v>
      </c>
      <c r="I12" s="31" t="s">
        <v>138</v>
      </c>
      <c r="J12" s="31" t="s">
        <v>139</v>
      </c>
      <c r="K12" s="31" t="s">
        <v>140</v>
      </c>
      <c r="L12" s="31" t="s">
        <v>141</v>
      </c>
      <c r="M12" s="31" t="s">
        <v>142</v>
      </c>
      <c r="N12" s="31" t="s">
        <v>143</v>
      </c>
      <c r="O12" s="31" t="s">
        <v>144</v>
      </c>
      <c r="P12" s="41" t="s">
        <v>54</v>
      </c>
    </row>
    <row r="13" customFormat="false" ht="15" hidden="false" customHeight="false" outlineLevel="0" collapsed="false">
      <c r="B13" s="36" t="s">
        <v>223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</row>
    <row r="14" customFormat="false" ht="15" hidden="false" customHeight="false" outlineLevel="0" collapsed="false">
      <c r="B14" s="65" t="s">
        <v>224</v>
      </c>
      <c r="D14" s="51" t="n">
        <f aca="false">③FY2027月次推移!D6*(1+$C$6)</f>
        <v>35671237.0666667</v>
      </c>
      <c r="E14" s="51" t="n">
        <f aca="false">③FY2027月次推移!E6*(1+$C$6)</f>
        <v>35671237.0666667</v>
      </c>
      <c r="F14" s="51" t="n">
        <f aca="false">③FY2027月次推移!F6*(1+$C$6)</f>
        <v>35671237.0666667</v>
      </c>
      <c r="G14" s="51" t="n">
        <f aca="false">③FY2027月次推移!G6*(1+$C$6)</f>
        <v>35671237.0666667</v>
      </c>
      <c r="H14" s="51" t="n">
        <f aca="false">③FY2027月次推移!H6*(1+$C$6)</f>
        <v>35671237.0666667</v>
      </c>
      <c r="I14" s="51" t="n">
        <f aca="false">③FY2027月次推移!I6*(1+$C$6)</f>
        <v>35671237.0666667</v>
      </c>
      <c r="J14" s="51" t="n">
        <f aca="false">③FY2027月次推移!J6*(1+$C$6)</f>
        <v>35671237.0666667</v>
      </c>
      <c r="K14" s="51" t="n">
        <f aca="false">③FY2027月次推移!K6*(1+$C$6)</f>
        <v>35671237.0666667</v>
      </c>
      <c r="L14" s="51" t="n">
        <f aca="false">③FY2027月次推移!L6*(1+$C$6)</f>
        <v>35671237.0666667</v>
      </c>
      <c r="M14" s="51" t="n">
        <f aca="false">③FY2027月次推移!M6*(1+$C$6)</f>
        <v>35671237.0666667</v>
      </c>
      <c r="N14" s="51" t="n">
        <f aca="false">③FY2027月次推移!N6*(1+$C$6)</f>
        <v>35671237.0666667</v>
      </c>
      <c r="O14" s="51" t="n">
        <f aca="false">③FY2027月次推移!O6*(1+$C$6)</f>
        <v>35671237.0666667</v>
      </c>
      <c r="P14" s="34" t="n">
        <f aca="false">SUM(D14:O14)</f>
        <v>428054844.8</v>
      </c>
    </row>
    <row r="15" customFormat="false" ht="15" hidden="false" customHeight="false" outlineLevel="0" collapsed="false">
      <c r="B15" s="65" t="s">
        <v>225</v>
      </c>
      <c r="D15" s="51" t="n">
        <f aca="false">SUM(③FY2027月次推移!D9:D13)*(1+$C$6)</f>
        <v>8479166.66666667</v>
      </c>
      <c r="E15" s="51" t="n">
        <f aca="false">SUM(③FY2027月次推移!E9:E13)*(1+$C$6)</f>
        <v>8479166.66666667</v>
      </c>
      <c r="F15" s="51" t="n">
        <f aca="false">SUM(③FY2027月次推移!F9:F13)*(1+$C$6)</f>
        <v>8479166.66666667</v>
      </c>
      <c r="G15" s="51" t="n">
        <f aca="false">SUM(③FY2027月次推移!G9:G13)*(1+$C$6)</f>
        <v>8479166.66666667</v>
      </c>
      <c r="H15" s="51" t="n">
        <f aca="false">SUM(③FY2027月次推移!H9:H13)*(1+$C$6)</f>
        <v>8479166.66666667</v>
      </c>
      <c r="I15" s="51" t="n">
        <f aca="false">SUM(③FY2027月次推移!I9:I13)*(1+$C$6)</f>
        <v>8479166.66666667</v>
      </c>
      <c r="J15" s="51" t="n">
        <f aca="false">SUM(③FY2027月次推移!J9:J13)*(1+$C$6)</f>
        <v>8479166.66666667</v>
      </c>
      <c r="K15" s="51" t="n">
        <f aca="false">SUM(③FY2027月次推移!K9:K13)*(1+$C$6)</f>
        <v>8479166.66666667</v>
      </c>
      <c r="L15" s="51" t="n">
        <f aca="false">SUM(③FY2027月次推移!L9:L13)*(1+$C$6)</f>
        <v>8479166.66666667</v>
      </c>
      <c r="M15" s="51" t="n">
        <f aca="false">SUM(③FY2027月次推移!M9:M13)*(1+$C$6)</f>
        <v>8479166.66666667</v>
      </c>
      <c r="N15" s="51" t="n">
        <f aca="false">SUM(③FY2027月次推移!N9:N13)*(1+$C$6)</f>
        <v>8479166.66666667</v>
      </c>
      <c r="O15" s="51" t="n">
        <f aca="false">SUM(③FY2027月次推移!O9:O13)*(1+$C$6)</f>
        <v>8479166.66666667</v>
      </c>
      <c r="P15" s="34" t="n">
        <f aca="false">SUM(D15:O15)</f>
        <v>101750000</v>
      </c>
    </row>
    <row r="16" customFormat="false" ht="15" hidden="false" customHeight="false" outlineLevel="0" collapsed="false">
      <c r="B16" s="65" t="s">
        <v>226</v>
      </c>
      <c r="D16" s="51" t="n">
        <f aca="false">③FY2027月次推移!D14*(1+$C$6)</f>
        <v>0</v>
      </c>
      <c r="E16" s="51" t="n">
        <f aca="false">③FY2027月次推移!E14*(1+$C$6)</f>
        <v>0</v>
      </c>
      <c r="F16" s="51" t="n">
        <f aca="false">③FY2027月次推移!F14*(1+$C$6)</f>
        <v>0</v>
      </c>
      <c r="G16" s="51" t="n">
        <f aca="false">③FY2027月次推移!G14*(1+$C$6)</f>
        <v>0</v>
      </c>
      <c r="H16" s="51" t="n">
        <f aca="false">③FY2027月次推移!H14*(1+$C$6)</f>
        <v>0</v>
      </c>
      <c r="I16" s="51" t="n">
        <f aca="false">③FY2027月次推移!I14*(1+$C$6)</f>
        <v>22000000</v>
      </c>
      <c r="J16" s="51" t="n">
        <f aca="false">③FY2027月次推移!J14*(1+$C$6)</f>
        <v>0</v>
      </c>
      <c r="K16" s="51" t="n">
        <f aca="false">③FY2027月次推移!K14*(1+$C$6)</f>
        <v>0</v>
      </c>
      <c r="L16" s="51" t="n">
        <f aca="false">③FY2027月次推移!L14*(1+$C$6)</f>
        <v>0</v>
      </c>
      <c r="M16" s="51" t="n">
        <f aca="false">③FY2027月次推移!M14*(1+$C$6)</f>
        <v>0</v>
      </c>
      <c r="N16" s="51" t="n">
        <f aca="false">③FY2027月次推移!N14*(1+$C$6)</f>
        <v>0</v>
      </c>
      <c r="O16" s="51" t="n">
        <f aca="false">③FY2027月次推移!O14*(1+$C$6)</f>
        <v>0</v>
      </c>
      <c r="P16" s="34" t="n">
        <f aca="false">SUM(D16:O16)</f>
        <v>22000000</v>
      </c>
    </row>
    <row r="17" customFormat="false" ht="15" hidden="false" customHeight="false" outlineLevel="0" collapsed="false">
      <c r="B17" s="6" t="s">
        <v>227</v>
      </c>
      <c r="D17" s="45" t="n">
        <v>220000000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34" t="n">
        <f aca="false">SUM(D17:O17)</f>
        <v>220000000</v>
      </c>
      <c r="Q17" s="43" t="s">
        <v>228</v>
      </c>
    </row>
    <row r="18" customFormat="false" ht="15" hidden="false" customHeight="false" outlineLevel="0" collapsed="false">
      <c r="B18" s="65" t="s">
        <v>229</v>
      </c>
      <c r="D18" s="51" t="n">
        <f aca="false">③FY2027月次推移!D15*(1+$C$6)</f>
        <v>0</v>
      </c>
      <c r="E18" s="51" t="n">
        <f aca="false">③FY2027月次推移!E15*(1+$C$6)</f>
        <v>0</v>
      </c>
      <c r="F18" s="51" t="n">
        <f aca="false">③FY2027月次推移!F15*(1+$C$6)</f>
        <v>0</v>
      </c>
      <c r="G18" s="51" t="n">
        <f aca="false">③FY2027月次推移!G15*(1+$C$6)</f>
        <v>0</v>
      </c>
      <c r="H18" s="51" t="n">
        <f aca="false">③FY2027月次推移!H15*(1+$C$6)</f>
        <v>0</v>
      </c>
      <c r="I18" s="51" t="n">
        <f aca="false">③FY2027月次推移!I15*(1+$C$6)</f>
        <v>11000000</v>
      </c>
      <c r="J18" s="51" t="n">
        <f aca="false">③FY2027月次推移!J15*(1+$C$6)</f>
        <v>0</v>
      </c>
      <c r="K18" s="51" t="n">
        <f aca="false">③FY2027月次推移!K15*(1+$C$6)</f>
        <v>0</v>
      </c>
      <c r="L18" s="51" t="n">
        <f aca="false">③FY2027月次推移!L15*(1+$C$6)</f>
        <v>0</v>
      </c>
      <c r="M18" s="51" t="n">
        <f aca="false">③FY2027月次推移!M15*(1+$C$6)</f>
        <v>0</v>
      </c>
      <c r="N18" s="51" t="n">
        <f aca="false">③FY2027月次推移!N15*(1+$C$6)</f>
        <v>0</v>
      </c>
      <c r="O18" s="51" t="n">
        <f aca="false">③FY2027月次推移!O15*(1+$C$6)</f>
        <v>11000000</v>
      </c>
      <c r="P18" s="34" t="n">
        <f aca="false">SUM(D18:O18)</f>
        <v>22000000</v>
      </c>
      <c r="Q18" s="14" t="s">
        <v>230</v>
      </c>
    </row>
    <row r="19" customFormat="false" ht="15" hidden="false" customHeight="false" outlineLevel="0" collapsed="false">
      <c r="B19" s="11" t="s">
        <v>231</v>
      </c>
      <c r="D19" s="12" t="n">
        <f aca="false">SUM(D14:D18)</f>
        <v>264150403.733333</v>
      </c>
      <c r="E19" s="12" t="n">
        <f aca="false">SUM(E14:E18)</f>
        <v>44150403.7333333</v>
      </c>
      <c r="F19" s="12" t="n">
        <f aca="false">SUM(F14:F18)</f>
        <v>44150403.7333333</v>
      </c>
      <c r="G19" s="12" t="n">
        <f aca="false">SUM(G14:G18)</f>
        <v>44150403.7333333</v>
      </c>
      <c r="H19" s="12" t="n">
        <f aca="false">SUM(H14:H18)</f>
        <v>44150403.7333333</v>
      </c>
      <c r="I19" s="12" t="n">
        <f aca="false">SUM(I14:I18)</f>
        <v>77150403.7333333</v>
      </c>
      <c r="J19" s="12" t="n">
        <f aca="false">SUM(J14:J18)</f>
        <v>44150403.7333333</v>
      </c>
      <c r="K19" s="12" t="n">
        <f aca="false">SUM(K14:K18)</f>
        <v>44150403.7333333</v>
      </c>
      <c r="L19" s="12" t="n">
        <f aca="false">SUM(L14:L18)</f>
        <v>44150403.7333333</v>
      </c>
      <c r="M19" s="12" t="n">
        <f aca="false">SUM(M14:M18)</f>
        <v>44150403.7333333</v>
      </c>
      <c r="N19" s="12" t="n">
        <f aca="false">SUM(N14:N18)</f>
        <v>44150403.7333333</v>
      </c>
      <c r="O19" s="12" t="n">
        <f aca="false">SUM(O14:O18)</f>
        <v>55150403.7333333</v>
      </c>
      <c r="P19" s="12" t="n">
        <f aca="false">SUM(D19:O19)</f>
        <v>793804844.8</v>
      </c>
    </row>
    <row r="21" customFormat="false" ht="15" hidden="false" customHeight="false" outlineLevel="0" collapsed="false">
      <c r="B21" s="36" t="s">
        <v>232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</row>
    <row r="22" customFormat="false" ht="15" hidden="false" customHeight="false" outlineLevel="0" collapsed="false">
      <c r="B22" s="65" t="s">
        <v>233</v>
      </c>
      <c r="D22" s="51" t="n">
        <f aca="false">⑥ワイン仕入・在庫計画!D16*(1+$C$6)</f>
        <v>17282727</v>
      </c>
      <c r="E22" s="51" t="n">
        <f aca="false">⑥ワイン仕入・在庫計画!D16*(1+$C$6)</f>
        <v>17282727</v>
      </c>
      <c r="F22" s="51" t="n">
        <f aca="false">⑥ワイン仕入・在庫計画!E16*(1+$C$6)</f>
        <v>17282727</v>
      </c>
      <c r="G22" s="51" t="n">
        <f aca="false">⑥ワイン仕入・在庫計画!F16*(1+$C$6)</f>
        <v>17282727</v>
      </c>
      <c r="H22" s="51" t="n">
        <f aca="false">⑥ワイン仕入・在庫計画!G16*(1+$C$6)</f>
        <v>17282727</v>
      </c>
      <c r="I22" s="51" t="n">
        <f aca="false">⑥ワイン仕入・在庫計画!H16*(1+$C$6)</f>
        <v>17282727</v>
      </c>
      <c r="J22" s="51" t="n">
        <f aca="false">⑥ワイン仕入・在庫計画!I16*(1+$C$6)</f>
        <v>17282727</v>
      </c>
      <c r="K22" s="51" t="n">
        <f aca="false">⑥ワイン仕入・在庫計画!J16*(1+$C$6)</f>
        <v>17282727</v>
      </c>
      <c r="L22" s="51" t="n">
        <f aca="false">⑥ワイン仕入・在庫計画!K16*(1+$C$6)</f>
        <v>17282727</v>
      </c>
      <c r="M22" s="51" t="n">
        <f aca="false">⑥ワイン仕入・在庫計画!L16*(1+$C$6)</f>
        <v>17282727</v>
      </c>
      <c r="N22" s="51" t="n">
        <f aca="false">⑥ワイン仕入・在庫計画!M16*(1+$C$6)</f>
        <v>17282727</v>
      </c>
      <c r="O22" s="51" t="n">
        <f aca="false">⑥ワイン仕入・在庫計画!N16*(1+$C$6)</f>
        <v>17282727</v>
      </c>
      <c r="P22" s="34" t="n">
        <f aca="false">SUM(D22:O22)</f>
        <v>207392724</v>
      </c>
    </row>
    <row r="23" customFormat="false" ht="15" hidden="false" customHeight="false" outlineLevel="0" collapsed="false">
      <c r="B23" s="65" t="s">
        <v>234</v>
      </c>
      <c r="D23" s="51" t="n">
        <f aca="false">AVERAGE(④FY2026月次実績!I11:K11)+AVERAGE(④FY2026月次実績!I12:K12)+AVERAGE(④FY2026月次実績!I13:K13)+AVERAGE(④FY2026月次実績!I14:K14)</f>
        <v>6089866.33333333</v>
      </c>
      <c r="E23" s="51" t="n">
        <f aca="false">AVERAGE(④FY2026月次実績!I11:K11)+AVERAGE(④FY2026月次実績!I12:K12)+AVERAGE(④FY2026月次実績!I13:K13)+AVERAGE(④FY2026月次実績!I14:K14)</f>
        <v>6089866.33333333</v>
      </c>
      <c r="F23" s="51" t="n">
        <f aca="false">AVERAGE(④FY2026月次実績!I11:K11)+AVERAGE(④FY2026月次実績!I12:K12)+AVERAGE(④FY2026月次実績!I13:K13)+AVERAGE(④FY2026月次実績!I14:K14)</f>
        <v>6089866.33333333</v>
      </c>
      <c r="G23" s="51" t="n">
        <f aca="false">AVERAGE(④FY2026月次実績!I11:K11)+AVERAGE(④FY2026月次実績!I12:K12)+AVERAGE(④FY2026月次実績!I13:K13)+AVERAGE(④FY2026月次実績!I14:K14)</f>
        <v>6089866.33333333</v>
      </c>
      <c r="H23" s="51" t="n">
        <f aca="false">AVERAGE(④FY2026月次実績!I11:K11)+AVERAGE(④FY2026月次実績!I12:K12)+AVERAGE(④FY2026月次実績!I13:K13)+AVERAGE(④FY2026月次実績!I14:K14)</f>
        <v>6089866.33333333</v>
      </c>
      <c r="I23" s="51" t="n">
        <f aca="false">AVERAGE(④FY2026月次実績!I11:K11)+AVERAGE(④FY2026月次実績!I12:K12)+AVERAGE(④FY2026月次実績!I13:K13)+AVERAGE(④FY2026月次実績!I14:K14)</f>
        <v>6089866.33333333</v>
      </c>
      <c r="J23" s="51" t="n">
        <f aca="false">AVERAGE(④FY2026月次実績!I11:K11)+AVERAGE(④FY2026月次実績!I12:K12)+AVERAGE(④FY2026月次実績!I13:K13)+AVERAGE(④FY2026月次実績!I14:K14)</f>
        <v>6089866.33333333</v>
      </c>
      <c r="K23" s="51" t="n">
        <f aca="false">AVERAGE(④FY2026月次実績!I11:K11)+AVERAGE(④FY2026月次実績!I12:K12)+AVERAGE(④FY2026月次実績!I13:K13)+AVERAGE(④FY2026月次実績!I14:K14)</f>
        <v>6089866.33333333</v>
      </c>
      <c r="L23" s="51" t="n">
        <f aca="false">AVERAGE(④FY2026月次実績!I11:K11)+AVERAGE(④FY2026月次実績!I12:K12)+AVERAGE(④FY2026月次実績!I13:K13)+AVERAGE(④FY2026月次実績!I14:K14)</f>
        <v>6089866.33333333</v>
      </c>
      <c r="M23" s="51" t="n">
        <f aca="false">AVERAGE(④FY2026月次実績!I11:K11)+AVERAGE(④FY2026月次実績!I12:K12)+AVERAGE(④FY2026月次実績!I13:K13)+AVERAGE(④FY2026月次実績!I14:K14)</f>
        <v>6089866.33333333</v>
      </c>
      <c r="N23" s="51" t="n">
        <f aca="false">AVERAGE(④FY2026月次実績!I11:K11)+AVERAGE(④FY2026月次実績!I12:K12)+AVERAGE(④FY2026月次実績!I13:K13)+AVERAGE(④FY2026月次実績!I14:K14)</f>
        <v>6089866.33333333</v>
      </c>
      <c r="O23" s="51" t="n">
        <f aca="false">AVERAGE(④FY2026月次実績!I11:K11)+AVERAGE(④FY2026月次実績!I12:K12)+AVERAGE(④FY2026月次実績!I13:K13)+AVERAGE(④FY2026月次実績!I14:K14)</f>
        <v>6089866.33333333</v>
      </c>
      <c r="P23" s="34" t="n">
        <f aca="false">SUM(D23:O23)</f>
        <v>73078396</v>
      </c>
    </row>
    <row r="24" customFormat="false" ht="15" hidden="false" customHeight="false" outlineLevel="0" collapsed="false">
      <c r="B24" s="65" t="s">
        <v>235</v>
      </c>
      <c r="D24" s="51" t="n">
        <f aca="false">((③FY2027月次推移!D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4" s="51" t="n">
        <f aca="false">((③FY2027月次推移!E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4" s="51" t="n">
        <f aca="false">((③FY2027月次推移!F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4" s="51" t="n">
        <f aca="false">((③FY2027月次推移!G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4" s="51" t="n">
        <f aca="false">((③FY2027月次推移!H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4" s="51" t="n">
        <f aca="false">((③FY2027月次推移!I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4" s="51" t="n">
        <f aca="false">((③FY2027月次推移!J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4" s="51" t="n">
        <f aca="false">((③FY2027月次推移!K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4" s="51" t="n">
        <f aca="false">((③FY2027月次推移!L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4" s="51" t="n">
        <f aca="false">((③FY2027月次推移!M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4" s="51" t="n">
        <f aca="false">((③FY2027月次推移!N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4" s="51" t="n">
        <f aca="false">((③FY2027月次推移!O42-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4" s="34" t="n">
        <f aca="false">SUM(D24:O24)</f>
        <v>201149918.8</v>
      </c>
    </row>
    <row r="25" customFormat="false" ht="15" hidden="false" customHeight="false" outlineLevel="0" collapsed="false">
      <c r="B25" s="65" t="s">
        <v>236</v>
      </c>
      <c r="D25" s="51" t="n">
        <f aca="false">③FY2027月次推移!D47</f>
        <v>1250000</v>
      </c>
      <c r="E25" s="51" t="n">
        <f aca="false">③FY2027月次推移!E47</f>
        <v>1250000</v>
      </c>
      <c r="F25" s="51" t="n">
        <f aca="false">③FY2027月次推移!F47</f>
        <v>1250000</v>
      </c>
      <c r="G25" s="51" t="n">
        <f aca="false">③FY2027月次推移!G47</f>
        <v>1250000</v>
      </c>
      <c r="H25" s="51" t="n">
        <f aca="false">③FY2027月次推移!H47</f>
        <v>1250000</v>
      </c>
      <c r="I25" s="51" t="n">
        <f aca="false">③FY2027月次推移!I47</f>
        <v>1250000</v>
      </c>
      <c r="J25" s="51" t="n">
        <f aca="false">③FY2027月次推移!J47</f>
        <v>1250000</v>
      </c>
      <c r="K25" s="51" t="n">
        <f aca="false">③FY2027月次推移!K47</f>
        <v>1250000</v>
      </c>
      <c r="L25" s="51" t="n">
        <f aca="false">③FY2027月次推移!L47</f>
        <v>1250000</v>
      </c>
      <c r="M25" s="51" t="n">
        <f aca="false">③FY2027月次推移!M47</f>
        <v>1250000</v>
      </c>
      <c r="N25" s="51" t="n">
        <f aca="false">③FY2027月次推移!N47</f>
        <v>1250000</v>
      </c>
      <c r="O25" s="51" t="n">
        <f aca="false">③FY2027月次推移!O47</f>
        <v>1250000</v>
      </c>
      <c r="P25" s="34" t="n">
        <f aca="false">SUM(D25:O25)</f>
        <v>15000000</v>
      </c>
    </row>
    <row r="26" customFormat="false" ht="15" hidden="false" customHeight="false" outlineLevel="0" collapsed="false">
      <c r="B26" s="6" t="s">
        <v>237</v>
      </c>
      <c r="D26" s="45" t="n">
        <v>0</v>
      </c>
      <c r="E26" s="45" t="n">
        <v>30000000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5000000</v>
      </c>
      <c r="L26" s="45" t="n">
        <v>0</v>
      </c>
      <c r="M26" s="45" t="n">
        <v>0</v>
      </c>
      <c r="N26" s="45" t="n">
        <v>0</v>
      </c>
      <c r="O26" s="45" t="n">
        <v>0</v>
      </c>
      <c r="P26" s="34" t="n">
        <f aca="false">SUM(D26:O26)</f>
        <v>35000000</v>
      </c>
      <c r="Q26" s="43" t="s">
        <v>238</v>
      </c>
    </row>
    <row r="27" customFormat="false" ht="15" hidden="false" customHeight="false" outlineLevel="0" collapsed="false">
      <c r="B27" s="6" t="s">
        <v>239</v>
      </c>
      <c r="D27" s="45" t="n">
        <v>0</v>
      </c>
      <c r="E27" s="45" t="n">
        <v>463105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34" t="n">
        <f aca="false">SUM(D27:O27)</f>
        <v>463105</v>
      </c>
    </row>
    <row r="28" customFormat="false" ht="15" hidden="false" customHeight="false" outlineLevel="0" collapsed="false">
      <c r="B28" s="11" t="s">
        <v>240</v>
      </c>
      <c r="D28" s="12" t="n">
        <f aca="false">SUM(D22:D27)</f>
        <v>41385086.5666667</v>
      </c>
      <c r="E28" s="12" t="n">
        <f aca="false">SUM(E22:E27)</f>
        <v>71848191.5666667</v>
      </c>
      <c r="F28" s="12" t="n">
        <f aca="false">SUM(F22:F27)</f>
        <v>41385086.5666667</v>
      </c>
      <c r="G28" s="12" t="n">
        <f aca="false">SUM(G22:G27)</f>
        <v>41385086.5666667</v>
      </c>
      <c r="H28" s="12" t="n">
        <f aca="false">SUM(H22:H27)</f>
        <v>41385086.5666667</v>
      </c>
      <c r="I28" s="12" t="n">
        <f aca="false">SUM(I22:I27)</f>
        <v>41385086.5666667</v>
      </c>
      <c r="J28" s="12" t="n">
        <f aca="false">SUM(J22:J27)</f>
        <v>41385086.5666667</v>
      </c>
      <c r="K28" s="12" t="n">
        <f aca="false">SUM(K22:K27)</f>
        <v>46385086.5666667</v>
      </c>
      <c r="L28" s="12" t="n">
        <f aca="false">SUM(L22:L27)</f>
        <v>41385086.5666667</v>
      </c>
      <c r="M28" s="12" t="n">
        <f aca="false">SUM(M22:M27)</f>
        <v>41385086.5666667</v>
      </c>
      <c r="N28" s="12" t="n">
        <f aca="false">SUM(N22:N27)</f>
        <v>41385086.5666667</v>
      </c>
      <c r="O28" s="12" t="n">
        <f aca="false">SUM(O22:O27)</f>
        <v>41385086.5666667</v>
      </c>
      <c r="P28" s="12" t="n">
        <f aca="false">SUM(D28:O28)</f>
        <v>532084143.8</v>
      </c>
    </row>
    <row r="29" customFormat="false" ht="15" hidden="false" customHeight="false" outlineLevel="0" collapsed="false">
      <c r="B29" s="15" t="s">
        <v>241</v>
      </c>
      <c r="D29" s="16" t="n">
        <f aca="false">D19-D28</f>
        <v>222765317.166667</v>
      </c>
      <c r="E29" s="16" t="n">
        <f aca="false">E19-E28</f>
        <v>-27697787.8333333</v>
      </c>
      <c r="F29" s="16" t="n">
        <f aca="false">F19-F28</f>
        <v>2765317.16666666</v>
      </c>
      <c r="G29" s="16" t="n">
        <f aca="false">G19-G28</f>
        <v>2765317.16666666</v>
      </c>
      <c r="H29" s="16" t="n">
        <f aca="false">H19-H28</f>
        <v>2765317.16666666</v>
      </c>
      <c r="I29" s="16" t="n">
        <f aca="false">I19-I28</f>
        <v>35765317.1666667</v>
      </c>
      <c r="J29" s="16" t="n">
        <f aca="false">J19-J28</f>
        <v>2765317.16666666</v>
      </c>
      <c r="K29" s="16" t="n">
        <f aca="false">K19-K28</f>
        <v>-2234682.83333334</v>
      </c>
      <c r="L29" s="16" t="n">
        <f aca="false">L19-L28</f>
        <v>2765317.16666666</v>
      </c>
      <c r="M29" s="16" t="n">
        <f aca="false">M19-M28</f>
        <v>2765317.16666666</v>
      </c>
      <c r="N29" s="16" t="n">
        <f aca="false">N19-N28</f>
        <v>2765317.16666666</v>
      </c>
      <c r="O29" s="16" t="n">
        <f aca="false">O19-O28</f>
        <v>13765317.1666667</v>
      </c>
      <c r="P29" s="16" t="n">
        <f aca="false">SUM(D29:O29)</f>
        <v>261720701</v>
      </c>
    </row>
    <row r="31" customFormat="false" ht="15" hidden="false" customHeight="false" outlineLevel="0" collapsed="false">
      <c r="B31" s="36" t="s">
        <v>242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 customFormat="false" ht="15" hidden="false" customHeight="false" outlineLevel="0" collapsed="false">
      <c r="B32" s="65" t="s">
        <v>243</v>
      </c>
      <c r="D32" s="51" t="n">
        <f aca="false">-$C$9</f>
        <v>-2662179</v>
      </c>
      <c r="E32" s="51" t="n">
        <f aca="false">-$C$9</f>
        <v>-2662179</v>
      </c>
      <c r="F32" s="51" t="n">
        <f aca="false">-$C$9</f>
        <v>-2662179</v>
      </c>
      <c r="G32" s="51" t="n">
        <f aca="false">-$C$9</f>
        <v>-2662179</v>
      </c>
      <c r="H32" s="51" t="n">
        <f aca="false">-$C$9</f>
        <v>-2662179</v>
      </c>
      <c r="I32" s="51" t="n">
        <f aca="false">-$C$9</f>
        <v>-2662179</v>
      </c>
      <c r="J32" s="51" t="n">
        <f aca="false">-$C$9</f>
        <v>-2662179</v>
      </c>
      <c r="K32" s="51" t="n">
        <f aca="false">-$C$9</f>
        <v>-2662179</v>
      </c>
      <c r="L32" s="51" t="n">
        <f aca="false">-$C$9</f>
        <v>-2662179</v>
      </c>
      <c r="M32" s="51" t="n">
        <f aca="false">-$C$9</f>
        <v>-2662179</v>
      </c>
      <c r="N32" s="51" t="n">
        <f aca="false">-$C$9</f>
        <v>-2662179</v>
      </c>
      <c r="O32" s="51" t="n">
        <f aca="false">-$C$9</f>
        <v>-2662179</v>
      </c>
      <c r="P32" s="34" t="n">
        <f aca="false">SUM(D32:O32)</f>
        <v>-31946148</v>
      </c>
    </row>
    <row r="33" customFormat="false" ht="15" hidden="false" customHeight="false" outlineLevel="0" collapsed="false">
      <c r="B33" s="65" t="s">
        <v>244</v>
      </c>
      <c r="D33" s="51" t="n">
        <f aca="false">$C$10</f>
        <v>0</v>
      </c>
      <c r="E33" s="51" t="n">
        <f aca="false">$C$10</f>
        <v>0</v>
      </c>
      <c r="F33" s="51" t="n">
        <f aca="false">$C$10</f>
        <v>0</v>
      </c>
      <c r="G33" s="51" t="n">
        <f aca="false">$C$10</f>
        <v>0</v>
      </c>
      <c r="H33" s="51" t="n">
        <f aca="false">$C$10</f>
        <v>0</v>
      </c>
      <c r="I33" s="51" t="n">
        <f aca="false">$C$10</f>
        <v>0</v>
      </c>
      <c r="J33" s="51" t="n">
        <f aca="false">$C$10</f>
        <v>0</v>
      </c>
      <c r="K33" s="51" t="n">
        <f aca="false">$C$10</f>
        <v>0</v>
      </c>
      <c r="L33" s="51" t="n">
        <f aca="false">$C$10</f>
        <v>0</v>
      </c>
      <c r="M33" s="51" t="n">
        <f aca="false">$C$10</f>
        <v>0</v>
      </c>
      <c r="N33" s="51" t="n">
        <f aca="false">$C$10</f>
        <v>0</v>
      </c>
      <c r="O33" s="51" t="n">
        <f aca="false">$C$10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245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34" t="n">
        <f aca="false">SUM(D34:O34)</f>
        <v>0</v>
      </c>
    </row>
    <row r="35" customFormat="false" ht="15" hidden="false" customHeight="false" outlineLevel="0" collapsed="false">
      <c r="B35" s="6" t="s">
        <v>246</v>
      </c>
      <c r="D35" s="45" t="n">
        <v>-200000000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  <c r="J35" s="45" t="n">
        <v>0</v>
      </c>
      <c r="K35" s="45" t="n">
        <v>0</v>
      </c>
      <c r="L35" s="45" t="n">
        <v>0</v>
      </c>
      <c r="M35" s="45" t="n">
        <v>0</v>
      </c>
      <c r="N35" s="45" t="n">
        <v>0</v>
      </c>
      <c r="O35" s="45" t="n">
        <v>0</v>
      </c>
      <c r="P35" s="34" t="n">
        <f aca="false">SUM(D35:O35)</f>
        <v>-200000000</v>
      </c>
      <c r="Q35" s="30" t="s">
        <v>247</v>
      </c>
    </row>
    <row r="36" customFormat="false" ht="15" hidden="false" customHeight="false" outlineLevel="0" collapsed="false">
      <c r="B36" s="11" t="s">
        <v>248</v>
      </c>
      <c r="D36" s="12" t="n">
        <f aca="false">SUM(D32:D35)</f>
        <v>-202662179</v>
      </c>
      <c r="E36" s="12" t="n">
        <f aca="false">SUM(E32:E35)</f>
        <v>-2662179</v>
      </c>
      <c r="F36" s="12" t="n">
        <f aca="false">SUM(F32:F35)</f>
        <v>-2662179</v>
      </c>
      <c r="G36" s="12" t="n">
        <f aca="false">SUM(G32:G35)</f>
        <v>-2662179</v>
      </c>
      <c r="H36" s="12" t="n">
        <f aca="false">SUM(H32:H35)</f>
        <v>-2662179</v>
      </c>
      <c r="I36" s="12" t="n">
        <f aca="false">SUM(I32:I35)</f>
        <v>-2662179</v>
      </c>
      <c r="J36" s="12" t="n">
        <f aca="false">SUM(J32:J35)</f>
        <v>-2662179</v>
      </c>
      <c r="K36" s="12" t="n">
        <f aca="false">SUM(K32:K35)</f>
        <v>-2662179</v>
      </c>
      <c r="L36" s="12" t="n">
        <f aca="false">SUM(L32:L35)</f>
        <v>-2662179</v>
      </c>
      <c r="M36" s="12" t="n">
        <f aca="false">SUM(M32:M35)</f>
        <v>-2662179</v>
      </c>
      <c r="N36" s="12" t="n">
        <f aca="false">SUM(N32:N35)</f>
        <v>-2662179</v>
      </c>
      <c r="O36" s="12" t="n">
        <f aca="false">SUM(O32:O35)</f>
        <v>-2662179</v>
      </c>
      <c r="P36" s="12" t="n">
        <f aca="false">SUM(D36:O36)</f>
        <v>-231946148</v>
      </c>
    </row>
    <row r="38" customFormat="false" ht="15" hidden="false" customHeight="false" outlineLevel="0" collapsed="false">
      <c r="B38" s="11" t="s">
        <v>249</v>
      </c>
      <c r="D38" s="12" t="n">
        <f aca="false">D29+D36</f>
        <v>20103138.1666667</v>
      </c>
      <c r="E38" s="12" t="n">
        <f aca="false">E29+E36</f>
        <v>-30359966.8333333</v>
      </c>
      <c r="F38" s="12" t="n">
        <f aca="false">F29+F36</f>
        <v>103138.166666664</v>
      </c>
      <c r="G38" s="12" t="n">
        <f aca="false">G29+G36</f>
        <v>103138.166666664</v>
      </c>
      <c r="H38" s="12" t="n">
        <f aca="false">H29+H36</f>
        <v>103138.166666664</v>
      </c>
      <c r="I38" s="12" t="n">
        <f aca="false">I29+I36</f>
        <v>33103138.1666667</v>
      </c>
      <c r="J38" s="12" t="n">
        <f aca="false">J29+J36</f>
        <v>103138.166666664</v>
      </c>
      <c r="K38" s="12" t="n">
        <f aca="false">K29+K36</f>
        <v>-4896861.83333334</v>
      </c>
      <c r="L38" s="12" t="n">
        <f aca="false">L29+L36</f>
        <v>103138.166666664</v>
      </c>
      <c r="M38" s="12" t="n">
        <f aca="false">M29+M36</f>
        <v>103138.166666664</v>
      </c>
      <c r="N38" s="12" t="n">
        <f aca="false">N29+N36</f>
        <v>103138.166666664</v>
      </c>
      <c r="O38" s="12" t="n">
        <f aca="false">O29+O36</f>
        <v>11103138.1666667</v>
      </c>
      <c r="P38" s="12" t="n">
        <f aca="false">SUM(D38:O38)</f>
        <v>29774553</v>
      </c>
    </row>
    <row r="39" customFormat="false" ht="15" hidden="false" customHeight="false" outlineLevel="0" collapsed="false">
      <c r="B39" s="6" t="s">
        <v>250</v>
      </c>
      <c r="D39" s="8" t="n">
        <f aca="false">$C$5</f>
        <v>24390278</v>
      </c>
      <c r="E39" s="8" t="n">
        <f aca="false">D40</f>
        <v>44493416.1666667</v>
      </c>
      <c r="F39" s="8" t="n">
        <f aca="false">E40</f>
        <v>14133449.3333334</v>
      </c>
      <c r="G39" s="8" t="n">
        <f aca="false">F40</f>
        <v>14236587.5</v>
      </c>
      <c r="H39" s="8" t="n">
        <f aca="false">G40</f>
        <v>14339725.6666667</v>
      </c>
      <c r="I39" s="8" t="n">
        <f aca="false">H40</f>
        <v>14442863.8333334</v>
      </c>
      <c r="J39" s="8" t="n">
        <f aca="false">I40</f>
        <v>47546002</v>
      </c>
      <c r="K39" s="8" t="n">
        <f aca="false">J40</f>
        <v>47649140.1666667</v>
      </c>
      <c r="L39" s="8" t="n">
        <f aca="false">K40</f>
        <v>42752278.3333333</v>
      </c>
      <c r="M39" s="8" t="n">
        <f aca="false">L40</f>
        <v>42855416.5</v>
      </c>
      <c r="N39" s="8" t="n">
        <f aca="false">M40</f>
        <v>42958554.6666667</v>
      </c>
      <c r="O39" s="8" t="n">
        <f aca="false">N40</f>
        <v>43061692.8333333</v>
      </c>
    </row>
    <row r="40" customFormat="false" ht="15" hidden="false" customHeight="false" outlineLevel="0" collapsed="false">
      <c r="B40" s="18" t="s">
        <v>251</v>
      </c>
      <c r="D40" s="19" t="n">
        <f aca="false">D39+D38</f>
        <v>44493416.1666667</v>
      </c>
      <c r="E40" s="19" t="n">
        <f aca="false">E39+E38</f>
        <v>14133449.3333334</v>
      </c>
      <c r="F40" s="19" t="n">
        <f aca="false">F39+F38</f>
        <v>14236587.5</v>
      </c>
      <c r="G40" s="19" t="n">
        <f aca="false">G39+G38</f>
        <v>14339725.6666667</v>
      </c>
      <c r="H40" s="19" t="n">
        <f aca="false">H39+H38</f>
        <v>14442863.8333334</v>
      </c>
      <c r="I40" s="19" t="n">
        <f aca="false">I39+I38</f>
        <v>47546002</v>
      </c>
      <c r="J40" s="19" t="n">
        <f aca="false">J39+J38</f>
        <v>47649140.1666667</v>
      </c>
      <c r="K40" s="19" t="n">
        <f aca="false">K39+K38</f>
        <v>42752278.3333333</v>
      </c>
      <c r="L40" s="19" t="n">
        <f aca="false">L39+L38</f>
        <v>42855416.5</v>
      </c>
      <c r="M40" s="19" t="n">
        <f aca="false">M39+M38</f>
        <v>42958554.6666667</v>
      </c>
      <c r="N40" s="19" t="n">
        <f aca="false">N39+N38</f>
        <v>43061692.8333333</v>
      </c>
      <c r="O40" s="19" t="n">
        <f aca="false">O39+O38</f>
        <v>54164831</v>
      </c>
      <c r="P40" s="52" t="n">
        <f aca="false">O40</f>
        <v>54164831</v>
      </c>
    </row>
    <row r="41" customFormat="false" ht="15" hidden="false" customHeight="false" outlineLevel="0" collapsed="false">
      <c r="B41" s="66" t="s">
        <v>252</v>
      </c>
      <c r="D41" s="67" t="n">
        <f aca="false">IF(D40&lt;0,D40,0)</f>
        <v>0</v>
      </c>
      <c r="E41" s="67" t="n">
        <f aca="false">IF(E40&lt;0,E40,0)</f>
        <v>0</v>
      </c>
      <c r="F41" s="67" t="n">
        <f aca="false">IF(F40&lt;0,F40,0)</f>
        <v>0</v>
      </c>
      <c r="G41" s="67" t="n">
        <f aca="false">IF(G40&lt;0,G40,0)</f>
        <v>0</v>
      </c>
      <c r="H41" s="67" t="n">
        <f aca="false">IF(H40&lt;0,H40,0)</f>
        <v>0</v>
      </c>
      <c r="I41" s="67" t="n">
        <f aca="false">IF(I40&lt;0,I40,0)</f>
        <v>0</v>
      </c>
      <c r="J41" s="67" t="n">
        <f aca="false">IF(J40&lt;0,J40,0)</f>
        <v>0</v>
      </c>
      <c r="K41" s="67" t="n">
        <f aca="false">IF(K40&lt;0,K40,0)</f>
        <v>0</v>
      </c>
      <c r="L41" s="67" t="n">
        <f aca="false">IF(L40&lt;0,L40,0)</f>
        <v>0</v>
      </c>
      <c r="M41" s="67" t="n">
        <f aca="false">IF(M40&lt;0,M40,0)</f>
        <v>0</v>
      </c>
      <c r="N41" s="67" t="n">
        <f aca="false">IF(N40&lt;0,N40,0)</f>
        <v>0</v>
      </c>
      <c r="O41" s="67" t="n">
        <f aca="false">IF(O40&lt;0,O40,0)</f>
        <v>0</v>
      </c>
      <c r="P41" s="67" t="n">
        <f aca="false">MIN(D41:O41)</f>
        <v>0</v>
      </c>
      <c r="Q41" s="30" t="s">
        <v>253</v>
      </c>
    </row>
    <row r="43" customFormat="false" ht="15" hidden="false" customHeight="false" outlineLevel="0" collapsed="false">
      <c r="B43" s="3" t="s">
        <v>254</v>
      </c>
    </row>
    <row r="44" customFormat="false" ht="15" hidden="false" customHeight="false" outlineLevel="0" collapsed="false">
      <c r="B44" s="3" t="s">
        <v>255</v>
      </c>
    </row>
    <row r="45" customFormat="false" ht="15" hidden="false" customHeight="false" outlineLevel="0" collapsed="false">
      <c r="B45" s="3" t="s">
        <v>256</v>
      </c>
    </row>
    <row r="46" customFormat="false" ht="15" hidden="false" customHeight="false" outlineLevel="0" collapsed="false">
      <c r="B46" s="30" t="s">
        <v>257</v>
      </c>
    </row>
    <row r="47" customFormat="false" ht="15" hidden="false" customHeight="false" outlineLevel="0" collapsed="false">
      <c r="B47" s="30" t="s">
        <v>258</v>
      </c>
    </row>
    <row r="49" customFormat="false" ht="15" hidden="false" customHeight="false" outlineLevel="0" collapsed="false">
      <c r="B49" s="39" t="s">
        <v>259</v>
      </c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</row>
    <row r="50" customFormat="false" ht="15" hidden="false" customHeight="false" outlineLevel="0" collapsed="false">
      <c r="B50" s="22" t="s">
        <v>260</v>
      </c>
      <c r="C50" s="23" t="s">
        <v>261</v>
      </c>
      <c r="D50" s="23" t="s">
        <v>262</v>
      </c>
      <c r="E50" s="23" t="s">
        <v>263</v>
      </c>
      <c r="F50" s="22" t="s">
        <v>264</v>
      </c>
    </row>
    <row r="51" customFormat="false" ht="15" hidden="false" customHeight="false" outlineLevel="0" collapsed="false">
      <c r="B51" s="53" t="s">
        <v>265</v>
      </c>
      <c r="C51" s="34" t="n">
        <f aca="false">O40</f>
        <v>54164831</v>
      </c>
      <c r="D51" s="34" t="n">
        <f aca="false">MIN(D40:O40)</f>
        <v>14133449.3333334</v>
      </c>
      <c r="E51" s="24" t="n">
        <f aca="false">IF(C51&lt;0,-MIN(C51,D51)+$C$55,MAX(0,-D51+$C$55))</f>
        <v>21537787.7333333</v>
      </c>
      <c r="F51" s="3" t="s">
        <v>266</v>
      </c>
    </row>
    <row r="52" customFormat="false" ht="15" hidden="false" customHeight="false" outlineLevel="0" collapsed="false">
      <c r="B52" s="68" t="s">
        <v>267</v>
      </c>
      <c r="C52" s="67" t="n">
        <f aca="false">C51-(P16+P18)</f>
        <v>10164831</v>
      </c>
      <c r="D52" s="67" t="n">
        <f aca="false">D51-(P16+P18)</f>
        <v>-29866550.6666666</v>
      </c>
      <c r="E52" s="24" t="n">
        <f aca="false">IF(C52&lt;0,-MIN(C52,D52)+$C$55,MAX(0,-D52+$C$55))</f>
        <v>65537787.7333333</v>
      </c>
      <c r="F52" s="3" t="s">
        <v>268</v>
      </c>
    </row>
    <row r="53" customFormat="false" ht="15" hidden="false" customHeight="false" outlineLevel="0" collapsed="false">
      <c r="B53" s="68" t="s">
        <v>269</v>
      </c>
      <c r="C53" s="67" t="n">
        <f aca="false">C51-23333333*(1+$C$6)*12</f>
        <v>-253835164.6</v>
      </c>
      <c r="D53" s="67" t="n">
        <f aca="false">D51-23333333*(1+$C$6)*12</f>
        <v>-293866546.266667</v>
      </c>
      <c r="E53" s="24" t="n">
        <f aca="false">IF(C53&lt;0,-MIN(C53,D53)+$C$55,MAX(0,-D53+$C$55))</f>
        <v>329537783.333333</v>
      </c>
      <c r="F53" s="3" t="s">
        <v>270</v>
      </c>
    </row>
    <row r="54" customFormat="false" ht="15" hidden="false" customHeight="false" outlineLevel="0" collapsed="false">
      <c r="B54" s="68" t="s">
        <v>271</v>
      </c>
      <c r="C54" s="67" t="n">
        <f aca="false">C51-(5043131-$C$9)*12</f>
        <v>25593407</v>
      </c>
      <c r="D54" s="67" t="n">
        <f aca="false">D51-(5043131-$C$9)*12</f>
        <v>-14437974.6666666</v>
      </c>
      <c r="E54" s="24" t="n">
        <f aca="false">IF(C54&lt;0,-MIN(C54,D54)+$C$55,MAX(0,-D54+$C$55))</f>
        <v>50109211.7333333</v>
      </c>
      <c r="F54" s="3" t="s">
        <v>272</v>
      </c>
    </row>
    <row r="55" customFormat="false" ht="15" hidden="false" customHeight="false" outlineLevel="0" collapsed="false">
      <c r="B55" s="6" t="s">
        <v>273</v>
      </c>
      <c r="C55" s="51" t="n">
        <f aca="false">③FY2027月次推移!$C$6*(1+$C$6)</f>
        <v>35671237.0666667</v>
      </c>
      <c r="F55" s="3" t="s">
        <v>274</v>
      </c>
    </row>
    <row r="57" customFormat="false" ht="15" hidden="false" customHeight="false" outlineLevel="0" collapsed="false">
      <c r="B57" s="30" t="s">
        <v>275</v>
      </c>
    </row>
    <row r="58" customFormat="false" ht="15" hidden="false" customHeight="false" outlineLevel="0" collapsed="false">
      <c r="B58" s="30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2026-08-22T07:29:38Z</dcterms:created>
  <dc:creator>openpyxl</dc:creator>
  <dc:description/>
  <dc:language>en-US</dc:language>
  <cp:lastModifiedBy/>
  <dcterms:modified xsi:type="dcterms:W3CDTF">2026-08-22T07:29:52Z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