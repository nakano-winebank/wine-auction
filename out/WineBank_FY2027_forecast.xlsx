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  <sheet name="⑥ワイン仕入・在庫計画" sheetId="6" state="visible" r:id="rId8"/>
    <sheet name="⑦FY2027資金繰り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<sst xmlns="http://schemas.openxmlformats.org/spreadsheetml/2006/main" count="360" uniqueCount="288">
  <si>
    <r>
      <rPr>
        <b val="true"/>
        <sz val="15"/>
        <rFont val="Arial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Arial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Arial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</si>
  <si>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595959"/>
        <rFont val="WenQuanYi Zen Hei"/>
        <family val="2"/>
      </rPr>
      <t xml:space="preserve">ベース：飲食撤退後の実力値（</t>
    </r>
    <r>
      <rPr>
        <sz val="10"/>
        <color rgb="FF595959"/>
        <rFont val="Arial"/>
        <family val="0"/>
        <charset val="1"/>
      </rPr>
      <t xml:space="preserve">2026/04-06 </t>
    </r>
    <r>
      <rPr>
        <sz val="10"/>
        <color rgb="FF595959"/>
        <rFont val="WenQuanYi Zen Hei"/>
        <family val="2"/>
      </rPr>
      <t xml:space="preserve">実績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か月平均）を横ばい延伸</t>
    </r>
  </si>
  <si>
    <r>
      <rPr>
        <sz val="9"/>
        <color rgb="FF595959"/>
        <rFont val="WenQuanYi Zen Hei"/>
        <family val="2"/>
      </rPr>
      <t xml:space="preserve">単位：円（税別）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（銀行様）月次／決算報告書 第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</si>
  <si>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</si>
  <si>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Arial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</si>
  <si>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撤退後実力値
横ばいのみ</t>
    </r>
  </si>
  <si>
    <r>
      <rPr>
        <b val="true"/>
        <sz val="11"/>
        <color rgb="FFFFFFFF"/>
        <rFont val="Arial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Arial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</si>
  <si>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経常利益
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</t>
    </r>
  </si>
  <si>
    <t xml:space="preserve">コメント</t>
  </si>
  <si>
    <t xml:space="preserve">既存事業 売上</t>
  </si>
  <si>
    <t xml:space="preserve">売上総利益（既存事業）</t>
  </si>
  <si>
    <t xml:space="preserve">＋上乗せ案件（営業収益）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</si>
  <si>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＋クルーザー</t>
    </r>
    <r>
      <rPr>
        <sz val="9"/>
        <color rgb="FF595959"/>
        <rFont val="Arial"/>
        <family val="0"/>
        <charset val="1"/>
      </rPr>
      <t xml:space="preserve">20</t>
    </r>
  </si>
  <si>
    <t xml:space="preserve">＋追加で必要な粗利</t>
  </si>
  <si>
    <r>
      <rPr>
        <sz val="9"/>
        <color rgb="FF595959"/>
        <rFont val="WenQuanYi Zen Hei"/>
        <family val="2"/>
      </rPr>
      <t xml:space="preserve">経常利益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億円の達成に必要な粗利の上積み</t>
    </r>
  </si>
  <si>
    <t xml:space="preserve">売上総利益 合計</t>
  </si>
  <si>
    <t xml:space="preserve">販管費</t>
  </si>
  <si>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</t>
    </r>
    <r>
      <rPr>
        <sz val="9"/>
        <color rgb="FF595959"/>
        <rFont val="Arial"/>
        <family val="0"/>
        <charset val="1"/>
      </rPr>
      <t xml:space="preserve">×12</t>
    </r>
  </si>
  <si>
    <t xml:space="preserve">営業利益</t>
  </si>
  <si>
    <t xml:space="preserve">営業外収益</t>
  </si>
  <si>
    <t xml:space="preserve">クルーザー事業利益は営業収益に計上</t>
  </si>
  <si>
    <t xml:space="preserve">営業外費用</t>
  </si>
  <si>
    <t xml:space="preserve">経常利益</t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</si>
  <si>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は目標経常利益を固定して逆算</t>
    </r>
  </si>
  <si>
    <t xml:space="preserve">法人税等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</si>
  <si>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百万円により実質非課税</t>
    </r>
  </si>
  <si>
    <t xml:space="preserve">当期純利益</t>
  </si>
  <si>
    <r>
      <rPr>
        <b val="true"/>
        <sz val="12"/>
        <rFont val="WenQuanYi Zen Hei"/>
        <family val="2"/>
      </rPr>
      <t xml:space="preserve">【経常利益</t>
    </r>
    <r>
      <rPr>
        <b val="true"/>
        <sz val="12"/>
        <rFont val="Arial"/>
        <family val="0"/>
        <charset val="1"/>
      </rPr>
      <t xml:space="preserve">1</t>
    </r>
    <r>
      <rPr>
        <b val="true"/>
        <sz val="12"/>
        <rFont val="WenQuanYi Zen Hei"/>
        <family val="2"/>
      </rPr>
      <t xml:space="preserve">億円に必要な追加売上】</t>
    </r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</si>
  <si>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</si>
  <si>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Arial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</si>
  <si>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WenQuanYi Zen Hei"/>
        <family val="2"/>
      </rPr>
      <t xml:space="preserve">経常利益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億円に必要な追加売上</t>
    </r>
  </si>
  <si>
    <t xml:space="preserve">【判定】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</si>
  <si>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：撤退後の実力値を横ばいで延ばすだけでは営業利益▲</t>
    </r>
    <r>
      <rPr>
        <sz val="10"/>
        <rFont val="Arial"/>
        <family val="0"/>
        <charset val="1"/>
      </rPr>
      <t xml:space="preserve">99.6</t>
    </r>
    <r>
      <rPr>
        <sz val="10"/>
        <rFont val="WenQuanYi Zen Hei"/>
        <family val="2"/>
      </rPr>
      <t xml:space="preserve">百万円・経常利益▲</t>
    </r>
    <r>
      <rPr>
        <sz val="10"/>
        <rFont val="Arial"/>
        <family val="0"/>
        <charset val="1"/>
      </rPr>
      <t xml:space="preserve">114.6</t>
    </r>
    <r>
      <rPr>
        <sz val="10"/>
        <rFont val="WenQuanYi Zen Hei"/>
        <family val="2"/>
      </rPr>
      <t xml:space="preserve">百万円。</t>
    </r>
  </si>
  <si>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Arial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百万円を全額営業収益に計上すると営業利益＋</t>
    </r>
    <r>
      <rPr>
        <sz val="10"/>
        <rFont val="Arial"/>
        <family val="0"/>
        <charset val="1"/>
      </rPr>
      <t xml:space="preserve">32.9</t>
    </r>
    <r>
      <rPr>
        <sz val="10"/>
        <rFont val="WenQuanYi Zen Hei"/>
        <family val="2"/>
      </rPr>
      <t xml:space="preserve">百万円・経常利益＋</t>
    </r>
    <r>
      <rPr>
        <sz val="10"/>
        <rFont val="Arial"/>
        <family val="0"/>
        <charset val="1"/>
      </rPr>
      <t xml:space="preserve">17.9</t>
    </r>
    <r>
      <rPr>
        <sz val="10"/>
        <rFont val="WenQuanYi Zen Hei"/>
        <family val="2"/>
      </rPr>
      <t xml:space="preserve">百万円で黒字化する。</t>
    </r>
  </si>
  <si>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：経常利益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億円には、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からさらに粗利</t>
    </r>
    <r>
      <rPr>
        <sz val="10"/>
        <rFont val="Arial"/>
        <family val="0"/>
        <charset val="1"/>
      </rPr>
      <t xml:space="preserve">82.1</t>
    </r>
    <r>
      <rPr>
        <sz val="10"/>
        <rFont val="WenQuanYi Zen Hei"/>
        <family val="2"/>
      </rPr>
      <t xml:space="preserve">百万円の上積みが必要。追加売上は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5,918</t>
    </r>
    <r>
      <rPr>
        <sz val="10"/>
        <rFont val="WenQuanYi Zen Hei"/>
        <family val="2"/>
      </rPr>
      <t xml:space="preserve">万円。</t>
    </r>
  </si>
  <si>
    <r>
      <rPr>
        <sz val="10"/>
        <rFont val="WenQuanYi Zen Hei"/>
        <family val="2"/>
      </rPr>
      <t xml:space="preserve">　　これは新規顧客売上計画（</t>
    </r>
    <r>
      <rPr>
        <sz val="10"/>
        <rFont val="Arial"/>
        <family val="0"/>
        <charset val="1"/>
      </rPr>
      <t xml:space="preserve">1,066</t>
    </r>
    <r>
      <rPr>
        <sz val="10"/>
        <rFont val="WenQuanYi Zen Hei"/>
        <family val="2"/>
      </rPr>
      <t xml:space="preserve">百万円）の</t>
    </r>
    <r>
      <rPr>
        <sz val="10"/>
        <rFont val="Arial"/>
        <family val="0"/>
        <charset val="1"/>
      </rPr>
      <t xml:space="preserve">14.9%</t>
    </r>
    <r>
      <rPr>
        <sz val="10"/>
        <rFont val="WenQuanYi Zen Hei"/>
        <family val="2"/>
      </rPr>
      <t xml:space="preserve">にあたる。</t>
    </r>
  </si>
  <si>
    <r>
      <rPr>
        <sz val="10"/>
        <rFont val="WenQuanYi Zen Hei"/>
        <family val="2"/>
      </rPr>
      <t xml:space="preserve">※クルーザー事業利益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百万円は投資損益ではなく事業利益のため、営業収益に計上（</t>
    </r>
    <r>
      <rPr>
        <sz val="10"/>
        <rFont val="Arial"/>
        <family val="0"/>
        <charset val="1"/>
      </rPr>
      <t xml:space="preserve">2027/03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百万円、</t>
    </r>
    <r>
      <rPr>
        <sz val="10"/>
        <rFont val="Arial"/>
        <family val="0"/>
        <charset val="1"/>
      </rPr>
      <t xml:space="preserve">2027/09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百万円）。</t>
    </r>
  </si>
  <si>
    <r>
      <rPr>
        <sz val="10"/>
        <rFont val="WenQuanYi Zen Hei"/>
        <family val="2"/>
      </rPr>
      <t xml:space="preserve">※上場関連コストは</t>
    </r>
    <r>
      <rPr>
        <sz val="10"/>
        <rFont val="Arial"/>
        <family val="0"/>
        <charset val="1"/>
      </rPr>
      <t xml:space="preserve">FY2027</t>
    </r>
    <r>
      <rPr>
        <sz val="10"/>
        <rFont val="WenQuanYi Zen Hei"/>
        <family val="2"/>
      </rPr>
      <t xml:space="preserve">は計上しない方針のため、項目自体を削除。</t>
    </r>
  </si>
  <si>
    <r>
      <rPr>
        <sz val="10"/>
        <rFont val="WenQuanYi Zen Hei"/>
        <family val="2"/>
      </rPr>
      <t xml:space="preserve">※上乗せ案件のうち約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百万円はグループ内取引。銀行は正常化調整で控除する可能性が高い。</t>
    </r>
  </si>
  <si>
    <r>
      <rPr>
        <b val="true"/>
        <sz val="13"/>
        <rFont val="Arial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</si>
  <si>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595959"/>
        <rFont val="WenQuanYi Zen Hei"/>
        <family val="2"/>
      </rPr>
      <t xml:space="preserve">青字＝実績（</t>
    </r>
    <r>
      <rPr>
        <sz val="9"/>
        <color rgb="FF595959"/>
        <rFont val="Arial"/>
        <family val="0"/>
        <charset val="1"/>
      </rPr>
      <t xml:space="preserve">2026/06</t>
    </r>
    <r>
      <rPr>
        <sz val="9"/>
        <color rgb="FF595959"/>
        <rFont val="WenQuanYi Zen Hei"/>
        <family val="2"/>
      </rPr>
      <t xml:space="preserve">まで）　灰字斜体＝見込（</t>
    </r>
    <r>
      <rPr>
        <sz val="9"/>
        <color rgb="FF595959"/>
        <rFont val="Arial"/>
        <family val="0"/>
        <charset val="1"/>
      </rPr>
      <t xml:space="preserve">2026/07</t>
    </r>
    <r>
      <rPr>
        <sz val="9"/>
        <color rgb="FF595959"/>
        <rFont val="WenQuanYi Zen Hei"/>
        <family val="2"/>
      </rPr>
      <t xml:space="preserve">以降・同一値が並ぶプラグ）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（銀行様）全社シート</t>
    </r>
  </si>
  <si>
    <r>
      <rPr>
        <sz val="9"/>
        <color rgb="FFC00000"/>
        <rFont val="WenQuanYi Zen Hei"/>
        <family val="2"/>
      </rPr>
      <t xml:space="preserve">飲食事業の撤退により、</t>
    </r>
    <r>
      <rPr>
        <sz val="9"/>
        <color rgb="FFC00000"/>
        <rFont val="Arial"/>
        <family val="0"/>
        <charset val="1"/>
      </rPr>
      <t xml:space="preserve">2026/04</t>
    </r>
    <r>
      <rPr>
        <sz val="9"/>
        <color rgb="FFC00000"/>
        <rFont val="WenQuanYi Zen Hei"/>
        <family val="2"/>
      </rPr>
      <t xml:space="preserve">以降が撤退後の実力値。</t>
    </r>
    <r>
      <rPr>
        <sz val="9"/>
        <color rgb="FFC00000"/>
        <rFont val="Arial"/>
        <family val="0"/>
        <charset val="1"/>
      </rPr>
      <t xml:space="preserve">2025/10-2026/03</t>
    </r>
    <r>
      <rPr>
        <sz val="9"/>
        <color rgb="FFC00000"/>
        <rFont val="WenQuanYi Zen Hei"/>
        <family val="2"/>
      </rPr>
      <t xml:space="preserve">には撤退店舗の費用が含まれる。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</si>
  <si>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</si>
  <si>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</si>
  <si>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</si>
  <si>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</si>
  <si>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</si>
  <si>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</si>
  <si>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</si>
  <si>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</si>
  <si>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</si>
  <si>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</si>
  <si>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</si>
  <si>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</si>
  <si>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</si>
  <si>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Arial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</si>
  <si>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Arial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</si>
  <si>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Arial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</si>
  <si>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</si>
  <si>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</si>
  <si>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</si>
  <si>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</si>
  <si>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</si>
  <si>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</si>
  <si>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</si>
  <si>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</si>
  <si>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</si>
  <si>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</si>
  <si>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</si>
  <si>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</si>
  <si>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</si>
  <si>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</si>
  <si>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</si>
  <si>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</si>
  <si>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</si>
  <si>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</si>
  <si>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</si>
  <si>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</si>
  <si>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</si>
  <si>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</si>
  <si>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</si>
  <si>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</si>
  <si>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</si>
  <si>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</si>
  <si>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</si>
  <si>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t xml:space="preserve">販管費 合計</t>
  </si>
  <si>
    <r>
      <rPr>
        <sz val="9"/>
        <color rgb="FFC00000"/>
        <rFont val="WenQuanYi Zen Hei"/>
        <family val="2"/>
      </rPr>
      <t xml:space="preserve">※「差 ②</t>
    </r>
    <r>
      <rPr>
        <sz val="9"/>
        <color rgb="FFC00000"/>
        <rFont val="Arial"/>
        <family val="0"/>
        <charset val="1"/>
      </rPr>
      <t xml:space="preserve">-①</t>
    </r>
    <r>
      <rPr>
        <sz val="9"/>
        <color rgb="FFC00000"/>
        <rFont val="WenQuanYi Zen Hei"/>
        <family val="2"/>
      </rPr>
      <t xml:space="preserve">」がマイナスの科目＝飲食撤退および固定費削減により減少した費用。合計で月▲</t>
    </r>
    <r>
      <rPr>
        <sz val="9"/>
        <color rgb="FFC00000"/>
        <rFont val="Arial"/>
        <family val="0"/>
        <charset val="1"/>
      </rPr>
      <t xml:space="preserve">8.58</t>
    </r>
    <r>
      <rPr>
        <sz val="9"/>
        <color rgb="FFC00000"/>
        <rFont val="WenQuanYi Zen Hei"/>
        <family val="2"/>
      </rPr>
      <t xml:space="preserve">百万円（年▲</t>
    </r>
    <r>
      <rPr>
        <sz val="9"/>
        <color rgb="FFC00000"/>
        <rFont val="Arial"/>
        <family val="0"/>
        <charset val="1"/>
      </rPr>
      <t xml:space="preserve">103</t>
    </r>
    <r>
      <rPr>
        <sz val="9"/>
        <color rgb="FFC00000"/>
        <rFont val="WenQuanYi Zen Hei"/>
        <family val="2"/>
      </rPr>
      <t xml:space="preserve">百万円）。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</si>
  <si>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</si>
  <si>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595959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595959"/>
        <rFont val="Arial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</si>
  <si>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】ベース：飲食撤退後の実力値（</t>
    </r>
    <r>
      <rPr>
        <b val="true"/>
        <sz val="11"/>
        <color rgb="FFFFFFFF"/>
        <rFont val="Arial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</si>
  <si>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</si>
  <si>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</si>
  <si>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以前は飲食撤退店舗の売上・費用を含むため基準から除外（貴社ご指摘）。</t>
    </r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</si>
  <si>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</si>
  <si>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Arial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</si>
  <si>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</t>
  </si>
  <si>
    <t xml:space="preserve">金額</t>
  </si>
  <si>
    <t xml:space="preserve">損益計上区分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</si>
  <si>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</si>
  <si>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営業収益（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か月按分）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</si>
  <si>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</si>
  <si>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</si>
  <si>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</si>
  <si>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</si>
  <si>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インセンティブ　</t>
    </r>
    <r>
      <rPr>
        <sz val="11"/>
        <rFont val="Arial"/>
        <family val="0"/>
        <charset val="1"/>
      </rPr>
      <t xml:space="preserve">Apicius2 shot</t>
    </r>
  </si>
  <si>
    <t xml:space="preserve">営業収益（成功報酬・一時）</t>
  </si>
  <si>
    <r>
      <rPr>
        <sz val="11"/>
        <rFont val="WenQuanYi Zen Hei"/>
        <family val="2"/>
      </rPr>
      <t xml:space="preserve">クルーザー事業利益　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</si>
  <si>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営業収益（</t>
    </r>
    <r>
      <rPr>
        <sz val="11"/>
        <rFont val="Arial"/>
        <family val="0"/>
        <charset val="1"/>
      </rPr>
      <t xml:space="preserve">2027/03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</si>
  <si>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クルーザー事業利益　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</si>
  <si>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営業収益（</t>
    </r>
    <r>
      <rPr>
        <sz val="11"/>
        <rFont val="Arial"/>
        <family val="0"/>
        <charset val="1"/>
      </rPr>
      <t xml:space="preserve">2027/09</t>
    </r>
    <r>
      <rPr>
        <sz val="11"/>
        <rFont val="WenQuanYi Zen Hei"/>
        <family val="2"/>
      </rPr>
      <t xml:space="preserve">）</t>
    </r>
  </si>
  <si>
    <t xml:space="preserve">合計</t>
  </si>
  <si>
    <r>
      <rPr>
        <sz val="9"/>
        <color rgb="FFC00000"/>
        <rFont val="WenQuanYi Zen Hei"/>
        <family val="2"/>
      </rPr>
      <t xml:space="preserve">※期間表記は</t>
    </r>
    <r>
      <rPr>
        <sz val="9"/>
        <color rgb="FFC00000"/>
        <rFont val="Arial"/>
        <family val="0"/>
        <charset val="1"/>
      </rPr>
      <t xml:space="preserve">2026/09-2027/08</t>
    </r>
    <r>
      <rPr>
        <sz val="9"/>
        <color rgb="FFC00000"/>
        <rFont val="WenQuanYi Zen Hei"/>
        <family val="2"/>
      </rPr>
      <t xml:space="preserve">。決算期</t>
    </r>
    <r>
      <rPr>
        <sz val="9"/>
        <color rgb="FFC00000"/>
        <rFont val="Arial"/>
        <family val="0"/>
        <charset val="1"/>
      </rPr>
      <t xml:space="preserve">(2026/10-2027/09)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か月ズレるため全額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</si>
  <si>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</si>
  <si>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C00000"/>
        <rFont val="WenQuanYi Zen Hei"/>
        <family val="2"/>
      </rPr>
      <t xml:space="preserve">※うち約</t>
    </r>
    <r>
      <rPr>
        <sz val="9"/>
        <color rgb="FFC00000"/>
        <rFont val="Arial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百万円はグループ内取引（</t>
    </r>
    <r>
      <rPr>
        <sz val="9"/>
        <color rgb="FFC00000"/>
        <rFont val="Arial"/>
        <family val="0"/>
        <charset val="1"/>
      </rPr>
      <t xml:space="preserve">Value table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Prime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Apicius2</t>
    </r>
    <r>
      <rPr>
        <sz val="9"/>
        <color rgb="FFC00000"/>
        <rFont val="WenQuanYi Zen Hei"/>
        <family val="2"/>
      </rPr>
      <t xml:space="preserve">）。</t>
    </r>
  </si>
  <si>
    <t xml:space="preserve">　うち 営業外収益</t>
  </si>
  <si>
    <r>
      <rPr>
        <sz val="9"/>
        <color rgb="FFC00000"/>
        <rFont val="WenQuanYi Zen Hei"/>
        <family val="2"/>
      </rPr>
      <t xml:space="preserve">クルーザー事業利益は投資損益ではなく事業利益のため、全額を営業収益に計上。営業外収益は</t>
    </r>
    <r>
      <rPr>
        <sz val="9"/>
        <color rgb="FFC00000"/>
        <rFont val="Arial"/>
        <family val="0"/>
        <charset val="1"/>
      </rPr>
      <t xml:space="preserve">0</t>
    </r>
    <r>
      <rPr>
        <sz val="9"/>
        <color rgb="FFC00000"/>
        <rFont val="WenQuanYi Zen Hei"/>
        <family val="2"/>
      </rPr>
      <t xml:space="preserve">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</si>
  <si>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</si>
  <si>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営業外費用（支払利息等・年額）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</si>
  <si>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</si>
  <si>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sz val="11"/>
        <rFont val="WenQuanYi Zen Hei"/>
        <family val="2"/>
      </rPr>
      <t xml:space="preserve">インセンティブ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</si>
  <si>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</si>
  <si>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クルーザー事業利益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 計上月</t>
    </r>
  </si>
  <si>
    <r>
      <rPr>
        <sz val="11"/>
        <rFont val="WenQuanYi Zen Hei"/>
        <family val="2"/>
      </rPr>
      <t xml:space="preserve">クルーザー事業利益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 計上月</t>
    </r>
  </si>
  <si>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月（期末までに計上）</t>
    </r>
  </si>
  <si>
    <t xml:space="preserve">目標経常利益</t>
  </si>
  <si>
    <r>
      <rPr>
        <sz val="9"/>
        <color rgb="FF595959"/>
        <rFont val="WenQuanYi Zen Hei"/>
        <family val="2"/>
      </rPr>
      <t xml:space="preserve">シナリオ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の目標。営業利益ではなく経常利益で設定。</t>
    </r>
  </si>
  <si>
    <r>
      <rPr>
        <sz val="11"/>
        <rFont val="WenQuanYi Zen Hei"/>
        <family val="2"/>
      </rPr>
      <t xml:space="preserve">新規顧客売上 計画額（</t>
    </r>
    <r>
      <rPr>
        <sz val="11"/>
        <rFont val="Arial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</si>
  <si>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</si>
  <si>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r>
      <rPr>
        <sz val="11"/>
        <rFont val="WenQuanYi Zen Hei"/>
        <family val="2"/>
      </rPr>
      <t xml:space="preserve">シナリオ選択（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＝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上乗せのみ／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経常利益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億円）</t>
    </r>
  </si>
  <si>
    <t xml:space="preserve">③月次推移・⑦資金繰り表に反映</t>
  </si>
  <si>
    <r>
      <rPr>
        <sz val="11"/>
        <rFont val="WenQuanYi Zen Hei"/>
        <family val="2"/>
      </rPr>
      <t xml:space="preserve">ワイン仕入 方針（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＝在庫横ばい／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Arial"/>
        <family val="0"/>
        <charset val="1"/>
      </rPr>
      <t xml:space="preserve">FY2026</t>
    </r>
    <r>
      <rPr>
        <sz val="11"/>
        <rFont val="WenQuanYi Zen Hei"/>
        <family val="2"/>
      </rPr>
      <t xml:space="preserve">と同額）</t>
    </r>
  </si>
  <si>
    <t xml:space="preserve">⑥仕入・在庫計画に反映</t>
  </si>
  <si>
    <r>
      <rPr>
        <sz val="11"/>
        <rFont val="Arial"/>
        <family val="0"/>
        <charset val="1"/>
      </rPr>
      <t xml:space="preserve">FY2026 </t>
    </r>
    <r>
      <rPr>
        <sz val="11"/>
        <rFont val="WenQuanYi Zen Hei"/>
        <family val="2"/>
      </rPr>
      <t xml:space="preserve">年間仕入額</t>
    </r>
  </si>
  <si>
    <r>
      <rPr>
        <sz val="9"/>
        <color rgb="FF595959"/>
        <rFont val="WenQuanYi Zen Hei"/>
        <family val="2"/>
      </rPr>
      <t xml:space="preserve">売上原価</t>
    </r>
    <r>
      <rPr>
        <sz val="9"/>
        <color rgb="FF595959"/>
        <rFont val="Arial"/>
        <family val="0"/>
        <charset val="1"/>
      </rPr>
      <t xml:space="preserve">479,066,414</t>
    </r>
    <r>
      <rPr>
        <sz val="9"/>
        <color rgb="FF595959"/>
        <rFont val="WenQuanYi Zen Hei"/>
        <family val="2"/>
      </rPr>
      <t xml:space="preserve">＋在庫増減▲</t>
    </r>
    <r>
      <rPr>
        <sz val="9"/>
        <color rgb="FF595959"/>
        <rFont val="Arial"/>
        <family val="0"/>
        <charset val="1"/>
      </rPr>
      <t xml:space="preserve">60,000,000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480→420</t>
    </r>
    <r>
      <rPr>
        <sz val="9"/>
        <color rgb="FF595959"/>
        <rFont val="WenQuanYi Zen Hei"/>
        <family val="2"/>
      </rPr>
      <t xml:space="preserve">百万円）</t>
    </r>
  </si>
  <si>
    <t xml:space="preserve">均等割のみ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</si>
  <si>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百万円（</t>
    </r>
    <r>
      <rPr>
        <sz val="9"/>
        <color rgb="FF595959"/>
        <rFont val="Arial"/>
        <family val="0"/>
        <charset val="1"/>
      </rPr>
      <t xml:space="preserve">FY2025▲127.4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FY2026▲124.8</t>
    </r>
    <r>
      <rPr>
        <sz val="9"/>
        <color rgb="FF595959"/>
        <rFont val="WenQuanYi Zen Hei"/>
        <family val="2"/>
      </rPr>
      <t xml:space="preserve">）。資本金</t>
    </r>
    <r>
      <rPr>
        <sz val="9"/>
        <color rgb="FF595959"/>
        <rFont val="Arial"/>
        <family val="0"/>
        <charset val="1"/>
      </rPr>
      <t xml:space="preserve">1,000</t>
    </r>
    <r>
      <rPr>
        <sz val="9"/>
        <color rgb="FF595959"/>
        <rFont val="WenQuanYi Zen Hei"/>
        <family val="2"/>
      </rPr>
      <t xml:space="preserve">万円の中小法人は所得の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控除可。</t>
    </r>
  </si>
  <si>
    <r>
      <rPr>
        <b val="true"/>
        <sz val="13"/>
        <rFont val="Arial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②前提の「シナリオ選択」で </t>
    </r>
    <r>
      <rPr>
        <b val="true"/>
        <sz val="13"/>
        <rFont val="Arial"/>
        <family val="0"/>
        <charset val="1"/>
      </rPr>
      <t xml:space="preserve">B</t>
    </r>
    <r>
      <rPr>
        <b val="true"/>
        <sz val="13"/>
        <rFont val="WenQuanYi Zen Hei"/>
        <family val="2"/>
      </rPr>
      <t xml:space="preserve">（上乗せのみ）／</t>
    </r>
    <r>
      <rPr>
        <b val="true"/>
        <sz val="13"/>
        <rFont val="Arial"/>
        <family val="0"/>
        <charset val="1"/>
      </rPr>
      <t xml:space="preserve">C</t>
    </r>
    <r>
      <rPr>
        <b val="true"/>
        <sz val="13"/>
        <rFont val="WenQuanYi Zen Hei"/>
        <family val="2"/>
      </rPr>
      <t xml:space="preserve">（経常利益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億円）を切替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</si>
  <si>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列＝月次ベース（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実績平均、④シートから自動リンク）。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</si>
  <si>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Arial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Arial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</si>
  <si>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</si>
  <si>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</si>
  <si>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</si>
  <si>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</si>
  <si>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</si>
  <si>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</si>
  <si>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</si>
  <si>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</si>
  <si>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</si>
  <si>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</si>
  <si>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</si>
  <si>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</si>
  <si>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</si>
  <si>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</si>
  <si>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r>
      <rPr>
        <sz val="11"/>
        <rFont val="WenQuanYi Zen Hei"/>
        <family val="2"/>
      </rPr>
      <t xml:space="preserve">追加売上（シナリオ</t>
    </r>
    <r>
      <rPr>
        <sz val="11"/>
        <rFont val="Arial"/>
        <family val="0"/>
        <charset val="1"/>
      </rPr>
      <t xml:space="preserve">C</t>
    </r>
    <r>
      <rPr>
        <sz val="11"/>
        <rFont val="WenQuanYi Zen Hei"/>
        <family val="2"/>
      </rPr>
      <t xml:space="preserve">）</t>
    </r>
  </si>
  <si>
    <t xml:space="preserve">売上 合計</t>
  </si>
  <si>
    <t xml:space="preserve">　売上原価</t>
  </si>
  <si>
    <t xml:space="preserve">既存事業 売上総利益</t>
  </si>
  <si>
    <t xml:space="preserve">追加売上 総利益</t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</si>
  <si>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</si>
  <si>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</si>
  <si>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</si>
  <si>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</si>
  <si>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</si>
  <si>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＋インセンティブ </t>
    </r>
    <r>
      <rPr>
        <sz val="11"/>
        <rFont val="Arial"/>
        <family val="0"/>
        <charset val="1"/>
      </rPr>
      <t xml:space="preserve">Apicius2 shot</t>
    </r>
  </si>
  <si>
    <t xml:space="preserve">＋クルーザー事業利益</t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</si>
  <si>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</si>
  <si>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</si>
  <si>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</si>
  <si>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</si>
  <si>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595959"/>
        <rFont val="WenQuanYi Zen Hei"/>
        <family val="2"/>
      </rPr>
      <t xml:space="preserve">※既存事業の売上・粗利・販管費は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</si>
  <si>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595959"/>
        <rFont val="WenQuanYi Zen Hei"/>
        <family val="2"/>
      </rPr>
      <t xml:space="preserve">※経営指導料は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か月按分。インセンティブとクルーザー事業利益は②前提で指定した月に計上（クルーザーは</t>
    </r>
    <r>
      <rPr>
        <sz val="9"/>
        <color rgb="FF595959"/>
        <rFont val="Arial"/>
        <family val="0"/>
        <charset val="1"/>
      </rPr>
      <t xml:space="preserve">2027/03</t>
    </r>
    <r>
      <rPr>
        <sz val="9"/>
        <color rgb="FF595959"/>
        <rFont val="WenQuanYi Zen Hei"/>
        <family val="2"/>
      </rPr>
      <t xml:space="preserve">と</t>
    </r>
    <r>
      <rPr>
        <sz val="9"/>
        <color rgb="FF595959"/>
        <rFont val="Arial"/>
        <family val="0"/>
        <charset val="1"/>
      </rPr>
      <t xml:space="preserve">2027/09</t>
    </r>
    <r>
      <rPr>
        <sz val="9"/>
        <color rgb="FF595959"/>
        <rFont val="WenQuanYi Zen Hei"/>
        <family val="2"/>
      </rPr>
      <t xml:space="preserve">に各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百万円）。</t>
    </r>
  </si>
  <si>
    <r>
      <rPr>
        <b val="true"/>
        <sz val="14"/>
        <rFont val="Arial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Arial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</si>
  <si>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</si>
  <si>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</si>
  <si>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</si>
  <si>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</si>
  <si>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Arial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</si>
  <si>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</si>
  <si>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</si>
  <si>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は</t>
    </r>
    <r>
      <rPr>
        <sz val="9"/>
        <color rgb="FF595959"/>
        <rFont val="Arial"/>
        <family val="0"/>
        <charset val="1"/>
      </rPr>
      <t xml:space="preserve">2025/11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2026/09</t>
    </r>
    <r>
      <rPr>
        <sz val="9"/>
        <color rgb="FF595959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</si>
  <si>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</si>
  <si>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595959"/>
        <rFont val="WenQuanYi Zen Hei"/>
        <family val="2"/>
      </rPr>
      <t xml:space="preserve">飲食撤退＋固定費削減。</t>
    </r>
    <r>
      <rPr>
        <sz val="9"/>
        <color rgb="FF595959"/>
        <rFont val="Arial"/>
        <family val="0"/>
        <charset val="1"/>
      </rPr>
      <t xml:space="preserve">10-3</t>
    </r>
    <r>
      <rPr>
        <sz val="9"/>
        <color rgb="FF595959"/>
        <rFont val="WenQuanYi Zen Hei"/>
        <family val="2"/>
      </rPr>
      <t xml:space="preserve">月平均比で月▲</t>
    </r>
    <r>
      <rPr>
        <sz val="9"/>
        <color rgb="FF595959"/>
        <rFont val="Arial"/>
        <family val="0"/>
        <charset val="1"/>
      </rPr>
      <t xml:space="preserve">8.58</t>
    </r>
    <r>
      <rPr>
        <sz val="9"/>
        <color rgb="FF595959"/>
        <rFont val="WenQuanYi Zen Hei"/>
        <family val="2"/>
      </rPr>
      <t xml:space="preserve">百万円</t>
    </r>
  </si>
  <si>
    <t xml:space="preserve">③ 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</si>
  <si>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＋クルーザー事業利益</t>
    </r>
    <r>
      <rPr>
        <sz val="9"/>
        <color rgb="FF595959"/>
        <rFont val="Arial"/>
        <family val="0"/>
        <charset val="1"/>
      </rPr>
      <t xml:space="preserve">20</t>
    </r>
  </si>
  <si>
    <r>
      <rPr>
        <b val="true"/>
        <sz val="11"/>
        <rFont val="Arial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Arial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</si>
  <si>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①〜③の合計</t>
  </si>
  <si>
    <r>
      <rPr>
        <sz val="11"/>
        <rFont val="WenQuanYi Zen Hei"/>
        <family val="2"/>
      </rPr>
      <t xml:space="preserve">経常利益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</t>
    </r>
  </si>
  <si>
    <r>
      <rPr>
        <sz val="9"/>
        <color rgb="FF595959"/>
        <rFont val="WenQuanYi Zen Hei"/>
        <family val="2"/>
      </rPr>
      <t xml:space="preserve">新規顧客売上計画</t>
    </r>
    <r>
      <rPr>
        <sz val="9"/>
        <color rgb="FF595959"/>
        <rFont val="Arial"/>
        <family val="0"/>
        <charset val="1"/>
      </rPr>
      <t xml:space="preserve">1,066</t>
    </r>
    <r>
      <rPr>
        <sz val="9"/>
        <color rgb="FF595959"/>
        <rFont val="WenQuanYi Zen Hei"/>
        <family val="2"/>
      </rPr>
      <t xml:space="preserve">百万円に対する比率</t>
    </r>
  </si>
  <si>
    <r>
      <rPr>
        <b val="true"/>
        <sz val="14"/>
        <rFont val="WenQuanYi Zen Hei"/>
        <family val="2"/>
      </rPr>
      <t xml:space="preserve">ワイン仕入・自社在庫計画（</t>
    </r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</si>
  <si>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C00000"/>
        <rFont val="WenQuanYi Zen Hei"/>
        <family val="2"/>
      </rPr>
      <t xml:space="preserve">ワイン仕入は「売上原価（出庫）＋在庫増減」がキャッシュアウト。</t>
    </r>
    <r>
      <rPr>
        <sz val="9"/>
        <color rgb="FFC00000"/>
        <rFont val="Arial"/>
        <family val="0"/>
        <charset val="1"/>
      </rPr>
      <t xml:space="preserve">PL</t>
    </r>
    <r>
      <rPr>
        <sz val="9"/>
        <color rgb="FFC00000"/>
        <rFont val="WenQuanYi Zen Hei"/>
        <family val="2"/>
      </rPr>
      <t xml:space="preserve">に現れない在庫積み増しが資金繰りの最大論点。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</si>
  <si>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】自社在庫（簿価）の実績推移　単位：百万円</t>
    </r>
  </si>
  <si>
    <t xml:space="preserve">時点</t>
  </si>
  <si>
    <r>
      <rPr>
        <b val="true"/>
        <sz val="11"/>
        <rFont val="Arial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</si>
  <si>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2025/07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</si>
  <si>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</si>
  <si>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</si>
  <si>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</t>
    </r>
  </si>
  <si>
    <t xml:space="preserve">自社在庫 簿価</t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</si>
  <si>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末→</t>
    </r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末の増加</t>
    </r>
  </si>
  <si>
    <r>
      <rPr>
        <sz val="9"/>
        <color rgb="FF595959"/>
        <rFont val="WenQuanYi Zen Hei"/>
        <family val="2"/>
      </rPr>
      <t xml:space="preserve">百万円 </t>
    </r>
    <r>
      <rPr>
        <sz val="9"/>
        <color rgb="FF595959"/>
        <rFont val="Arial"/>
        <family val="0"/>
        <charset val="1"/>
      </rPr>
      <t xml:space="preserve">/ 6</t>
    </r>
    <r>
      <rPr>
        <sz val="9"/>
        <color rgb="FF595959"/>
        <rFont val="WenQuanYi Zen Hei"/>
        <family val="2"/>
      </rPr>
      <t xml:space="preserve">か月</t>
    </r>
  </si>
  <si>
    <r>
      <rPr>
        <sz val="9"/>
        <color rgb="FFC00000"/>
        <rFont val="WenQuanYi Zen Hei"/>
        <family val="2"/>
      </rPr>
      <t xml:space="preserve">百万円</t>
    </r>
    <r>
      <rPr>
        <sz val="9"/>
        <color rgb="FFC00000"/>
        <rFont val="Arial"/>
        <family val="0"/>
        <charset val="1"/>
      </rPr>
      <t xml:space="preserve">/</t>
    </r>
    <r>
      <rPr>
        <sz val="9"/>
        <color rgb="FFC00000"/>
        <rFont val="WenQuanYi Zen Hei"/>
        <family val="2"/>
      </rPr>
      <t xml:space="preserve">月のキャッシュアウト</t>
    </r>
  </si>
  <si>
    <r>
      <rPr>
        <sz val="9"/>
        <color rgb="FF595959"/>
        <rFont val="WenQuanYi Zen Hei"/>
        <family val="2"/>
      </rPr>
      <t xml:space="preserve">出典：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月度 取締役会資料「ワイン預かり残高推移</t>
    </r>
    <r>
      <rPr>
        <sz val="9"/>
        <color rgb="FF595959"/>
        <rFont val="Arial"/>
        <family val="0"/>
        <charset val="1"/>
      </rPr>
      <t xml:space="preserve">KPI</t>
    </r>
    <r>
      <rPr>
        <sz val="9"/>
        <color rgb="FF595959"/>
        <rFont val="WenQuanYi Zen Hei"/>
        <family val="2"/>
      </rPr>
      <t xml:space="preserve">」（税抜・簿価）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</si>
  <si>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Arial"/>
        <family val="0"/>
        <charset val="1"/>
      </rPr>
      <t xml:space="preserve">FY2027 </t>
    </r>
    <r>
      <rPr>
        <b val="true"/>
        <sz val="11"/>
        <color rgb="FFFFFFFF"/>
        <rFont val="WenQuanYi Zen Hei"/>
        <family val="2"/>
      </rPr>
      <t xml:space="preserve">仕入・在庫計画（税抜）</t>
    </r>
  </si>
  <si>
    <t xml:space="preserve">月次ベース</t>
  </si>
  <si>
    <t xml:space="preserve">期首在庫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</si>
  <si>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末実績</t>
    </r>
    <r>
      <rPr>
        <sz val="9"/>
        <color rgb="FFC00000"/>
        <rFont val="Arial"/>
        <family val="0"/>
        <charset val="1"/>
      </rPr>
      <t xml:space="preserve">620</t>
    </r>
    <r>
      <rPr>
        <sz val="9"/>
        <color rgb="FFC00000"/>
        <rFont val="WenQuanYi Zen Hei"/>
        <family val="2"/>
      </rPr>
      <t xml:space="preserve">百万円 −</t>
    </r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の在庫販売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百万円＝</t>
    </r>
    <r>
      <rPr>
        <sz val="9"/>
        <color rgb="FFC00000"/>
        <rFont val="Arial"/>
        <family val="0"/>
        <charset val="1"/>
      </rPr>
      <t xml:space="preserve">420</t>
    </r>
    <r>
      <rPr>
        <sz val="9"/>
        <color rgb="FFC00000"/>
        <rFont val="WenQuanYi Zen Hei"/>
        <family val="2"/>
      </rPr>
      <t xml:space="preserve">百万円。</t>
    </r>
    <r>
      <rPr>
        <sz val="9"/>
        <color rgb="FFC00000"/>
        <rFont val="Arial"/>
        <family val="0"/>
        <charset val="1"/>
      </rPr>
      <t xml:space="preserve">2026/04-08</t>
    </r>
    <r>
      <rPr>
        <sz val="9"/>
        <color rgb="FFC00000"/>
        <rFont val="WenQuanYi Zen Hei"/>
        <family val="2"/>
      </rPr>
      <t xml:space="preserve">の増減は横ばいと仮定。</t>
    </r>
  </si>
  <si>
    <t xml:space="preserve">在庫方針（月次 増減額）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</si>
  <si>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＝在庫横ばい（仕入＝売上原価）。積み増す場合は月額を入力。</t>
    </r>
  </si>
  <si>
    <t xml:space="preserve">スポット大口仕入</t>
  </si>
  <si>
    <t xml:space="preserve">野村ユニソン等のロット仕入。発生月に入力。</t>
  </si>
  <si>
    <t xml:space="preserve">プリムール等 前払仕入</t>
  </si>
  <si>
    <t xml:space="preserve">引渡し前の前払。発生月に入力。</t>
  </si>
  <si>
    <t xml:space="preserve">通常仕入</t>
  </si>
  <si>
    <r>
      <rPr>
        <sz val="9"/>
        <color rgb="FF595959"/>
        <rFont val="WenQuanYi Zen Hei"/>
        <family val="2"/>
      </rPr>
      <t xml:space="preserve">方針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＝売上原価と同額（在庫横ばい）／方針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の年間仕入額を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等分。</t>
    </r>
  </si>
  <si>
    <t xml:space="preserve">仕入 合計（入庫）</t>
  </si>
  <si>
    <t xml:space="preserve">売上原価（出庫）</t>
  </si>
  <si>
    <t xml:space="preserve">期末在庫</t>
  </si>
  <si>
    <r>
      <rPr>
        <sz val="9"/>
        <color rgb="FFC00000"/>
        <rFont val="WenQuanYi Zen Hei"/>
        <family val="2"/>
      </rPr>
      <t xml:space="preserve">※仕入方針</t>
    </r>
    <r>
      <rPr>
        <sz val="9"/>
        <color rgb="FFC00000"/>
        <rFont val="Arial"/>
        <family val="0"/>
        <charset val="1"/>
      </rPr>
      <t xml:space="preserve">2</t>
    </r>
    <r>
      <rPr>
        <sz val="9"/>
        <color rgb="FFC00000"/>
        <rFont val="WenQuanYi Zen Hei"/>
        <family val="2"/>
      </rPr>
      <t xml:space="preserve">（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と同額</t>
    </r>
    <r>
      <rPr>
        <sz val="9"/>
        <color rgb="FFC00000"/>
        <rFont val="Arial"/>
        <family val="0"/>
        <charset val="1"/>
      </rPr>
      <t xml:space="preserve">419.1</t>
    </r>
    <r>
      <rPr>
        <sz val="9"/>
        <color rgb="FFC00000"/>
        <rFont val="WenQuanYi Zen Hei"/>
        <family val="2"/>
      </rPr>
      <t xml:space="preserve">百万円）では、売上原価との差額が在庫増となり、その分がキャッシュアウトになります。</t>
    </r>
  </si>
  <si>
    <t xml:space="preserve">※スポット大口仕入・プリムール前払は、売上計上より先に支払が発生するため、資金繰り上は最も注意を要する項目。</t>
  </si>
  <si>
    <r>
      <rPr>
        <sz val="9"/>
        <color rgb="FFC00000"/>
        <rFont val="Arial"/>
        <family val="0"/>
        <charset val="1"/>
      </rPr>
      <t xml:space="preserve">※2026/09</t>
    </r>
    <r>
      <rPr>
        <sz val="9"/>
        <color rgb="FFC00000"/>
        <rFont val="WenQuanYi Zen Hei"/>
        <family val="2"/>
      </rPr>
      <t xml:space="preserve">に在庫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百万円を販売（削減）し、その代金をみずほ銀行への融資返済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百万円に充当する前提。期首在庫はその後の残高。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</si>
  <si>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</t>
    </r>
    <r>
      <rPr>
        <b val="true"/>
        <sz val="14"/>
        <rFont val="Arial"/>
        <family val="0"/>
        <charset val="1"/>
      </rPr>
      <t xml:space="preserve">-2027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月）月次資金繰り表</t>
    </r>
  </si>
  <si>
    <r>
      <rPr>
        <sz val="9"/>
        <color rgb="FF595959"/>
        <rFont val="WenQuanYi Zen Hei"/>
        <family val="2"/>
      </rPr>
      <t xml:space="preserve">単位：円（税込ベース）　シナリオ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（経常利益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億円）／ワイン仕入</t>
    </r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同額の前提　青字＝入力セル・緑字＝他シートからのリンク</t>
    </r>
  </si>
  <si>
    <t xml:space="preserve">【前提】</t>
  </si>
  <si>
    <r>
      <rPr>
        <sz val="11"/>
        <rFont val="WenQuanYi Zen Hei"/>
        <family val="2"/>
      </rPr>
      <t xml:space="preserve">期首現預金（</t>
    </r>
    <r>
      <rPr>
        <sz val="11"/>
        <rFont val="Arial"/>
        <family val="0"/>
        <charset val="1"/>
      </rPr>
      <t xml:space="preserve">2026/09</t>
    </r>
    <r>
      <rPr>
        <sz val="11"/>
        <rFont val="WenQuanYi Zen Hei"/>
        <family val="2"/>
      </rPr>
      <t xml:space="preserve">末）</t>
    </r>
  </si>
  <si>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末にみずほ銀行へ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百万円を返済した後のキャッシュポジション（貴社ご指定）。</t>
    </r>
  </si>
  <si>
    <t xml:space="preserve">消費税率</t>
  </si>
  <si>
    <t xml:space="preserve">売上 回収サイト（か月）</t>
  </si>
  <si>
    <r>
      <rPr>
        <sz val="9"/>
        <color rgb="FF595959"/>
        <rFont val="WenQuanYi Zen Hei"/>
        <family val="2"/>
      </rPr>
      <t xml:space="preserve">売掛金回転</t>
    </r>
    <r>
      <rPr>
        <sz val="9"/>
        <color rgb="FF595959"/>
        <rFont val="Arial"/>
        <family val="0"/>
        <charset val="1"/>
      </rPr>
      <t xml:space="preserve">32.2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1.06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</si>
  <si>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仕入 支払サイト（か月）</t>
  </si>
  <si>
    <r>
      <rPr>
        <sz val="9"/>
        <color rgb="FF595959"/>
        <rFont val="WenQuanYi Zen Hei"/>
        <family val="2"/>
      </rPr>
      <t xml:space="preserve">買掛金回転</t>
    </r>
    <r>
      <rPr>
        <sz val="9"/>
        <color rgb="FF595959"/>
        <rFont val="Arial"/>
        <family val="0"/>
        <charset val="1"/>
      </rPr>
      <t xml:space="preserve">23.5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0.77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</si>
  <si>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長期借入金 約定返済（月額）</t>
  </si>
  <si>
    <r>
      <rPr>
        <sz val="9"/>
        <color rgb="FFC00000"/>
        <rFont val="WenQuanYi Zen Hei"/>
        <family val="2"/>
      </rPr>
      <t xml:space="preserve">★要差替え。長期借入</t>
    </r>
    <r>
      <rPr>
        <sz val="9"/>
        <color rgb="FFC00000"/>
        <rFont val="Arial"/>
        <family val="0"/>
        <charset val="1"/>
      </rPr>
      <t xml:space="preserve">423,623,000</t>
    </r>
    <r>
      <rPr>
        <sz val="9"/>
        <color rgb="FFC00000"/>
        <rFont val="WenQuanYi Zen Hei"/>
        <family val="2"/>
      </rPr>
      <t xml:space="preserve">円−みずほ一括返済</t>
    </r>
    <r>
      <rPr>
        <sz val="9"/>
        <color rgb="FFC00000"/>
        <rFont val="Arial"/>
        <family val="0"/>
        <charset val="1"/>
      </rPr>
      <t xml:space="preserve">200,000,000</t>
    </r>
    <r>
      <rPr>
        <sz val="9"/>
        <color rgb="FFC00000"/>
        <rFont val="WenQuanYi Zen Hei"/>
        <family val="2"/>
      </rPr>
      <t xml:space="preserve">円＝</t>
    </r>
    <r>
      <rPr>
        <sz val="9"/>
        <color rgb="FFC00000"/>
        <rFont val="Arial"/>
        <family val="0"/>
        <charset val="1"/>
      </rPr>
      <t xml:space="preserve">223,623,000</t>
    </r>
    <r>
      <rPr>
        <sz val="9"/>
        <color rgb="FFC00000"/>
        <rFont val="WenQuanYi Zen Hei"/>
        <family val="2"/>
      </rPr>
      <t xml:space="preserve">円を</t>
    </r>
    <r>
      <rPr>
        <sz val="9"/>
        <color rgb="FFC00000"/>
        <rFont val="Arial"/>
        <family val="0"/>
        <charset val="1"/>
      </rPr>
      <t xml:space="preserve">7</t>
    </r>
    <r>
      <rPr>
        <sz val="9"/>
        <color rgb="FFC00000"/>
        <rFont val="WenQuanYi Zen Hei"/>
        <family val="2"/>
      </rPr>
      <t xml:space="preserve">年均等返済と仮定した暫定値。</t>
    </r>
  </si>
  <si>
    <t xml:space="preserve">短期借入金 純増減（月額）</t>
  </si>
  <si>
    <r>
      <rPr>
        <sz val="9"/>
        <color rgb="FF595959"/>
        <rFont val="WenQuanYi Zen Hei"/>
        <family val="2"/>
      </rPr>
      <t xml:space="preserve">短期借入</t>
    </r>
    <r>
      <rPr>
        <sz val="9"/>
        <color rgb="FF595959"/>
        <rFont val="Arial"/>
        <family val="0"/>
        <charset val="1"/>
      </rPr>
      <t xml:space="preserve">162,440,980</t>
    </r>
    <r>
      <rPr>
        <sz val="9"/>
        <color rgb="FF595959"/>
        <rFont val="WenQuanYi Zen Hei"/>
        <family val="2"/>
      </rPr>
      <t xml:space="preserve">円は同額借換（継続）を前提。</t>
    </r>
  </si>
  <si>
    <t xml:space="preserve">【営業収入】</t>
  </si>
  <si>
    <t xml:space="preserve">売上入金（税込）</t>
  </si>
  <si>
    <t xml:space="preserve">経営指導料 入金（税込）</t>
  </si>
  <si>
    <t xml:space="preserve">インセンティブ 入金（税込）</t>
  </si>
  <si>
    <t xml:space="preserve">前期末売掛金 回収</t>
  </si>
  <si>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の在庫販売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百万円の代金回収およびみずほ銀行への返済は</t>
    </r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末までに完了済み（期首現預金</t>
    </r>
    <r>
      <rPr>
        <sz val="9"/>
        <color rgb="FFC00000"/>
        <rFont val="Arial"/>
        <family val="0"/>
        <charset val="1"/>
      </rPr>
      <t xml:space="preserve">30</t>
    </r>
    <r>
      <rPr>
        <sz val="9"/>
        <color rgb="FFC00000"/>
        <rFont val="WenQuanYi Zen Hei"/>
        <family val="2"/>
      </rPr>
      <t xml:space="preserve">百万円に反映）。</t>
    </r>
  </si>
  <si>
    <t xml:space="preserve">クルーザー事業利益 入金（税込）</t>
  </si>
  <si>
    <r>
      <rPr>
        <sz val="9"/>
        <color rgb="FF595959"/>
        <rFont val="Arial"/>
        <family val="0"/>
        <charset val="1"/>
      </rPr>
      <t xml:space="preserve">2027/03</t>
    </r>
    <r>
      <rPr>
        <sz val="9"/>
        <color rgb="FF595959"/>
        <rFont val="WenQuanYi Zen Hei"/>
        <family val="2"/>
      </rPr>
      <t xml:space="preserve">と</t>
    </r>
    <r>
      <rPr>
        <sz val="9"/>
        <color rgb="FF595959"/>
        <rFont val="Arial"/>
        <family val="0"/>
        <charset val="1"/>
      </rPr>
      <t xml:space="preserve">2027/09</t>
    </r>
    <r>
      <rPr>
        <sz val="9"/>
        <color rgb="FF595959"/>
        <rFont val="WenQuanYi Zen Hei"/>
        <family val="2"/>
      </rPr>
      <t xml:space="preserve">に各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百万円。課税取引として税込入金と仮定。</t>
    </r>
  </si>
  <si>
    <t xml:space="preserve">営業収入 計</t>
  </si>
  <si>
    <t xml:space="preserve">【営業支出】</t>
  </si>
  <si>
    <t xml:space="preserve">ワイン仕入 支払（税込）</t>
  </si>
  <si>
    <t xml:space="preserve">人件費（役員報酬・給与・雑給・法定福利）</t>
  </si>
  <si>
    <t xml:space="preserve">その他販管費（税込・減価償却除く）</t>
  </si>
  <si>
    <t xml:space="preserve">支払利息</t>
  </si>
  <si>
    <t xml:space="preserve">消費税 納付</t>
  </si>
  <si>
    <r>
      <rPr>
        <sz val="9"/>
        <color rgb="FFC00000"/>
        <rFont val="Arial"/>
        <family val="0"/>
        <charset val="1"/>
      </rPr>
      <t xml:space="preserve">2026/11</t>
    </r>
    <r>
      <rPr>
        <sz val="9"/>
        <color rgb="FFC00000"/>
        <rFont val="WenQuanYi Zen Hei"/>
        <family val="2"/>
      </rPr>
      <t xml:space="preserve">は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分の確定納付。</t>
    </r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の在庫販売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百万円に係る仮受消費税</t>
    </r>
    <r>
      <rPr>
        <sz val="9"/>
        <color rgb="FFC00000"/>
        <rFont val="Arial"/>
        <family val="0"/>
        <charset val="1"/>
      </rPr>
      <t xml:space="preserve">20</t>
    </r>
    <r>
      <rPr>
        <sz val="9"/>
        <color rgb="FFC00000"/>
        <rFont val="WenQuanYi Zen Hei"/>
        <family val="2"/>
      </rPr>
      <t xml:space="preserve">百万円を含む（仕入時に仮払控除済のため純増）。</t>
    </r>
  </si>
  <si>
    <t xml:space="preserve">法人税等（均等割）</t>
  </si>
  <si>
    <t xml:space="preserve">営業支出 計</t>
  </si>
  <si>
    <t xml:space="preserve">経常収支</t>
  </si>
  <si>
    <t xml:space="preserve">【財務収支】</t>
  </si>
  <si>
    <t xml:space="preserve">長期借入金 約定返済</t>
  </si>
  <si>
    <t xml:space="preserve">短期借入金 純増減</t>
  </si>
  <si>
    <t xml:space="preserve">新規調達（借入・増資）</t>
  </si>
  <si>
    <t xml:space="preserve">みずほ銀行 融資返済</t>
  </si>
  <si>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末に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百万円を返済済みのため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には計上しない。</t>
    </r>
  </si>
  <si>
    <t xml:space="preserve">財務収支 計</t>
  </si>
  <si>
    <t xml:space="preserve">当月収支</t>
  </si>
  <si>
    <t xml:space="preserve">前月繰越 現預金</t>
  </si>
  <si>
    <t xml:space="preserve">翌月繰越 現預金</t>
  </si>
  <si>
    <t xml:space="preserve">資金不足額（マイナス時）</t>
  </si>
  <si>
    <t xml:space="preserve">通期列＝最大不足額（必要調達額の下限）</t>
  </si>
  <si>
    <r>
      <rPr>
        <sz val="9"/>
        <color rgb="FF595959"/>
        <rFont val="WenQuanYi Zen Hei"/>
        <family val="2"/>
      </rPr>
      <t xml:space="preserve">※売上・仕入とも回収／支払サイト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か月。既存事業の売上は横ばい前提のため、月ズレの影響は通期では相殺されます。</t>
    </r>
  </si>
  <si>
    <t xml:space="preserve">※ワイン仕入の支払は前月仕入額を当月に支払う前提（⑥シートで仕入月を入力すると、翌月に資金流出として反映されます）。</t>
  </si>
  <si>
    <r>
      <rPr>
        <sz val="9"/>
        <color rgb="FF595959"/>
        <rFont val="WenQuanYi Zen Hei"/>
        <family val="2"/>
      </rPr>
      <t xml:space="preserve">※減価償却費（月</t>
    </r>
    <r>
      <rPr>
        <sz val="9"/>
        <color rgb="FF595959"/>
        <rFont val="Arial"/>
        <family val="0"/>
        <charset val="1"/>
      </rPr>
      <t xml:space="preserve">3.6</t>
    </r>
    <r>
      <rPr>
        <sz val="9"/>
        <color rgb="FF595959"/>
        <rFont val="WenQuanYi Zen Hei"/>
        <family val="2"/>
      </rPr>
      <t xml:space="preserve">百万円）は資金支出を伴わないため、営業支出から除外しています。</t>
    </r>
  </si>
  <si>
    <t xml:space="preserve">※消費税納付・法人税等は暫定値です。税理士確定額に差し替えてください。</t>
  </si>
  <si>
    <r>
      <rPr>
        <sz val="9"/>
        <color rgb="FFC00000"/>
        <rFont val="WenQuanYi Zen Hei"/>
        <family val="2"/>
      </rPr>
      <t xml:space="preserve">※期首現預金と長期借入返済額（黄色セル）は必ず実際の数値に差し替えてください。この</t>
    </r>
    <r>
      <rPr>
        <sz val="9"/>
        <color rgb="FFC00000"/>
        <rFont val="Arial"/>
        <family val="0"/>
        <charset val="1"/>
      </rPr>
      <t xml:space="preserve">2</t>
    </r>
    <r>
      <rPr>
        <sz val="9"/>
        <color rgb="FFC00000"/>
        <rFont val="WenQuanYi Zen Hei"/>
        <family val="2"/>
      </rPr>
      <t xml:space="preserve">つで結論が大きく変わります。</t>
    </r>
  </si>
  <si>
    <t xml:space="preserve">【感応度】どこまで耐えられるか</t>
  </si>
  <si>
    <t xml:space="preserve">ケース</t>
  </si>
  <si>
    <t xml:space="preserve">期末 現預金残高</t>
  </si>
  <si>
    <t xml:space="preserve">期中 最低残高</t>
  </si>
  <si>
    <t xml:space="preserve">必要調達額</t>
  </si>
  <si>
    <t xml:space="preserve">前提</t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</si>
  <si>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基本（仕入</t>
    </r>
    <r>
      <rPr>
        <b val="true"/>
        <sz val="11"/>
        <rFont val="Arial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同額・経常利益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億円シナリオ）</t>
    </r>
  </si>
  <si>
    <r>
      <rPr>
        <sz val="9"/>
        <color rgb="FF595959"/>
        <rFont val="WenQuanYi Zen Hei"/>
        <family val="2"/>
      </rPr>
      <t xml:space="preserve">ご指定の前提。期首現預金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百万円、ワイン仕入は</t>
    </r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と同額</t>
    </r>
    <r>
      <rPr>
        <sz val="9"/>
        <color rgb="FF595959"/>
        <rFont val="Arial"/>
        <family val="0"/>
        <charset val="1"/>
      </rPr>
      <t xml:space="preserve">419.1</t>
    </r>
    <r>
      <rPr>
        <sz val="9"/>
        <color rgb="FF595959"/>
        <rFont val="WenQuanYi Zen Hei"/>
        <family val="2"/>
      </rPr>
      <t xml:space="preserve">百万円</t>
    </r>
  </si>
  <si>
    <r>
      <rPr>
        <sz val="11"/>
        <rFont val="Arial"/>
        <family val="0"/>
        <charset val="1"/>
      </rPr>
      <t xml:space="preserve">B. </t>
    </r>
    <r>
      <rPr>
        <sz val="11"/>
        <rFont val="WenQuanYi Zen Hei"/>
        <family val="2"/>
      </rPr>
      <t xml:space="preserve">ワイン仕入を在庫横ばいにした場合</t>
    </r>
  </si>
  <si>
    <r>
      <rPr>
        <sz val="9"/>
        <color rgb="FF595959"/>
        <rFont val="WenQuanYi Zen Hei"/>
        <family val="2"/>
      </rPr>
      <t xml:space="preserve">仕入＝売上原価（②前提のワイン仕入方針を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に変更）。在庫は増えない</t>
    </r>
  </si>
  <si>
    <r>
      <rPr>
        <sz val="11"/>
        <rFont val="Arial"/>
        <family val="0"/>
        <charset val="1"/>
      </rPr>
      <t xml:space="preserve">C. 2027/03</t>
    </r>
    <r>
      <rPr>
        <sz val="11"/>
        <rFont val="WenQuanYi Zen Hei"/>
        <family val="2"/>
      </rPr>
      <t xml:space="preserve">・</t>
    </r>
    <r>
      <rPr>
        <sz val="11"/>
        <rFont val="Arial"/>
        <family val="0"/>
        <charset val="1"/>
      </rPr>
      <t xml:space="preserve">09</t>
    </r>
    <r>
      <rPr>
        <sz val="11"/>
        <rFont val="WenQuanYi Zen Hei"/>
        <family val="2"/>
      </rPr>
      <t xml:space="preserve">の一時収益が入らない</t>
    </r>
  </si>
  <si>
    <r>
      <rPr>
        <sz val="9"/>
        <color rgb="FF595959"/>
        <rFont val="WenQuanYi Zen Hei"/>
        <family val="2"/>
      </rPr>
      <t xml:space="preserve">インセンティブ</t>
    </r>
    <r>
      <rPr>
        <sz val="9"/>
        <color rgb="FF595959"/>
        <rFont val="Arial"/>
        <family val="0"/>
        <charset val="1"/>
      </rPr>
      <t xml:space="preserve">22.0</t>
    </r>
    <r>
      <rPr>
        <sz val="9"/>
        <color rgb="FF595959"/>
        <rFont val="WenQuanYi Zen Hei"/>
        <family val="2"/>
      </rPr>
      <t xml:space="preserve">百万円＋クルーザー事業利益</t>
    </r>
    <r>
      <rPr>
        <sz val="9"/>
        <color rgb="FF595959"/>
        <rFont val="Arial"/>
        <family val="0"/>
        <charset val="1"/>
      </rPr>
      <t xml:space="preserve">22.0</t>
    </r>
    <r>
      <rPr>
        <sz val="9"/>
        <color rgb="FF595959"/>
        <rFont val="WenQuanYi Zen Hei"/>
        <family val="2"/>
      </rPr>
      <t xml:space="preserve">百万円（いずれも税込）が未入金</t>
    </r>
  </si>
  <si>
    <r>
      <rPr>
        <sz val="11"/>
        <rFont val="Arial"/>
        <family val="0"/>
        <charset val="1"/>
      </rPr>
      <t xml:space="preserve">D. </t>
    </r>
    <r>
      <rPr>
        <sz val="11"/>
        <rFont val="WenQuanYi Zen Hei"/>
        <family val="2"/>
      </rPr>
      <t xml:space="preserve">売上がプラン</t>
    </r>
    <r>
      <rPr>
        <sz val="11"/>
        <rFont val="Arial"/>
        <family val="0"/>
        <charset val="1"/>
      </rPr>
      <t xml:space="preserve">B</t>
    </r>
    <r>
      <rPr>
        <sz val="11"/>
        <rFont val="WenQuanYi Zen Hei"/>
        <family val="2"/>
      </rPr>
      <t xml:space="preserve">（上乗せのみ）にとどまる</t>
    </r>
  </si>
  <si>
    <r>
      <rPr>
        <sz val="9"/>
        <color rgb="FF595959"/>
        <rFont val="WenQuanYi Zen Hei"/>
        <family val="2"/>
      </rPr>
      <t xml:space="preserve">追加売上</t>
    </r>
    <r>
      <rPr>
        <sz val="9"/>
        <color rgb="FF595959"/>
        <rFont val="Arial"/>
        <family val="0"/>
        <charset val="1"/>
      </rPr>
      <t xml:space="preserve">159.2</t>
    </r>
    <r>
      <rPr>
        <sz val="9"/>
        <color rgb="FF595959"/>
        <rFont val="WenQuanYi Zen Hei"/>
        <family val="2"/>
      </rPr>
      <t xml:space="preserve">百万円が未達。仕入方針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では仕入額が減らないため全額が資金不足に直結</t>
    </r>
  </si>
  <si>
    <r>
      <rPr>
        <sz val="11"/>
        <rFont val="WenQuanYi Zen Hei"/>
        <family val="2"/>
      </rPr>
      <t xml:space="preserve">運転資金バッファ（月商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か月）</t>
    </r>
  </si>
  <si>
    <r>
      <rPr>
        <sz val="9"/>
        <color rgb="FF595959"/>
        <rFont val="WenQuanYi Zen Hei"/>
        <family val="2"/>
      </rPr>
      <t xml:space="preserve">最低残高をゼロに戻すだけでは足りないため、月商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か月分を上乗せして必要調達額を算定。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</si>
  <si>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A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B</t>
    </r>
    <r>
      <rPr>
        <sz val="9"/>
        <color rgb="FFC00000"/>
        <rFont val="WenQuanYi Zen Hei"/>
        <family val="2"/>
      </rPr>
      <t xml:space="preserve">の差が、ワイン仕入方針（在庫を積むか積まないか）による資金インパクトです。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</si>
  <si>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C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D</t>
    </r>
    <r>
      <rPr>
        <sz val="9"/>
        <color rgb="FFC00000"/>
        <rFont val="WenQuanYi Zen Hei"/>
        <family val="2"/>
      </rPr>
      <t xml:space="preserve">が同時に起きた場合、必要調達額は両者の合計に近い水準となります。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</si>
</sst>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;&quot;(¥&quot;#,##0\);\-"/>
    <numFmt numFmtId="166" formatCode="0.0%"/>
    <numFmt numFmtId="167" formatCode="0"/>
    <numFmt numFmtId="168" formatCode="#,##0"/>
    <numFmt numFmtId="169" formatCode="#,##0.0"/>
    <numFmt numFmtId="170" formatCode="0.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5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1"/>
      <color rgb="FF008000"/>
      <name val="Arial"/>
      <family val="0"/>
      <charset val="1"/>
    </font>
    <font>
      <sz val="11"/>
      <color rgb="FF0000FF"/>
      <name val="WenQuanYi Zen Hei"/>
      <family val="2"/>
    </font>
    <font>
      <sz val="11"/>
      <color rgb="FF008000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DF6E3"/>
      </patternFill>
    </fill>
    <fill>
      <patternFill patternType="solid">
        <fgColor rgb="FFFFF2CC"/>
        <bgColor rgb="FFFDF6E3"/>
      </patternFill>
    </fill>
    <fill>
      <patternFill patternType="solid">
        <fgColor rgb="FFC6E0B4"/>
        <bgColor rgb="FFD9D9D9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  <fill>
      <patternFill patternType="solid">
        <fgColor rgb="FFFDF6E3"/>
        <bgColor rgb="FFFFF2CC"/>
      </patternFill>
    </fill>
    <fill>
      <patternFill patternType="solid">
        <fgColor rgb="FFF8CBAD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6D2E4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7E6E6"/>
      <rgbColor rgb="FFFDF6E3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月末 現預金残高の推移（ケースA：在庫横ばい・調達なし）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6d2e46"/>
            </a:solidFill>
            <a:ln w="28080">
              <a:solidFill>
                <a:srgbClr val="6d2e4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⑦FY2027資金繰り表!$D$12:$O$12</c:f>
              <c:strCache>
                <c:ptCount val="12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2027/01</c:v>
                </c:pt>
                <c:pt idx="4">
                  <c:v>2027/02</c:v>
                </c:pt>
                <c:pt idx="5">
                  <c:v>2027/03</c:v>
                </c:pt>
                <c:pt idx="6">
                  <c:v>2027/04</c:v>
                </c:pt>
                <c:pt idx="7">
                  <c:v>2027/05</c:v>
                </c:pt>
                <c:pt idx="8">
                  <c:v>2027/06</c:v>
                </c:pt>
                <c:pt idx="9">
                  <c:v>2027/07</c:v>
                </c:pt>
                <c:pt idx="10">
                  <c:v>2027/08</c:v>
                </c:pt>
                <c:pt idx="11">
                  <c:v>2027/09</c:v>
                </c:pt>
              </c:strCache>
            </c:strRef>
          </c:cat>
          <c:val>
            <c:numRef>
              <c:f>⑦FY2027資金繰り表!$D$40:$O$40</c:f>
              <c:numCache>
                <c:formatCode>\¥#,##0;"(¥"#,##0\);\-</c:formatCode>
                <c:ptCount val="12"/>
                <c:pt idx="0">
                  <c:v>23563282.1718559</c:v>
                </c:pt>
                <c:pt idx="1">
                  <c:v>-13336540.6562882</c:v>
                </c:pt>
                <c:pt idx="2">
                  <c:v>-19773258.4844324</c:v>
                </c:pt>
                <c:pt idx="3">
                  <c:v>-26209976.3125765</c:v>
                </c:pt>
                <c:pt idx="4">
                  <c:v>-32646694.1407206</c:v>
                </c:pt>
                <c:pt idx="5">
                  <c:v>-6083411.96886475</c:v>
                </c:pt>
                <c:pt idx="6">
                  <c:v>-12520129.7970089</c:v>
                </c:pt>
                <c:pt idx="7">
                  <c:v>-23956847.625153</c:v>
                </c:pt>
                <c:pt idx="8">
                  <c:v>-30393565.4532971</c:v>
                </c:pt>
                <c:pt idx="9">
                  <c:v>-36830283.2814412</c:v>
                </c:pt>
                <c:pt idx="10">
                  <c:v>-43267001.1095854</c:v>
                </c:pt>
                <c:pt idx="11">
                  <c:v>-38703718.9377295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602347"/>
        <c:axId val="50230704"/>
      </c:lineChart>
      <c:catAx>
        <c:axId val="746023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230704"/>
        <c:crosses val="autoZero"/>
        <c:auto val="1"/>
        <c:lblAlgn val="ctr"/>
        <c:lblOffset val="100"/>
        <c:noMultiLvlLbl val="0"/>
      </c:catAx>
      <c:valAx>
        <c:axId val="502307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&quot;(¥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023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58</xdr:row>
      <xdr:rowOff>134640</xdr:rowOff>
    </xdr:from>
    <xdr:to>
      <xdr:col>6</xdr:col>
      <xdr:colOff>1038600</xdr:colOff>
      <xdr:row>73</xdr:row>
      <xdr:rowOff>12960</xdr:rowOff>
    </xdr:to>
    <xdr:graphicFrame>
      <xdr:nvGraphicFramePr>
        <xdr:cNvPr id="0" name="Chart 1"/>
        <xdr:cNvGraphicFramePr/>
      </xdr:nvGraphicFramePr>
      <xdr:xfrm>
        <a:off x="266760" y="11239560"/>
        <a:ext cx="86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6" min="3" style="0" width="19"/>
    <col collapsed="false" customWidth="true" hidden="false" outlineLevel="0" max="7" min="7" style="0" width="46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4" t="s">
        <v>8</v>
      </c>
    </row>
    <row r="6" customFormat="false" ht="15" hidden="false" customHeight="false" outlineLevel="0" collapsed="false">
      <c r="B6" s="6" t="s">
        <v>9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E6+F9/②前提!$C$9</f>
        <v>548324458.420246</v>
      </c>
      <c r="G6" s="3"/>
    </row>
    <row r="7" customFormat="false" ht="15" hidden="false" customHeight="false" outlineLevel="0" collapsed="false">
      <c r="B7" s="6" t="s">
        <v>10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</f>
        <v>200601928</v>
      </c>
      <c r="G7" s="3"/>
    </row>
    <row r="8" customFormat="false" ht="15" hidden="false" customHeight="false" outlineLevel="0" collapsed="false">
      <c r="B8" s="6" t="s">
        <v>11</v>
      </c>
      <c r="C8" s="7" t="n">
        <v>0</v>
      </c>
      <c r="D8" s="8" t="n">
        <v>0</v>
      </c>
      <c r="E8" s="8" t="n">
        <f aca="false">②前提!$C$22</f>
        <v>132500000</v>
      </c>
      <c r="F8" s="8" t="n">
        <f aca="false">②前提!$C$22</f>
        <v>132500000</v>
      </c>
      <c r="G8" s="3" t="s">
        <v>12</v>
      </c>
    </row>
    <row r="9" customFormat="false" ht="15" hidden="false" customHeight="false" outlineLevel="0" collapsed="false">
      <c r="B9" s="6" t="s">
        <v>13</v>
      </c>
      <c r="C9" s="8"/>
      <c r="D9" s="8"/>
      <c r="E9" s="8"/>
      <c r="F9" s="9" t="n">
        <f aca="false">②前提!$C$30+F14-F13+F11-F7-F8</f>
        <v>82059136</v>
      </c>
      <c r="G9" s="10" t="s">
        <v>14</v>
      </c>
    </row>
    <row r="10" customFormat="false" ht="15" hidden="false" customHeight="false" outlineLevel="0" collapsed="false">
      <c r="B10" s="11" t="s">
        <v>15</v>
      </c>
      <c r="C10" s="12" t="n">
        <v>229139405</v>
      </c>
      <c r="D10" s="12" t="n">
        <f aca="false">D7+D8</f>
        <v>200601928</v>
      </c>
      <c r="E10" s="12" t="n">
        <f aca="false">E7+E8</f>
        <v>333101928</v>
      </c>
      <c r="F10" s="12" t="n">
        <f aca="false">F7+F8+F9</f>
        <v>415161064</v>
      </c>
      <c r="G10" s="13"/>
    </row>
    <row r="11" customFormat="false" ht="15" hidden="false" customHeight="false" outlineLevel="0" collapsed="false">
      <c r="B11" s="6" t="s">
        <v>16</v>
      </c>
      <c r="C11" s="7" t="n">
        <v>343932836</v>
      </c>
      <c r="D11" s="8" t="n">
        <f aca="false">②前提!$C$8*12</f>
        <v>300161064</v>
      </c>
      <c r="E11" s="8" t="n">
        <f aca="false">②前提!$C$8*12</f>
        <v>300161064</v>
      </c>
      <c r="F11" s="8" t="n">
        <f aca="false">E11</f>
        <v>300161064</v>
      </c>
      <c r="G11" s="14" t="s">
        <v>17</v>
      </c>
    </row>
    <row r="12" customFormat="false" ht="15" hidden="false" customHeight="false" outlineLevel="0" collapsed="false">
      <c r="B12" s="15" t="s">
        <v>18</v>
      </c>
      <c r="C12" s="16" t="n">
        <v>-114793431</v>
      </c>
      <c r="D12" s="16" t="n">
        <f aca="false">D10-D11</f>
        <v>-99559136</v>
      </c>
      <c r="E12" s="16" t="n">
        <f aca="false">E10-E11</f>
        <v>32940864</v>
      </c>
      <c r="F12" s="16" t="n">
        <f aca="false">F10-F11</f>
        <v>115000000</v>
      </c>
      <c r="G12" s="17"/>
    </row>
    <row r="13" customFormat="false" ht="15" hidden="false" customHeight="false" outlineLevel="0" collapsed="false">
      <c r="B13" s="6" t="s">
        <v>19</v>
      </c>
      <c r="C13" s="7" t="n">
        <v>0</v>
      </c>
      <c r="D13" s="8" t="n">
        <v>0</v>
      </c>
      <c r="E13" s="8" t="n">
        <v>0</v>
      </c>
      <c r="F13" s="8" t="n">
        <v>0</v>
      </c>
      <c r="G13" s="3" t="s">
        <v>20</v>
      </c>
    </row>
    <row r="14" customFormat="false" ht="15" hidden="false" customHeight="false" outlineLevel="0" collapsed="false">
      <c r="B14" s="6" t="s">
        <v>21</v>
      </c>
      <c r="C14" s="7" t="n">
        <v>10000000</v>
      </c>
      <c r="D14" s="8" t="n">
        <f aca="false">②前提!$C$26</f>
        <v>15000000</v>
      </c>
      <c r="E14" s="8" t="n">
        <f aca="false">②前提!$C$26</f>
        <v>15000000</v>
      </c>
      <c r="F14" s="8" t="n">
        <f aca="false">②前提!$C$26</f>
        <v>15000000</v>
      </c>
      <c r="G14" s="3"/>
    </row>
    <row r="15" customFormat="false" ht="15" hidden="false" customHeight="false" outlineLevel="0" collapsed="false">
      <c r="B15" s="18" t="s">
        <v>22</v>
      </c>
      <c r="C15" s="19" t="n">
        <v>-124793431</v>
      </c>
      <c r="D15" s="19" t="n">
        <f aca="false">D12+D13-D14</f>
        <v>-114559136</v>
      </c>
      <c r="E15" s="19" t="n">
        <f aca="false">E12+E13-E14</f>
        <v>17940864</v>
      </c>
      <c r="F15" s="19" t="n">
        <f aca="false">F12+F13-F14</f>
        <v>100000000</v>
      </c>
      <c r="G15" s="20" t="s">
        <v>23</v>
      </c>
    </row>
    <row r="16" customFormat="false" ht="15" hidden="false" customHeight="false" outlineLevel="0" collapsed="false">
      <c r="B16" s="6" t="s">
        <v>24</v>
      </c>
      <c r="C16" s="7" t="n">
        <v>0</v>
      </c>
      <c r="D16" s="8" t="n">
        <v>0</v>
      </c>
      <c r="E16" s="8" t="n">
        <v>0</v>
      </c>
      <c r="F16" s="8" t="n">
        <v>0</v>
      </c>
      <c r="G16" s="3" t="s">
        <v>25</v>
      </c>
    </row>
    <row r="17" customFormat="false" ht="15" hidden="false" customHeight="false" outlineLevel="0" collapsed="false">
      <c r="B17" s="11" t="s">
        <v>26</v>
      </c>
      <c r="C17" s="12" t="n">
        <v>-124793431</v>
      </c>
      <c r="D17" s="12" t="n">
        <f aca="false">D15-D16</f>
        <v>-114559136</v>
      </c>
      <c r="E17" s="12" t="n">
        <f aca="false">E15-E16</f>
        <v>17940864</v>
      </c>
      <c r="F17" s="12" t="n">
        <f aca="false">F15-F16</f>
        <v>100000000</v>
      </c>
      <c r="G17" s="13"/>
    </row>
    <row r="21" customFormat="false" ht="16.4" hidden="false" customHeight="false" outlineLevel="0" collapsed="false">
      <c r="B21" s="21" t="s">
        <v>27</v>
      </c>
    </row>
    <row r="22" customFormat="false" ht="30" hidden="false" customHeight="true" outlineLevel="0" collapsed="false">
      <c r="C22" s="22" t="s">
        <v>28</v>
      </c>
      <c r="D22" s="23" t="s">
        <v>29</v>
      </c>
    </row>
    <row r="23" customFormat="false" ht="15" hidden="false" customHeight="false" outlineLevel="0" collapsed="false">
      <c r="B23" s="6" t="s">
        <v>30</v>
      </c>
      <c r="C23" s="24" t="n">
        <f aca="false">F9/②前提!$C$9</f>
        <v>159183690.420246</v>
      </c>
      <c r="D23" s="25" t="n">
        <f aca="false">C23/②前提!$C$31</f>
        <v>0.149328039793852</v>
      </c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</row>
    <row r="27" customFormat="false" ht="15" hidden="false" customHeight="false" outlineLevel="0" collapsed="false">
      <c r="B27" s="27" t="s">
        <v>31</v>
      </c>
      <c r="C27" s="27"/>
      <c r="D27" s="27"/>
      <c r="E27" s="27"/>
      <c r="F27" s="27"/>
      <c r="G27" s="27"/>
    </row>
    <row r="28" customFormat="false" ht="15" hidden="false" customHeight="false" outlineLevel="0" collapsed="false">
      <c r="B28" s="26" t="s">
        <v>32</v>
      </c>
      <c r="C28" s="26"/>
      <c r="D28" s="26"/>
      <c r="E28" s="26"/>
      <c r="F28" s="26"/>
      <c r="G28" s="26"/>
    </row>
    <row r="29" customFormat="false" ht="15" hidden="false" customHeight="false" outlineLevel="0" collapsed="false">
      <c r="B29" s="26" t="s">
        <v>33</v>
      </c>
      <c r="C29" s="26"/>
      <c r="D29" s="26"/>
      <c r="E29" s="26"/>
      <c r="F29" s="26"/>
      <c r="G29" s="26"/>
    </row>
    <row r="30" customFormat="false" ht="15" hidden="false" customHeight="false" outlineLevel="0" collapsed="false">
      <c r="B30" s="26" t="s">
        <v>34</v>
      </c>
      <c r="C30" s="26"/>
      <c r="D30" s="26"/>
      <c r="E30" s="26"/>
      <c r="F30" s="26"/>
      <c r="G30" s="26"/>
    </row>
    <row r="31" customFormat="false" ht="15" hidden="false" customHeight="false" outlineLevel="0" collapsed="false">
      <c r="B31" s="28" t="s">
        <v>35</v>
      </c>
      <c r="C31" s="28"/>
      <c r="D31" s="28"/>
      <c r="E31" s="28"/>
      <c r="F31" s="28"/>
      <c r="G31" s="28"/>
    </row>
    <row r="32" customFormat="false" ht="15" hidden="false" customHeight="false" outlineLevel="0" collapsed="false">
      <c r="B32" s="26"/>
      <c r="C32" s="26"/>
      <c r="D32" s="26"/>
      <c r="E32" s="26"/>
      <c r="F32" s="26"/>
      <c r="G32" s="26"/>
    </row>
    <row r="33" customFormat="false" ht="15" hidden="false" customHeight="false" outlineLevel="0" collapsed="false">
      <c r="B33" s="28" t="s">
        <v>36</v>
      </c>
      <c r="C33" s="28"/>
      <c r="D33" s="28"/>
      <c r="E33" s="28"/>
      <c r="F33" s="28"/>
      <c r="G33" s="28"/>
    </row>
    <row r="34" customFormat="false" ht="15" hidden="false" customHeight="false" outlineLevel="0" collapsed="false">
      <c r="B34" s="28" t="s">
        <v>37</v>
      </c>
      <c r="C34" s="28"/>
      <c r="D34" s="28"/>
      <c r="E34" s="28"/>
      <c r="F34" s="28"/>
      <c r="G34" s="28"/>
    </row>
    <row r="35" customFormat="false" ht="15" hidden="false" customHeight="false" outlineLevel="0" collapsed="false">
      <c r="B35" s="28" t="s">
        <v>38</v>
      </c>
      <c r="C35" s="28"/>
      <c r="D35" s="28"/>
      <c r="E35" s="28"/>
      <c r="F35" s="28"/>
      <c r="G35" s="28"/>
    </row>
  </sheetData>
  <mergeCells count="10">
    <mergeCell ref="B26:G26"/>
    <mergeCell ref="B27:G27"/>
    <mergeCell ref="B28:G28"/>
    <mergeCell ref="B29:G29"/>
    <mergeCell ref="B30:G30"/>
    <mergeCell ref="B31:G31"/>
    <mergeCell ref="B32:G32"/>
    <mergeCell ref="B33:G33"/>
    <mergeCell ref="B34:G34"/>
    <mergeCell ref="B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9" t="s">
        <v>39</v>
      </c>
    </row>
    <row r="2" customFormat="false" ht="15" hidden="false" customHeight="false" outlineLevel="0" collapsed="false">
      <c r="B2" s="3" t="s">
        <v>40</v>
      </c>
    </row>
    <row r="3" customFormat="false" ht="15" hidden="false" customHeight="false" outlineLevel="0" collapsed="false">
      <c r="B3" s="30" t="s">
        <v>41</v>
      </c>
    </row>
    <row r="5" customFormat="false" ht="30" hidden="false" customHeight="true" outlineLevel="0" collapsed="false">
      <c r="B5" s="22" t="s">
        <v>3</v>
      </c>
      <c r="C5" s="31" t="s">
        <v>42</v>
      </c>
      <c r="D5" s="31" t="s">
        <v>43</v>
      </c>
      <c r="E5" s="31" t="s">
        <v>44</v>
      </c>
      <c r="F5" s="31" t="s">
        <v>45</v>
      </c>
      <c r="G5" s="31" t="s">
        <v>46</v>
      </c>
      <c r="H5" s="31" t="s">
        <v>47</v>
      </c>
      <c r="I5" s="31" t="s">
        <v>48</v>
      </c>
      <c r="J5" s="31" t="s">
        <v>49</v>
      </c>
      <c r="K5" s="31" t="s">
        <v>50</v>
      </c>
      <c r="L5" s="31" t="s">
        <v>51</v>
      </c>
      <c r="M5" s="31" t="s">
        <v>52</v>
      </c>
      <c r="N5" s="31" t="s">
        <v>53</v>
      </c>
      <c r="O5" s="23" t="s">
        <v>54</v>
      </c>
      <c r="P5" s="32" t="s">
        <v>55</v>
      </c>
      <c r="Q5" s="32" t="s">
        <v>56</v>
      </c>
      <c r="R5" s="23" t="s">
        <v>57</v>
      </c>
    </row>
    <row r="6" customFormat="false" ht="15" hidden="false" customHeight="false" outlineLevel="0" collapsed="false">
      <c r="B6" s="6" t="s">
        <v>58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33" t="n">
        <v>60489854</v>
      </c>
      <c r="M6" s="33" t="n">
        <v>37962048</v>
      </c>
      <c r="N6" s="33" t="n">
        <v>232918371</v>
      </c>
      <c r="O6" s="34" t="n">
        <f aca="false">SUM(C6:N6)</f>
        <v>708205820</v>
      </c>
      <c r="P6" s="34" t="n">
        <f aca="false">AVERAGE(C6:H6)</f>
        <v>46591725.8333333</v>
      </c>
      <c r="Q6" s="34" t="n">
        <f aca="false">AVERAGE(I6:K6)</f>
        <v>32428397.3333333</v>
      </c>
      <c r="R6" s="34" t="n">
        <f aca="false">Q6-P6</f>
        <v>-14163328.5</v>
      </c>
    </row>
    <row r="7" customFormat="false" ht="15" hidden="false" customHeight="false" outlineLevel="0" collapsed="false">
      <c r="B7" s="6" t="s">
        <v>59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33" t="n">
        <v>38396406</v>
      </c>
      <c r="M7" s="33" t="n">
        <v>23721353</v>
      </c>
      <c r="N7" s="33" t="n">
        <v>204966678</v>
      </c>
      <c r="O7" s="34" t="n">
        <f aca="false">SUM(C7:N7)</f>
        <v>479066414</v>
      </c>
      <c r="P7" s="34" t="n">
        <f aca="false">AVERAGE(C7:H7)</f>
        <v>27474544.5</v>
      </c>
      <c r="Q7" s="34" t="n">
        <f aca="false">AVERAGE(I7:K7)</f>
        <v>15711570</v>
      </c>
      <c r="R7" s="34" t="n">
        <f aca="false">Q7-P7</f>
        <v>-11762974.5</v>
      </c>
    </row>
    <row r="8" customFormat="false" ht="15" hidden="false" customHeight="false" outlineLevel="0" collapsed="false">
      <c r="B8" s="35" t="s">
        <v>60</v>
      </c>
      <c r="C8" s="34" t="n">
        <v>14286430</v>
      </c>
      <c r="D8" s="34" t="n">
        <v>27707108</v>
      </c>
      <c r="E8" s="34" t="n">
        <v>21954555</v>
      </c>
      <c r="F8" s="34" t="n">
        <v>15956009</v>
      </c>
      <c r="G8" s="34" t="n">
        <v>20220065</v>
      </c>
      <c r="H8" s="34" t="n">
        <v>14578921</v>
      </c>
      <c r="I8" s="34" t="n">
        <v>15679441</v>
      </c>
      <c r="J8" s="34" t="n">
        <v>18139193</v>
      </c>
      <c r="K8" s="34" t="n">
        <v>16331848</v>
      </c>
      <c r="L8" s="34" t="n">
        <v>22093448</v>
      </c>
      <c r="M8" s="34" t="n">
        <v>14240695</v>
      </c>
      <c r="N8" s="34" t="n">
        <v>27951692</v>
      </c>
      <c r="O8" s="34" t="n">
        <f aca="false">SUM(C8:N8)</f>
        <v>229139405</v>
      </c>
      <c r="P8" s="34" t="n">
        <f aca="false">AVERAGE(C8:H8)</f>
        <v>19117181.3333333</v>
      </c>
      <c r="Q8" s="34" t="n">
        <f aca="false">AVERAGE(I8:K8)</f>
        <v>16716827.3333333</v>
      </c>
      <c r="R8" s="34" t="n">
        <f aca="false">Q8-P8</f>
        <v>-2400354</v>
      </c>
    </row>
    <row r="10" customFormat="false" ht="15" hidden="false" customHeight="false" outlineLevel="0" collapsed="false">
      <c r="B10" s="36" t="s">
        <v>61</v>
      </c>
    </row>
    <row r="11" customFormat="false" ht="15" hidden="false" customHeight="false" outlineLevel="0" collapsed="false">
      <c r="B11" s="6" t="s">
        <v>62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33" t="n">
        <v>1140000</v>
      </c>
      <c r="M11" s="33" t="n">
        <v>1140000</v>
      </c>
      <c r="N11" s="33" t="n">
        <v>1140000</v>
      </c>
      <c r="O11" s="34" t="n">
        <f aca="false">SUM(C11:N11)</f>
        <v>21048000</v>
      </c>
      <c r="P11" s="34" t="n">
        <f aca="false">AVERAGE(C11:H11)</f>
        <v>1886000</v>
      </c>
      <c r="Q11" s="34" t="n">
        <f aca="false">AVERAGE(I11:K11)</f>
        <v>2104000</v>
      </c>
      <c r="R11" s="34" t="n">
        <f aca="false">Q11-P11</f>
        <v>218000</v>
      </c>
    </row>
    <row r="12" customFormat="false" ht="15" hidden="false" customHeight="false" outlineLevel="0" collapsed="false">
      <c r="B12" s="6" t="s">
        <v>63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33" t="n">
        <v>3360996</v>
      </c>
      <c r="M12" s="33" t="n">
        <v>3360996</v>
      </c>
      <c r="N12" s="33" t="n">
        <v>3360996</v>
      </c>
      <c r="O12" s="34" t="n">
        <f aca="false">SUM(C12:N12)</f>
        <v>47883466</v>
      </c>
      <c r="P12" s="34" t="n">
        <f aca="false">AVERAGE(C12:H12)</f>
        <v>4877778.66666667</v>
      </c>
      <c r="Q12" s="34" t="n">
        <f aca="false">AVERAGE(I12:K12)</f>
        <v>2844602</v>
      </c>
      <c r="R12" s="34" t="n">
        <f aca="false">Q12-P12</f>
        <v>-2033176.66666667</v>
      </c>
    </row>
    <row r="13" customFormat="false" ht="15" hidden="false" customHeight="false" outlineLevel="0" collapsed="false">
      <c r="B13" s="6" t="s">
        <v>64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33" t="n">
        <v>300000</v>
      </c>
      <c r="M13" s="33" t="n">
        <v>300000</v>
      </c>
      <c r="N13" s="33" t="n">
        <v>300000</v>
      </c>
      <c r="O13" s="34" t="n">
        <f aca="false">SUM(C13:N13)</f>
        <v>13354544</v>
      </c>
      <c r="P13" s="34" t="n">
        <f aca="false">AVERAGE(C13:H13)</f>
        <v>1976719.83333333</v>
      </c>
      <c r="Q13" s="34" t="n">
        <f aca="false">AVERAGE(I13:K13)</f>
        <v>198075</v>
      </c>
      <c r="R13" s="34" t="n">
        <f aca="false">Q13-P13</f>
        <v>-1778644.83333333</v>
      </c>
    </row>
    <row r="14" customFormat="false" ht="15" hidden="false" customHeight="false" outlineLevel="0" collapsed="false">
      <c r="B14" s="6" t="s">
        <v>65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33" t="n">
        <v>700959</v>
      </c>
      <c r="M14" s="33" t="n">
        <v>700959</v>
      </c>
      <c r="N14" s="33" t="n">
        <v>700959</v>
      </c>
      <c r="O14" s="34" t="n">
        <f aca="false">SUM(C14:N14)</f>
        <v>7898512</v>
      </c>
      <c r="P14" s="34" t="n">
        <f aca="false">AVERAGE(C14:H14)</f>
        <v>494344.5</v>
      </c>
      <c r="Q14" s="34" t="n">
        <f aca="false">AVERAGE(I14:K14)</f>
        <v>943189.333333333</v>
      </c>
      <c r="R14" s="34" t="n">
        <f aca="false">Q14-P14</f>
        <v>448844.833333333</v>
      </c>
    </row>
    <row r="15" customFormat="false" ht="15" hidden="false" customHeight="false" outlineLevel="0" collapsed="false">
      <c r="B15" s="6" t="s">
        <v>66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33" t="n">
        <v>1101461</v>
      </c>
      <c r="M15" s="33" t="n">
        <v>2190787</v>
      </c>
      <c r="N15" s="33" t="n">
        <v>2207913</v>
      </c>
      <c r="O15" s="34" t="n">
        <f aca="false">SUM(C15:N15)</f>
        <v>8812005</v>
      </c>
      <c r="P15" s="34" t="n">
        <f aca="false">AVERAGE(C15:H15)</f>
        <v>291602.833333333</v>
      </c>
      <c r="Q15" s="34" t="n">
        <f aca="false">AVERAGE(I15:K15)</f>
        <v>520742.333333333</v>
      </c>
      <c r="R15" s="34" t="n">
        <f aca="false">Q15-P15</f>
        <v>229139.5</v>
      </c>
    </row>
    <row r="16" customFormat="false" ht="15" hidden="false" customHeight="false" outlineLevel="0" collapsed="false">
      <c r="B16" s="6" t="s">
        <v>67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33" t="n">
        <v>728319</v>
      </c>
      <c r="M16" s="33" t="n">
        <v>1204454</v>
      </c>
      <c r="N16" s="33" t="n">
        <v>814324</v>
      </c>
      <c r="O16" s="34" t="n">
        <f aca="false">SUM(C16:N16)</f>
        <v>10557150</v>
      </c>
      <c r="P16" s="34" t="n">
        <f aca="false">AVERAGE(C16:H16)</f>
        <v>808520.666666667</v>
      </c>
      <c r="Q16" s="34" t="n">
        <f aca="false">AVERAGE(I16:K16)</f>
        <v>986309.666666667</v>
      </c>
      <c r="R16" s="34" t="n">
        <f aca="false">Q16-P16</f>
        <v>177789</v>
      </c>
    </row>
    <row r="17" customFormat="false" ht="15" hidden="false" customHeight="false" outlineLevel="0" collapsed="false">
      <c r="B17" s="6" t="s">
        <v>68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33" t="n">
        <v>1197015</v>
      </c>
      <c r="M17" s="33" t="n">
        <v>1315343</v>
      </c>
      <c r="N17" s="33" t="n">
        <v>1218389</v>
      </c>
      <c r="O17" s="34" t="n">
        <f aca="false">SUM(C17:N17)</f>
        <v>38238333</v>
      </c>
      <c r="P17" s="34" t="n">
        <f aca="false">AVERAGE(C17:H17)</f>
        <v>4121789.33333333</v>
      </c>
      <c r="Q17" s="34" t="n">
        <f aca="false">AVERAGE(I17:K17)</f>
        <v>3258950</v>
      </c>
      <c r="R17" s="34" t="n">
        <f aca="false">Q17-P17</f>
        <v>-862839.333333334</v>
      </c>
    </row>
    <row r="18" customFormat="false" ht="15" hidden="false" customHeight="false" outlineLevel="0" collapsed="false">
      <c r="B18" s="6" t="s">
        <v>69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33" t="n">
        <v>1300000</v>
      </c>
      <c r="M18" s="33" t="n">
        <v>1300000</v>
      </c>
      <c r="N18" s="33" t="n">
        <v>1300000</v>
      </c>
      <c r="O18" s="34" t="n">
        <f aca="false">SUM(C18:N18)</f>
        <v>45071016</v>
      </c>
      <c r="P18" s="34" t="n">
        <f aca="false">AVERAGE(C18:H18)</f>
        <v>5000984.66666667</v>
      </c>
      <c r="Q18" s="34" t="n">
        <f aca="false">AVERAGE(I18:K18)</f>
        <v>3721702.66666667</v>
      </c>
      <c r="R18" s="34" t="n">
        <f aca="false">Q18-P18</f>
        <v>-1279282</v>
      </c>
    </row>
    <row r="19" customFormat="false" ht="15" hidden="false" customHeight="false" outlineLevel="0" collapsed="false">
      <c r="B19" s="6" t="s">
        <v>70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33" t="n">
        <v>172511</v>
      </c>
      <c r="M19" s="33" t="n">
        <v>172511</v>
      </c>
      <c r="N19" s="33" t="n">
        <v>172511</v>
      </c>
      <c r="O19" s="34" t="n">
        <f aca="false">SUM(C19:N19)</f>
        <v>4121645</v>
      </c>
      <c r="P19" s="34" t="n">
        <f aca="false">AVERAGE(C19:H19)</f>
        <v>400671.666666667</v>
      </c>
      <c r="Q19" s="34" t="n">
        <f aca="false">AVERAGE(I19:K19)</f>
        <v>400027.333333333</v>
      </c>
      <c r="R19" s="34" t="n">
        <f aca="false">Q19-P19</f>
        <v>-644.333333333372</v>
      </c>
    </row>
    <row r="20" customFormat="false" ht="15" hidden="false" customHeight="false" outlineLevel="0" collapsed="false">
      <c r="B20" s="6" t="s">
        <v>71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33" t="n">
        <v>400000</v>
      </c>
      <c r="M20" s="33" t="n">
        <v>400000</v>
      </c>
      <c r="N20" s="33" t="n">
        <v>400000</v>
      </c>
      <c r="O20" s="34" t="n">
        <f aca="false">SUM(C20:N20)</f>
        <v>9107895</v>
      </c>
      <c r="P20" s="34" t="n">
        <f aca="false">AVERAGE(C20:H20)</f>
        <v>974234.333333333</v>
      </c>
      <c r="Q20" s="34" t="n">
        <f aca="false">AVERAGE(I20:K20)</f>
        <v>687496.333333333</v>
      </c>
      <c r="R20" s="34" t="n">
        <f aca="false">Q20-P20</f>
        <v>-286738</v>
      </c>
    </row>
    <row r="21" customFormat="false" ht="15" hidden="false" customHeight="false" outlineLevel="0" collapsed="false">
      <c r="B21" s="6" t="s">
        <v>72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33" t="n">
        <v>0</v>
      </c>
      <c r="M21" s="33" t="n">
        <v>0</v>
      </c>
      <c r="N21" s="33" t="n">
        <v>0</v>
      </c>
      <c r="O21" s="34" t="n">
        <f aca="false">SUM(C21:N21)</f>
        <v>2191324</v>
      </c>
      <c r="P21" s="34" t="n">
        <f aca="false">AVERAGE(C21:H21)</f>
        <v>288154.5</v>
      </c>
      <c r="Q21" s="34" t="n">
        <f aca="false">AVERAGE(I21:K21)</f>
        <v>154132.333333333</v>
      </c>
      <c r="R21" s="34" t="n">
        <f aca="false">Q21-P21</f>
        <v>-134022.166666667</v>
      </c>
    </row>
    <row r="22" customFormat="false" ht="15" hidden="false" customHeight="false" outlineLevel="0" collapsed="false">
      <c r="B22" s="6" t="s">
        <v>73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33" t="n">
        <v>112868</v>
      </c>
      <c r="M22" s="33" t="n">
        <v>114508</v>
      </c>
      <c r="N22" s="33" t="n">
        <v>114868</v>
      </c>
      <c r="O22" s="34" t="n">
        <f aca="false">SUM(C22:N22)</f>
        <v>1612136</v>
      </c>
      <c r="P22" s="34" t="n">
        <f aca="false">AVERAGE(C22:H22)</f>
        <v>150173.5</v>
      </c>
      <c r="Q22" s="34" t="n">
        <f aca="false">AVERAGE(I22:K22)</f>
        <v>122950.333333333</v>
      </c>
      <c r="R22" s="34" t="n">
        <f aca="false">Q22-P22</f>
        <v>-27223.1666666667</v>
      </c>
    </row>
    <row r="23" customFormat="false" ht="15" hidden="false" customHeight="false" outlineLevel="0" collapsed="false">
      <c r="B23" s="6" t="s">
        <v>74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33" t="n">
        <v>0</v>
      </c>
      <c r="M23" s="33" t="n">
        <v>0</v>
      </c>
      <c r="N23" s="33" t="n">
        <v>0</v>
      </c>
      <c r="O23" s="34" t="n">
        <f aca="false">SUM(C23:N23)</f>
        <v>580870</v>
      </c>
      <c r="P23" s="34" t="n">
        <f aca="false">AVERAGE(C23:H23)</f>
        <v>96811.6666666667</v>
      </c>
      <c r="Q23" s="34" t="n">
        <f aca="false">AVERAGE(I23:K23)</f>
        <v>0</v>
      </c>
      <c r="R23" s="34" t="n">
        <f aca="false">Q23-P23</f>
        <v>-96811.6666666667</v>
      </c>
    </row>
    <row r="24" customFormat="false" ht="15" hidden="false" customHeight="false" outlineLevel="0" collapsed="false">
      <c r="B24" s="6" t="s">
        <v>75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33" t="n">
        <v>0</v>
      </c>
      <c r="M24" s="33" t="n">
        <v>0</v>
      </c>
      <c r="N24" s="33" t="n">
        <v>0</v>
      </c>
      <c r="O24" s="34" t="n">
        <f aca="false">SUM(C24:N24)</f>
        <v>3212090</v>
      </c>
      <c r="P24" s="34" t="n">
        <f aca="false">AVERAGE(C24:H24)</f>
        <v>412101.5</v>
      </c>
      <c r="Q24" s="34" t="n">
        <f aca="false">AVERAGE(I24:K24)</f>
        <v>246493.666666667</v>
      </c>
      <c r="R24" s="34" t="n">
        <f aca="false">Q24-P24</f>
        <v>-165607.833333333</v>
      </c>
    </row>
    <row r="25" customFormat="false" ht="15" hidden="false" customHeight="false" outlineLevel="0" collapsed="false">
      <c r="B25" s="6" t="s">
        <v>76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33" t="n">
        <v>1397165</v>
      </c>
      <c r="M25" s="33" t="n">
        <v>2239059</v>
      </c>
      <c r="N25" s="33" t="n">
        <v>1549238</v>
      </c>
      <c r="O25" s="34" t="n">
        <f aca="false">SUM(C25:N25)</f>
        <v>17631310</v>
      </c>
      <c r="P25" s="34" t="n">
        <f aca="false">AVERAGE(C25:H25)</f>
        <v>1467807</v>
      </c>
      <c r="Q25" s="34" t="n">
        <f aca="false">AVERAGE(I25:K25)</f>
        <v>1213002</v>
      </c>
      <c r="R25" s="34" t="n">
        <f aca="false">Q25-P25</f>
        <v>-254805</v>
      </c>
    </row>
    <row r="26" customFormat="false" ht="15" hidden="false" customHeight="false" outlineLevel="0" collapsed="false">
      <c r="B26" s="6" t="s">
        <v>77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33" t="n">
        <v>0</v>
      </c>
      <c r="M26" s="33" t="n">
        <v>0</v>
      </c>
      <c r="N26" s="33" t="n">
        <v>0</v>
      </c>
      <c r="O26" s="34" t="n">
        <f aca="false">SUM(C26:N26)</f>
        <v>1095098</v>
      </c>
      <c r="P26" s="34" t="n">
        <f aca="false">AVERAGE(C26:H26)</f>
        <v>182516.333333333</v>
      </c>
      <c r="Q26" s="34" t="n">
        <f aca="false">AVERAGE(I26:K26)</f>
        <v>0</v>
      </c>
      <c r="R26" s="34" t="n">
        <f aca="false">Q26-P26</f>
        <v>-182516.333333333</v>
      </c>
    </row>
    <row r="27" customFormat="false" ht="15" hidden="false" customHeight="false" outlineLevel="0" collapsed="false">
      <c r="B27" s="6" t="s">
        <v>78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33" t="n">
        <v>1137091</v>
      </c>
      <c r="M27" s="33" t="n">
        <v>1137091</v>
      </c>
      <c r="N27" s="33" t="n">
        <v>1137091</v>
      </c>
      <c r="O27" s="34" t="n">
        <f aca="false">SUM(C27:N27)</f>
        <v>33528144</v>
      </c>
      <c r="P27" s="34" t="n">
        <f aca="false">AVERAGE(C27:H27)</f>
        <v>3394356.83333333</v>
      </c>
      <c r="Q27" s="34" t="n">
        <f aca="false">AVERAGE(I27:K27)</f>
        <v>3250243.33333333</v>
      </c>
      <c r="R27" s="34" t="n">
        <f aca="false">Q27-P27</f>
        <v>-144113.5</v>
      </c>
    </row>
    <row r="28" customFormat="false" ht="15" hidden="false" customHeight="false" outlineLevel="0" collapsed="false">
      <c r="B28" s="6" t="s">
        <v>79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33" t="n">
        <v>0</v>
      </c>
      <c r="M28" s="33" t="n">
        <v>0</v>
      </c>
      <c r="N28" s="33" t="n">
        <v>0</v>
      </c>
      <c r="O28" s="34" t="n">
        <f aca="false">SUM(C28:N28)</f>
        <v>513707</v>
      </c>
      <c r="P28" s="34" t="n">
        <f aca="false">AVERAGE(C28:H28)</f>
        <v>60690</v>
      </c>
      <c r="Q28" s="34" t="n">
        <f aca="false">AVERAGE(I28:K28)</f>
        <v>49855.6666666667</v>
      </c>
      <c r="R28" s="34" t="n">
        <f aca="false">Q28-P28</f>
        <v>-10834.3333333333</v>
      </c>
    </row>
    <row r="29" customFormat="false" ht="15" hidden="false" customHeight="false" outlineLevel="0" collapsed="false">
      <c r="B29" s="6" t="s">
        <v>80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33" t="n">
        <v>179847</v>
      </c>
      <c r="M29" s="33" t="n">
        <v>179847</v>
      </c>
      <c r="N29" s="33" t="n">
        <v>179847</v>
      </c>
      <c r="O29" s="34" t="n">
        <f aca="false">SUM(C29:N29)</f>
        <v>619541</v>
      </c>
      <c r="P29" s="34" t="n">
        <f aca="false">AVERAGE(C29:H29)</f>
        <v>10000</v>
      </c>
      <c r="Q29" s="34" t="n">
        <f aca="false">AVERAGE(I29:K29)</f>
        <v>6666.66666666667</v>
      </c>
      <c r="R29" s="34" t="n">
        <f aca="false">Q29-P29</f>
        <v>-3333.33333333333</v>
      </c>
    </row>
    <row r="30" customFormat="false" ht="15" hidden="false" customHeight="false" outlineLevel="0" collapsed="false">
      <c r="B30" s="6" t="s">
        <v>81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33" t="n">
        <v>0</v>
      </c>
      <c r="M30" s="33" t="n">
        <v>0</v>
      </c>
      <c r="N30" s="33" t="n">
        <v>0</v>
      </c>
      <c r="O30" s="34" t="n">
        <f aca="false">SUM(C30:N30)</f>
        <v>2586997</v>
      </c>
      <c r="P30" s="34" t="n">
        <f aca="false">AVERAGE(C30:H30)</f>
        <v>233852.833333333</v>
      </c>
      <c r="Q30" s="34" t="n">
        <f aca="false">AVERAGE(I30:K30)</f>
        <v>394626.666666667</v>
      </c>
      <c r="R30" s="34" t="n">
        <f aca="false">Q30-P30</f>
        <v>160773.833333333</v>
      </c>
    </row>
    <row r="31" customFormat="false" ht="15" hidden="false" customHeight="false" outlineLevel="0" collapsed="false">
      <c r="B31" s="6" t="s">
        <v>82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33" t="n">
        <v>0</v>
      </c>
      <c r="M31" s="33" t="n">
        <v>0</v>
      </c>
      <c r="N31" s="33" t="n">
        <v>0</v>
      </c>
      <c r="O31" s="34" t="n">
        <f aca="false">SUM(C31:N31)</f>
        <v>82705</v>
      </c>
      <c r="P31" s="34" t="n">
        <f aca="false">AVERAGE(C31:H31)</f>
        <v>13784.1666666667</v>
      </c>
      <c r="Q31" s="34" t="n">
        <f aca="false">AVERAGE(I31:K31)</f>
        <v>0</v>
      </c>
      <c r="R31" s="34" t="n">
        <f aca="false">Q31-P31</f>
        <v>-13784.1666666667</v>
      </c>
    </row>
    <row r="32" customFormat="false" ht="15" hidden="false" customHeight="false" outlineLevel="0" collapsed="false">
      <c r="B32" s="6" t="s">
        <v>83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33" t="n">
        <v>2246731</v>
      </c>
      <c r="M32" s="33" t="n">
        <v>2246731</v>
      </c>
      <c r="N32" s="33" t="n">
        <v>2246731</v>
      </c>
      <c r="O32" s="34" t="n">
        <f aca="false">SUM(C32:N32)</f>
        <v>40872160</v>
      </c>
      <c r="P32" s="34" t="n">
        <f aca="false">AVERAGE(C32:H32)</f>
        <v>3869724.66666667</v>
      </c>
      <c r="Q32" s="34" t="n">
        <f aca="false">AVERAGE(I32:K32)</f>
        <v>3637873</v>
      </c>
      <c r="R32" s="34" t="n">
        <f aca="false">Q32-P32</f>
        <v>-231851.666666667</v>
      </c>
    </row>
    <row r="33" customFormat="false" ht="15" hidden="false" customHeight="false" outlineLevel="0" collapsed="false">
      <c r="B33" s="6" t="s">
        <v>84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33" t="n">
        <v>5546051</v>
      </c>
      <c r="M33" s="33" t="n">
        <v>5910511</v>
      </c>
      <c r="N33" s="33" t="n">
        <v>5571711</v>
      </c>
      <c r="O33" s="34" t="n">
        <f aca="false">SUM(C33:N33)</f>
        <v>33314185</v>
      </c>
      <c r="P33" s="34" t="n">
        <f aca="false">AVERAGE(C33:H33)</f>
        <v>2578076.83333333</v>
      </c>
      <c r="Q33" s="34" t="n">
        <f aca="false">AVERAGE(I33:K33)</f>
        <v>272483.666666667</v>
      </c>
      <c r="R33" s="34" t="n">
        <f aca="false">Q33-P33</f>
        <v>-2305593.16666667</v>
      </c>
    </row>
    <row r="34" customFormat="false" ht="15" hidden="false" customHeight="false" outlineLevel="0" collapsed="false">
      <c r="B34" s="37" t="s">
        <v>85</v>
      </c>
      <c r="C34" s="12" t="n">
        <f aca="false">SUM(C11:C33)</f>
        <v>25374892</v>
      </c>
      <c r="D34" s="12" t="n">
        <f aca="false">SUM(D11:D33)</f>
        <v>30963282</v>
      </c>
      <c r="E34" s="12" t="n">
        <f aca="false">SUM(E11:E33)</f>
        <v>38572456</v>
      </c>
      <c r="F34" s="12" t="n">
        <f aca="false">SUM(F11:F33)</f>
        <v>33761779</v>
      </c>
      <c r="G34" s="12" t="n">
        <f aca="false">SUM(G11:G33)</f>
        <v>34133901</v>
      </c>
      <c r="H34" s="12" t="n">
        <f aca="false">SUM(H11:H33)</f>
        <v>38737868</v>
      </c>
      <c r="I34" s="12" t="n">
        <f aca="false">SUM(I11:I33)</f>
        <v>25883967</v>
      </c>
      <c r="J34" s="12" t="n">
        <f aca="false">SUM(J11:J33)</f>
        <v>24529013</v>
      </c>
      <c r="K34" s="12" t="n">
        <f aca="false">SUM(K11:K33)</f>
        <v>24627286</v>
      </c>
      <c r="L34" s="12" t="n">
        <f aca="false">SUM(L11:L33)</f>
        <v>21021014</v>
      </c>
      <c r="M34" s="12" t="n">
        <f aca="false">SUM(M11:M33)</f>
        <v>23912797</v>
      </c>
      <c r="N34" s="12" t="n">
        <f aca="false">SUM(N11:N33)</f>
        <v>22414578</v>
      </c>
      <c r="O34" s="12" t="n">
        <f aca="false">SUM(C34:N34)</f>
        <v>343932833</v>
      </c>
      <c r="P34" s="12" t="n">
        <f aca="false">AVERAGE(C34:H34)</f>
        <v>33590696.3333333</v>
      </c>
      <c r="Q34" s="12" t="n">
        <f aca="false">AVERAGE(I34:K34)</f>
        <v>25013422</v>
      </c>
      <c r="R34" s="12" t="n">
        <f aca="false">Q34-P34</f>
        <v>-8577274.33333334</v>
      </c>
    </row>
    <row r="35" customFormat="false" ht="15" hidden="false" customHeight="false" outlineLevel="0" collapsed="false">
      <c r="B35" s="15" t="s">
        <v>18</v>
      </c>
      <c r="C35" s="16" t="n">
        <f aca="false">C8-C34</f>
        <v>-11088462</v>
      </c>
      <c r="D35" s="16" t="n">
        <f aca="false">D8-D34</f>
        <v>-3256174</v>
      </c>
      <c r="E35" s="16" t="n">
        <f aca="false">E8-E34</f>
        <v>-16617901</v>
      </c>
      <c r="F35" s="16" t="n">
        <f aca="false">F8-F34</f>
        <v>-17805770</v>
      </c>
      <c r="G35" s="16" t="n">
        <f aca="false">G8-G34</f>
        <v>-13913836</v>
      </c>
      <c r="H35" s="16" t="n">
        <f aca="false">H8-H34</f>
        <v>-24158947</v>
      </c>
      <c r="I35" s="16" t="n">
        <f aca="false">I8-I34</f>
        <v>-10204526</v>
      </c>
      <c r="J35" s="16" t="n">
        <f aca="false">J8-J34</f>
        <v>-6389820</v>
      </c>
      <c r="K35" s="16" t="n">
        <f aca="false">K8-K34</f>
        <v>-8295438</v>
      </c>
      <c r="L35" s="16" t="n">
        <f aca="false">L8-L34</f>
        <v>1072434</v>
      </c>
      <c r="M35" s="16" t="n">
        <f aca="false">M8-M34</f>
        <v>-9672102</v>
      </c>
      <c r="N35" s="16" t="n">
        <f aca="false">N8-N34</f>
        <v>5537114</v>
      </c>
      <c r="O35" s="16" t="n">
        <f aca="false">SUM(C35:N35)</f>
        <v>-114793428</v>
      </c>
    </row>
    <row r="37" customFormat="false" ht="15" hidden="false" customHeight="false" outlineLevel="0" collapsed="false">
      <c r="B37" s="30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8" t="s">
        <v>87</v>
      </c>
    </row>
    <row r="2" customFormat="false" ht="15" hidden="false" customHeight="false" outlineLevel="0" collapsed="false">
      <c r="B2" s="3" t="s">
        <v>88</v>
      </c>
    </row>
    <row r="4" customFormat="false" ht="15" hidden="false" customHeight="false" outlineLevel="0" collapsed="false">
      <c r="B4" s="39" t="s">
        <v>89</v>
      </c>
      <c r="C4" s="40"/>
      <c r="D4" s="40"/>
      <c r="E4" s="40"/>
      <c r="F4" s="40"/>
      <c r="G4" s="40"/>
    </row>
    <row r="5" customFormat="false" ht="15" hidden="false" customHeight="false" outlineLevel="0" collapsed="false">
      <c r="B5" s="22" t="s">
        <v>90</v>
      </c>
      <c r="C5" s="41" t="s">
        <v>91</v>
      </c>
    </row>
    <row r="6" customFormat="false" ht="15" hidden="false" customHeight="false" outlineLevel="0" collapsed="false">
      <c r="B6" s="6" t="s">
        <v>58</v>
      </c>
      <c r="C6" s="42" t="n">
        <f aca="false">AVERAGE(④FY2026月次実績!I6:K6)</f>
        <v>32428397.3333333</v>
      </c>
      <c r="F6" s="43" t="s">
        <v>92</v>
      </c>
    </row>
    <row r="7" customFormat="false" ht="15" hidden="false" customHeight="false" outlineLevel="0" collapsed="false">
      <c r="B7" s="6" t="s">
        <v>60</v>
      </c>
      <c r="C7" s="42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16</v>
      </c>
      <c r="C8" s="42" t="n">
        <f aca="false">AVERAGE(④FY2026月次実績!I34:K34)</f>
        <v>25013422</v>
      </c>
    </row>
    <row r="9" customFormat="false" ht="15" hidden="false" customHeight="false" outlineLevel="0" collapsed="false">
      <c r="B9" s="6" t="s">
        <v>93</v>
      </c>
      <c r="C9" s="44" t="n">
        <f aca="false">C7/C6</f>
        <v>0.515499645619243</v>
      </c>
    </row>
    <row r="11" customFormat="false" ht="15" hidden="false" customHeight="false" outlineLevel="0" collapsed="false">
      <c r="B11" s="39" t="s">
        <v>94</v>
      </c>
      <c r="C11" s="40"/>
      <c r="D11" s="40"/>
      <c r="E11" s="40"/>
      <c r="F11" s="40"/>
      <c r="G11" s="40"/>
    </row>
    <row r="12" customFormat="false" ht="15" hidden="false" customHeight="false" outlineLevel="0" collapsed="false">
      <c r="B12" s="22" t="s">
        <v>95</v>
      </c>
      <c r="C12" s="22" t="s">
        <v>96</v>
      </c>
      <c r="D12" s="22"/>
      <c r="E12" s="22" t="s">
        <v>97</v>
      </c>
    </row>
    <row r="13" customFormat="false" ht="15" hidden="false" customHeight="false" outlineLevel="0" collapsed="false">
      <c r="B13" s="6" t="s">
        <v>98</v>
      </c>
      <c r="C13" s="45" t="n">
        <v>10000000</v>
      </c>
      <c r="E13" s="6" t="s">
        <v>99</v>
      </c>
    </row>
    <row r="14" customFormat="false" ht="15" hidden="false" customHeight="false" outlineLevel="0" collapsed="false">
      <c r="B14" s="6" t="s">
        <v>100</v>
      </c>
      <c r="C14" s="45" t="n">
        <v>60000000</v>
      </c>
      <c r="E14" s="6" t="s">
        <v>99</v>
      </c>
    </row>
    <row r="15" customFormat="false" ht="15" hidden="false" customHeight="false" outlineLevel="0" collapsed="false">
      <c r="B15" s="6" t="s">
        <v>101</v>
      </c>
      <c r="C15" s="45" t="n">
        <v>10000000</v>
      </c>
      <c r="E15" s="6" t="s">
        <v>99</v>
      </c>
    </row>
    <row r="16" customFormat="false" ht="15" hidden="false" customHeight="false" outlineLevel="0" collapsed="false">
      <c r="B16" s="6" t="s">
        <v>102</v>
      </c>
      <c r="C16" s="45" t="n">
        <v>2500000</v>
      </c>
      <c r="E16" s="6" t="s">
        <v>99</v>
      </c>
    </row>
    <row r="17" customFormat="false" ht="15" hidden="false" customHeight="false" outlineLevel="0" collapsed="false">
      <c r="B17" s="6" t="s">
        <v>103</v>
      </c>
      <c r="C17" s="45" t="n">
        <v>10000000</v>
      </c>
      <c r="E17" s="6" t="s">
        <v>99</v>
      </c>
    </row>
    <row r="18" customFormat="false" ht="15" hidden="false" customHeight="false" outlineLevel="0" collapsed="false">
      <c r="B18" s="6" t="s">
        <v>104</v>
      </c>
      <c r="C18" s="45" t="n">
        <v>20000000</v>
      </c>
      <c r="E18" s="6" t="s">
        <v>105</v>
      </c>
    </row>
    <row r="19" customFormat="false" ht="15" hidden="false" customHeight="false" outlineLevel="0" collapsed="false">
      <c r="B19" s="6" t="s">
        <v>106</v>
      </c>
      <c r="C19" s="45" t="n">
        <v>10000000</v>
      </c>
      <c r="E19" s="6" t="s">
        <v>107</v>
      </c>
    </row>
    <row r="20" customFormat="false" ht="15" hidden="false" customHeight="false" outlineLevel="0" collapsed="false">
      <c r="B20" s="6" t="s">
        <v>108</v>
      </c>
      <c r="C20" s="45" t="n">
        <v>10000000</v>
      </c>
      <c r="E20" s="6" t="s">
        <v>109</v>
      </c>
    </row>
    <row r="21" customFormat="false" ht="15" hidden="false" customHeight="false" outlineLevel="0" collapsed="false">
      <c r="B21" s="46" t="s">
        <v>110</v>
      </c>
      <c r="C21" s="34" t="n">
        <f aca="false">SUM(C13:C20)</f>
        <v>132500000</v>
      </c>
      <c r="F21" s="30" t="s">
        <v>111</v>
      </c>
    </row>
    <row r="22" customFormat="false" ht="15" hidden="false" customHeight="false" outlineLevel="0" collapsed="false">
      <c r="B22" s="6" t="s">
        <v>112</v>
      </c>
      <c r="C22" s="8" t="n">
        <f aca="false">SUM(C13:C20)</f>
        <v>132500000</v>
      </c>
      <c r="F22" s="30" t="s">
        <v>113</v>
      </c>
    </row>
    <row r="23" customFormat="false" ht="15" hidden="false" customHeight="false" outlineLevel="0" collapsed="false">
      <c r="B23" s="6" t="s">
        <v>114</v>
      </c>
      <c r="C23" s="8" t="n">
        <v>0</v>
      </c>
      <c r="F23" s="30" t="s">
        <v>115</v>
      </c>
    </row>
    <row r="25" customFormat="false" ht="15" hidden="false" customHeight="false" outlineLevel="0" collapsed="false">
      <c r="B25" s="39" t="s">
        <v>116</v>
      </c>
      <c r="C25" s="40"/>
      <c r="D25" s="40"/>
      <c r="E25" s="40"/>
      <c r="F25" s="40"/>
      <c r="G25" s="40"/>
    </row>
    <row r="26" customFormat="false" ht="15" hidden="false" customHeight="false" outlineLevel="0" collapsed="false">
      <c r="B26" s="6" t="s">
        <v>117</v>
      </c>
      <c r="C26" s="45" t="n">
        <v>15000000</v>
      </c>
      <c r="F26" s="3" t="s">
        <v>118</v>
      </c>
    </row>
    <row r="27" customFormat="false" ht="15" hidden="false" customHeight="false" outlineLevel="0" collapsed="false">
      <c r="B27" s="6" t="s">
        <v>119</v>
      </c>
      <c r="C27" s="47" t="n">
        <v>6</v>
      </c>
      <c r="F27" s="14" t="s">
        <v>120</v>
      </c>
    </row>
    <row r="28" customFormat="false" ht="15" hidden="false" customHeight="false" outlineLevel="0" collapsed="false">
      <c r="B28" s="6" t="s">
        <v>121</v>
      </c>
      <c r="C28" s="47" t="n">
        <v>6</v>
      </c>
      <c r="F28" s="14" t="s">
        <v>120</v>
      </c>
    </row>
    <row r="29" customFormat="false" ht="15" hidden="false" customHeight="false" outlineLevel="0" collapsed="false">
      <c r="B29" s="6" t="s">
        <v>122</v>
      </c>
      <c r="C29" s="47" t="n">
        <v>12</v>
      </c>
      <c r="F29" s="14" t="s">
        <v>123</v>
      </c>
    </row>
    <row r="30" customFormat="false" ht="15" hidden="false" customHeight="false" outlineLevel="0" collapsed="false">
      <c r="B30" s="6" t="s">
        <v>124</v>
      </c>
      <c r="C30" s="45" t="n">
        <v>100000000</v>
      </c>
      <c r="F30" s="3" t="s">
        <v>125</v>
      </c>
    </row>
    <row r="31" customFormat="false" ht="15" hidden="false" customHeight="false" outlineLevel="0" collapsed="false">
      <c r="B31" s="6" t="s">
        <v>126</v>
      </c>
      <c r="C31" s="45" t="n">
        <v>1066000000</v>
      </c>
      <c r="F31" s="3" t="s">
        <v>127</v>
      </c>
    </row>
    <row r="32" customFormat="false" ht="15" hidden="false" customHeight="false" outlineLevel="0" collapsed="false">
      <c r="B32" s="6" t="s">
        <v>128</v>
      </c>
      <c r="C32" s="47" t="n">
        <v>2</v>
      </c>
      <c r="F32" s="3" t="s">
        <v>129</v>
      </c>
    </row>
    <row r="33" customFormat="false" ht="15" hidden="false" customHeight="false" outlineLevel="0" collapsed="false">
      <c r="B33" s="6" t="s">
        <v>130</v>
      </c>
      <c r="C33" s="47" t="n">
        <v>2</v>
      </c>
      <c r="F33" s="3" t="s">
        <v>131</v>
      </c>
    </row>
    <row r="34" customFormat="false" ht="15" hidden="false" customHeight="false" outlineLevel="0" collapsed="false">
      <c r="B34" s="48" t="s">
        <v>132</v>
      </c>
      <c r="C34" s="45" t="n">
        <v>419066414</v>
      </c>
      <c r="F34" s="3" t="s">
        <v>133</v>
      </c>
    </row>
    <row r="35" customFormat="false" ht="31.5" hidden="false" customHeight="true" outlineLevel="0" collapsed="false">
      <c r="B35" s="6" t="s">
        <v>24</v>
      </c>
      <c r="C35" s="49" t="s">
        <v>134</v>
      </c>
      <c r="F35" s="50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9" t="s">
        <v>136</v>
      </c>
    </row>
    <row r="2" customFormat="false" ht="15" hidden="false" customHeight="false" outlineLevel="0" collapsed="false">
      <c r="B2" s="14" t="s">
        <v>137</v>
      </c>
    </row>
    <row r="4" customFormat="false" ht="30" hidden="false" customHeight="true" outlineLevel="0" collapsed="false">
      <c r="B4" s="22" t="s">
        <v>3</v>
      </c>
      <c r="C4" s="23" t="s">
        <v>138</v>
      </c>
      <c r="D4" s="31" t="s">
        <v>139</v>
      </c>
      <c r="E4" s="31" t="s">
        <v>140</v>
      </c>
      <c r="F4" s="31" t="s">
        <v>141</v>
      </c>
      <c r="G4" s="31" t="s">
        <v>142</v>
      </c>
      <c r="H4" s="31" t="s">
        <v>143</v>
      </c>
      <c r="I4" s="31" t="s">
        <v>144</v>
      </c>
      <c r="J4" s="31" t="s">
        <v>145</v>
      </c>
      <c r="K4" s="31" t="s">
        <v>146</v>
      </c>
      <c r="L4" s="31" t="s">
        <v>147</v>
      </c>
      <c r="M4" s="31" t="s">
        <v>148</v>
      </c>
      <c r="N4" s="31" t="s">
        <v>149</v>
      </c>
      <c r="O4" s="31" t="s">
        <v>150</v>
      </c>
      <c r="P4" s="41" t="s">
        <v>151</v>
      </c>
    </row>
    <row r="5" customFormat="false" ht="15" hidden="false" customHeight="false" outlineLevel="0" collapsed="false">
      <c r="B5" s="36" t="s">
        <v>152</v>
      </c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</row>
    <row r="6" customFormat="false" ht="15" hidden="false" customHeight="false" outlineLevel="0" collapsed="false">
      <c r="B6" s="6" t="s">
        <v>9</v>
      </c>
      <c r="C6" s="52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4" t="n">
        <f aca="false">SUM(D6:O6)</f>
        <v>389140768</v>
      </c>
    </row>
    <row r="7" customFormat="false" ht="15" hidden="false" customHeight="false" outlineLevel="0" collapsed="false">
      <c r="B7" s="6" t="s">
        <v>153</v>
      </c>
      <c r="C7" s="52" t="n">
        <f aca="false">IF(②前提!$C$32=2,①サマリー!$C$23/12,0)</f>
        <v>13265307.5350205</v>
      </c>
      <c r="D7" s="8" t="n">
        <f aca="false">$C$7</f>
        <v>13265307.5350205</v>
      </c>
      <c r="E7" s="8" t="n">
        <f aca="false">$C$7</f>
        <v>13265307.5350205</v>
      </c>
      <c r="F7" s="8" t="n">
        <f aca="false">$C$7</f>
        <v>13265307.5350205</v>
      </c>
      <c r="G7" s="8" t="n">
        <f aca="false">$C$7</f>
        <v>13265307.5350205</v>
      </c>
      <c r="H7" s="8" t="n">
        <f aca="false">$C$7</f>
        <v>13265307.5350205</v>
      </c>
      <c r="I7" s="8" t="n">
        <f aca="false">$C$7</f>
        <v>13265307.5350205</v>
      </c>
      <c r="J7" s="8" t="n">
        <f aca="false">$C$7</f>
        <v>13265307.5350205</v>
      </c>
      <c r="K7" s="8" t="n">
        <f aca="false">$C$7</f>
        <v>13265307.5350205</v>
      </c>
      <c r="L7" s="8" t="n">
        <f aca="false">$C$7</f>
        <v>13265307.5350205</v>
      </c>
      <c r="M7" s="8" t="n">
        <f aca="false">$C$7</f>
        <v>13265307.5350205</v>
      </c>
      <c r="N7" s="8" t="n">
        <f aca="false">$C$7</f>
        <v>13265307.5350205</v>
      </c>
      <c r="O7" s="8" t="n">
        <f aca="false">$C$7</f>
        <v>13265307.5350205</v>
      </c>
      <c r="P7" s="34" t="n">
        <f aca="false">SUM(D7:O7)</f>
        <v>159183690.420246</v>
      </c>
    </row>
    <row r="8" customFormat="false" ht="15" hidden="false" customHeight="false" outlineLevel="0" collapsed="false">
      <c r="B8" s="35" t="s">
        <v>154</v>
      </c>
      <c r="C8" s="34" t="n">
        <f aca="false">C6+C7</f>
        <v>45693704.8683538</v>
      </c>
      <c r="D8" s="34" t="n">
        <f aca="false">D6+D7</f>
        <v>45693704.8683538</v>
      </c>
      <c r="E8" s="34" t="n">
        <f aca="false">E6+E7</f>
        <v>45693704.8683538</v>
      </c>
      <c r="F8" s="34" t="n">
        <f aca="false">F6+F7</f>
        <v>45693704.8683538</v>
      </c>
      <c r="G8" s="34" t="n">
        <f aca="false">G6+G7</f>
        <v>45693704.8683538</v>
      </c>
      <c r="H8" s="34" t="n">
        <f aca="false">H6+H7</f>
        <v>45693704.8683538</v>
      </c>
      <c r="I8" s="34" t="n">
        <f aca="false">I6+I7</f>
        <v>45693704.8683538</v>
      </c>
      <c r="J8" s="34" t="n">
        <f aca="false">J6+J7</f>
        <v>45693704.8683538</v>
      </c>
      <c r="K8" s="34" t="n">
        <f aca="false">K6+K7</f>
        <v>45693704.8683538</v>
      </c>
      <c r="L8" s="34" t="n">
        <f aca="false">L6+L7</f>
        <v>45693704.8683538</v>
      </c>
      <c r="M8" s="34" t="n">
        <f aca="false">M6+M7</f>
        <v>45693704.8683538</v>
      </c>
      <c r="N8" s="34" t="n">
        <f aca="false">N6+N7</f>
        <v>45693704.8683538</v>
      </c>
      <c r="O8" s="34" t="n">
        <f aca="false">O6+O7</f>
        <v>45693704.8683538</v>
      </c>
      <c r="P8" s="34" t="n">
        <f aca="false">SUM(D8:O8)</f>
        <v>548324458.420246</v>
      </c>
    </row>
    <row r="9" customFormat="false" ht="15" hidden="false" customHeight="false" outlineLevel="0" collapsed="false">
      <c r="B9" s="6" t="s">
        <v>155</v>
      </c>
      <c r="C9" s="52" t="n">
        <f aca="false">C8-C10-C11</f>
        <v>22138616.2016872</v>
      </c>
      <c r="D9" s="8" t="n">
        <f aca="false">D8-D10-D11</f>
        <v>22138616.2016872</v>
      </c>
      <c r="E9" s="8" t="n">
        <f aca="false">E8-E10-E11</f>
        <v>22138616.2016872</v>
      </c>
      <c r="F9" s="8" t="n">
        <f aca="false">F8-F10-F11</f>
        <v>22138616.2016872</v>
      </c>
      <c r="G9" s="8" t="n">
        <f aca="false">G8-G10-G11</f>
        <v>22138616.2016872</v>
      </c>
      <c r="H9" s="8" t="n">
        <f aca="false">H8-H10-H11</f>
        <v>22138616.2016872</v>
      </c>
      <c r="I9" s="8" t="n">
        <f aca="false">I8-I10-I11</f>
        <v>22138616.2016872</v>
      </c>
      <c r="J9" s="8" t="n">
        <f aca="false">J8-J10-J11</f>
        <v>22138616.2016872</v>
      </c>
      <c r="K9" s="8" t="n">
        <f aca="false">K8-K10-K11</f>
        <v>22138616.2016872</v>
      </c>
      <c r="L9" s="8" t="n">
        <f aca="false">L8-L10-L11</f>
        <v>22138616.2016872</v>
      </c>
      <c r="M9" s="8" t="n">
        <f aca="false">M8-M10-M11</f>
        <v>22138616.2016872</v>
      </c>
      <c r="N9" s="8" t="n">
        <f aca="false">N8-N10-N11</f>
        <v>22138616.2016872</v>
      </c>
      <c r="O9" s="8" t="n">
        <f aca="false">O8-O10-O11</f>
        <v>22138616.2016872</v>
      </c>
      <c r="P9" s="34" t="n">
        <f aca="false">SUM(D9:O9)</f>
        <v>265663394.420246</v>
      </c>
    </row>
    <row r="10" customFormat="false" ht="15" hidden="false" customHeight="false" outlineLevel="0" collapsed="false">
      <c r="B10" s="6" t="s">
        <v>156</v>
      </c>
      <c r="C10" s="52" t="n">
        <f aca="false">②前提!$C$7</f>
        <v>16716827.3333333</v>
      </c>
      <c r="D10" s="8" t="n">
        <f aca="false">$C$10</f>
        <v>16716827.3333333</v>
      </c>
      <c r="E10" s="8" t="n">
        <f aca="false">$C$10</f>
        <v>16716827.3333333</v>
      </c>
      <c r="F10" s="8" t="n">
        <f aca="false">$C$10</f>
        <v>16716827.3333333</v>
      </c>
      <c r="G10" s="8" t="n">
        <f aca="false">$C$10</f>
        <v>16716827.3333333</v>
      </c>
      <c r="H10" s="8" t="n">
        <f aca="false">$C$10</f>
        <v>16716827.3333333</v>
      </c>
      <c r="I10" s="8" t="n">
        <f aca="false">$C$10</f>
        <v>16716827.3333333</v>
      </c>
      <c r="J10" s="8" t="n">
        <f aca="false">$C$10</f>
        <v>16716827.3333333</v>
      </c>
      <c r="K10" s="8" t="n">
        <f aca="false">$C$10</f>
        <v>16716827.3333333</v>
      </c>
      <c r="L10" s="8" t="n">
        <f aca="false">$C$10</f>
        <v>16716827.3333333</v>
      </c>
      <c r="M10" s="8" t="n">
        <f aca="false">$C$10</f>
        <v>16716827.3333333</v>
      </c>
      <c r="N10" s="8" t="n">
        <f aca="false">$C$10</f>
        <v>16716827.3333333</v>
      </c>
      <c r="O10" s="8" t="n">
        <f aca="false">$C$10</f>
        <v>16716827.3333333</v>
      </c>
      <c r="P10" s="34" t="n">
        <f aca="false">SUM(D10:O10)</f>
        <v>200601928</v>
      </c>
    </row>
    <row r="11" customFormat="false" ht="15" hidden="false" customHeight="false" outlineLevel="0" collapsed="false">
      <c r="B11" s="6" t="s">
        <v>157</v>
      </c>
      <c r="C11" s="52" t="n">
        <f aca="false">C7*②前提!$C$9</f>
        <v>6838261.33333333</v>
      </c>
      <c r="D11" s="8" t="n">
        <f aca="false">D7*②前提!$C$9</f>
        <v>6838261.33333333</v>
      </c>
      <c r="E11" s="8" t="n">
        <f aca="false">E7*②前提!$C$9</f>
        <v>6838261.33333333</v>
      </c>
      <c r="F11" s="8" t="n">
        <f aca="false">F7*②前提!$C$9</f>
        <v>6838261.33333333</v>
      </c>
      <c r="G11" s="8" t="n">
        <f aca="false">G7*②前提!$C$9</f>
        <v>6838261.33333333</v>
      </c>
      <c r="H11" s="8" t="n">
        <f aca="false">H7*②前提!$C$9</f>
        <v>6838261.33333333</v>
      </c>
      <c r="I11" s="8" t="n">
        <f aca="false">I7*②前提!$C$9</f>
        <v>6838261.33333333</v>
      </c>
      <c r="J11" s="8" t="n">
        <f aca="false">J7*②前提!$C$9</f>
        <v>6838261.33333333</v>
      </c>
      <c r="K11" s="8" t="n">
        <f aca="false">K7*②前提!$C$9</f>
        <v>6838261.33333333</v>
      </c>
      <c r="L11" s="8" t="n">
        <f aca="false">L7*②前提!$C$9</f>
        <v>6838261.33333333</v>
      </c>
      <c r="M11" s="8" t="n">
        <f aca="false">M7*②前提!$C$9</f>
        <v>6838261.33333333</v>
      </c>
      <c r="N11" s="8" t="n">
        <f aca="false">N7*②前提!$C$9</f>
        <v>6838261.33333333</v>
      </c>
      <c r="O11" s="8" t="n">
        <f aca="false">O7*②前提!$C$9</f>
        <v>6838261.33333333</v>
      </c>
      <c r="P11" s="34" t="n">
        <f aca="false">SUM(D11:O11)</f>
        <v>82059136</v>
      </c>
    </row>
    <row r="12" customFormat="false" ht="15" hidden="false" customHeight="false" outlineLevel="0" collapsed="false">
      <c r="B12" s="6" t="s">
        <v>158</v>
      </c>
      <c r="C12" s="52" t="n">
        <f aca="false">②前提!$C$13/12</f>
        <v>833333.333333333</v>
      </c>
      <c r="D12" s="8" t="n">
        <f aca="false">$C$12</f>
        <v>833333.333333333</v>
      </c>
      <c r="E12" s="8" t="n">
        <f aca="false">$C$12</f>
        <v>833333.333333333</v>
      </c>
      <c r="F12" s="8" t="n">
        <f aca="false">$C$12</f>
        <v>833333.333333333</v>
      </c>
      <c r="G12" s="8" t="n">
        <f aca="false">$C$12</f>
        <v>833333.333333333</v>
      </c>
      <c r="H12" s="8" t="n">
        <f aca="false">$C$12</f>
        <v>833333.333333333</v>
      </c>
      <c r="I12" s="8" t="n">
        <f aca="false">$C$12</f>
        <v>833333.333333333</v>
      </c>
      <c r="J12" s="8" t="n">
        <f aca="false">$C$12</f>
        <v>833333.333333333</v>
      </c>
      <c r="K12" s="8" t="n">
        <f aca="false">$C$12</f>
        <v>833333.333333333</v>
      </c>
      <c r="L12" s="8" t="n">
        <f aca="false">$C$12</f>
        <v>833333.333333333</v>
      </c>
      <c r="M12" s="8" t="n">
        <f aca="false">$C$12</f>
        <v>833333.333333333</v>
      </c>
      <c r="N12" s="8" t="n">
        <f aca="false">$C$12</f>
        <v>833333.333333333</v>
      </c>
      <c r="O12" s="8" t="n">
        <f aca="false">$C$12</f>
        <v>833333.333333333</v>
      </c>
      <c r="P12" s="34" t="n">
        <f aca="false">SUM(D12:O12)</f>
        <v>10000000</v>
      </c>
    </row>
    <row r="13" customFormat="false" ht="15" hidden="false" customHeight="false" outlineLevel="0" collapsed="false">
      <c r="B13" s="6" t="s">
        <v>159</v>
      </c>
      <c r="C13" s="52" t="n">
        <f aca="false">②前提!$C$14/12</f>
        <v>5000000</v>
      </c>
      <c r="D13" s="8" t="n">
        <f aca="false">$C$13</f>
        <v>5000000</v>
      </c>
      <c r="E13" s="8" t="n">
        <f aca="false">$C$13</f>
        <v>5000000</v>
      </c>
      <c r="F13" s="8" t="n">
        <f aca="false">$C$13</f>
        <v>5000000</v>
      </c>
      <c r="G13" s="8" t="n">
        <f aca="false">$C$13</f>
        <v>5000000</v>
      </c>
      <c r="H13" s="8" t="n">
        <f aca="false">$C$13</f>
        <v>5000000</v>
      </c>
      <c r="I13" s="8" t="n">
        <f aca="false">$C$13</f>
        <v>5000000</v>
      </c>
      <c r="J13" s="8" t="n">
        <f aca="false">$C$13</f>
        <v>5000000</v>
      </c>
      <c r="K13" s="8" t="n">
        <f aca="false">$C$13</f>
        <v>5000000</v>
      </c>
      <c r="L13" s="8" t="n">
        <f aca="false">$C$13</f>
        <v>5000000</v>
      </c>
      <c r="M13" s="8" t="n">
        <f aca="false">$C$13</f>
        <v>5000000</v>
      </c>
      <c r="N13" s="8" t="n">
        <f aca="false">$C$13</f>
        <v>5000000</v>
      </c>
      <c r="O13" s="8" t="n">
        <f aca="false">$C$13</f>
        <v>5000000</v>
      </c>
      <c r="P13" s="34" t="n">
        <f aca="false">SUM(D13:O13)</f>
        <v>60000000</v>
      </c>
    </row>
    <row r="14" customFormat="false" ht="15" hidden="false" customHeight="false" outlineLevel="0" collapsed="false">
      <c r="B14" s="6" t="s">
        <v>160</v>
      </c>
      <c r="C14" s="52" t="n">
        <f aca="false">②前提!$C$15/12</f>
        <v>833333.333333333</v>
      </c>
      <c r="D14" s="8" t="n">
        <f aca="false">$C$14</f>
        <v>833333.333333333</v>
      </c>
      <c r="E14" s="8" t="n">
        <f aca="false">$C$14</f>
        <v>833333.333333333</v>
      </c>
      <c r="F14" s="8" t="n">
        <f aca="false">$C$14</f>
        <v>833333.333333333</v>
      </c>
      <c r="G14" s="8" t="n">
        <f aca="false">$C$14</f>
        <v>833333.333333333</v>
      </c>
      <c r="H14" s="8" t="n">
        <f aca="false">$C$14</f>
        <v>833333.333333333</v>
      </c>
      <c r="I14" s="8" t="n">
        <f aca="false">$C$14</f>
        <v>833333.333333333</v>
      </c>
      <c r="J14" s="8" t="n">
        <f aca="false">$C$14</f>
        <v>833333.333333333</v>
      </c>
      <c r="K14" s="8" t="n">
        <f aca="false">$C$14</f>
        <v>833333.333333333</v>
      </c>
      <c r="L14" s="8" t="n">
        <f aca="false">$C$14</f>
        <v>833333.333333333</v>
      </c>
      <c r="M14" s="8" t="n">
        <f aca="false">$C$14</f>
        <v>833333.333333333</v>
      </c>
      <c r="N14" s="8" t="n">
        <f aca="false">$C$14</f>
        <v>833333.333333333</v>
      </c>
      <c r="O14" s="8" t="n">
        <f aca="false">$C$14</f>
        <v>833333.333333333</v>
      </c>
      <c r="P14" s="34" t="n">
        <f aca="false">SUM(D14:O14)</f>
        <v>10000000</v>
      </c>
    </row>
    <row r="15" customFormat="false" ht="15" hidden="false" customHeight="false" outlineLevel="0" collapsed="false">
      <c r="B15" s="6" t="s">
        <v>161</v>
      </c>
      <c r="C15" s="52" t="n">
        <f aca="false">②前提!$C$16/12</f>
        <v>208333.333333333</v>
      </c>
      <c r="D15" s="8" t="n">
        <f aca="false">$C$15</f>
        <v>208333.333333333</v>
      </c>
      <c r="E15" s="8" t="n">
        <f aca="false">$C$15</f>
        <v>208333.333333333</v>
      </c>
      <c r="F15" s="8" t="n">
        <f aca="false">$C$15</f>
        <v>208333.333333333</v>
      </c>
      <c r="G15" s="8" t="n">
        <f aca="false">$C$15</f>
        <v>208333.333333333</v>
      </c>
      <c r="H15" s="8" t="n">
        <f aca="false">$C$15</f>
        <v>208333.333333333</v>
      </c>
      <c r="I15" s="8" t="n">
        <f aca="false">$C$15</f>
        <v>208333.333333333</v>
      </c>
      <c r="J15" s="8" t="n">
        <f aca="false">$C$15</f>
        <v>208333.333333333</v>
      </c>
      <c r="K15" s="8" t="n">
        <f aca="false">$C$15</f>
        <v>208333.333333333</v>
      </c>
      <c r="L15" s="8" t="n">
        <f aca="false">$C$15</f>
        <v>208333.333333333</v>
      </c>
      <c r="M15" s="8" t="n">
        <f aca="false">$C$15</f>
        <v>208333.333333333</v>
      </c>
      <c r="N15" s="8" t="n">
        <f aca="false">$C$15</f>
        <v>208333.333333333</v>
      </c>
      <c r="O15" s="8" t="n">
        <f aca="false">$C$15</f>
        <v>208333.333333333</v>
      </c>
      <c r="P15" s="34" t="n">
        <f aca="false">SUM(D15:O15)</f>
        <v>2500000</v>
      </c>
    </row>
    <row r="16" customFormat="false" ht="15" hidden="false" customHeight="false" outlineLevel="0" collapsed="false">
      <c r="B16" s="6" t="s">
        <v>162</v>
      </c>
      <c r="C16" s="52" t="n">
        <f aca="false">②前提!$C$17/12</f>
        <v>833333.333333333</v>
      </c>
      <c r="D16" s="8" t="n">
        <f aca="false">$C$16</f>
        <v>833333.333333333</v>
      </c>
      <c r="E16" s="8" t="n">
        <f aca="false">$C$16</f>
        <v>833333.333333333</v>
      </c>
      <c r="F16" s="8" t="n">
        <f aca="false">$C$16</f>
        <v>833333.333333333</v>
      </c>
      <c r="G16" s="8" t="n">
        <f aca="false">$C$16</f>
        <v>833333.333333333</v>
      </c>
      <c r="H16" s="8" t="n">
        <f aca="false">$C$16</f>
        <v>833333.333333333</v>
      </c>
      <c r="I16" s="8" t="n">
        <f aca="false">$C$16</f>
        <v>833333.333333333</v>
      </c>
      <c r="J16" s="8" t="n">
        <f aca="false">$C$16</f>
        <v>833333.333333333</v>
      </c>
      <c r="K16" s="8" t="n">
        <f aca="false">$C$16</f>
        <v>833333.333333333</v>
      </c>
      <c r="L16" s="8" t="n">
        <f aca="false">$C$16</f>
        <v>833333.333333333</v>
      </c>
      <c r="M16" s="8" t="n">
        <f aca="false">$C$16</f>
        <v>833333.333333333</v>
      </c>
      <c r="N16" s="8" t="n">
        <f aca="false">$C$16</f>
        <v>833333.333333333</v>
      </c>
      <c r="O16" s="8" t="n">
        <f aca="false">$C$16</f>
        <v>833333.333333333</v>
      </c>
      <c r="P16" s="34" t="n">
        <f aca="false">SUM(D16:O16)</f>
        <v>10000000</v>
      </c>
    </row>
    <row r="17" customFormat="false" ht="15" hidden="false" customHeight="false" outlineLevel="0" collapsed="false">
      <c r="B17" s="6" t="s">
        <v>163</v>
      </c>
      <c r="D17" s="8" t="n">
        <f aca="false">IF(1=②前提!$C$27,②前提!$C$18,0)</f>
        <v>0</v>
      </c>
      <c r="E17" s="8" t="n">
        <f aca="false">IF(2=②前提!$C$27,②前提!$C$18,0)</f>
        <v>0</v>
      </c>
      <c r="F17" s="8" t="n">
        <f aca="false">IF(3=②前提!$C$27,②前提!$C$18,0)</f>
        <v>0</v>
      </c>
      <c r="G17" s="8" t="n">
        <f aca="false">IF(4=②前提!$C$27,②前提!$C$18,0)</f>
        <v>0</v>
      </c>
      <c r="H17" s="8" t="n">
        <f aca="false">IF(5=②前提!$C$27,②前提!$C$18,0)</f>
        <v>0</v>
      </c>
      <c r="I17" s="8" t="n">
        <f aca="false">IF(6=②前提!$C$27,②前提!$C$18,0)</f>
        <v>20000000</v>
      </c>
      <c r="J17" s="8" t="n">
        <f aca="false">IF(7=②前提!$C$27,②前提!$C$18,0)</f>
        <v>0</v>
      </c>
      <c r="K17" s="8" t="n">
        <f aca="false">IF(8=②前提!$C$27,②前提!$C$18,0)</f>
        <v>0</v>
      </c>
      <c r="L17" s="8" t="n">
        <f aca="false">IF(9=②前提!$C$27,②前提!$C$18,0)</f>
        <v>0</v>
      </c>
      <c r="M17" s="8" t="n">
        <f aca="false">IF(10=②前提!$C$27,②前提!$C$18,0)</f>
        <v>0</v>
      </c>
      <c r="N17" s="8" t="n">
        <f aca="false">IF(11=②前提!$C$27,②前提!$C$18,0)</f>
        <v>0</v>
      </c>
      <c r="O17" s="8" t="n">
        <f aca="false">IF(12=②前提!$C$27,②前提!$C$18,0)</f>
        <v>0</v>
      </c>
      <c r="P17" s="34" t="n">
        <f aca="false">SUM(D17:O17)</f>
        <v>20000000</v>
      </c>
    </row>
    <row r="18" customFormat="false" ht="15" hidden="false" customHeight="false" outlineLevel="0" collapsed="false">
      <c r="B18" s="6" t="s">
        <v>164</v>
      </c>
      <c r="D18" s="8" t="n">
        <f aca="false">IF(1=②前提!$C$28,②前提!$C$19,0)+IF(1=②前提!$C$29,②前提!$C$20,0)</f>
        <v>0</v>
      </c>
      <c r="E18" s="8" t="n">
        <f aca="false">IF(2=②前提!$C$28,②前提!$C$19,0)+IF(2=②前提!$C$29,②前提!$C$20,0)</f>
        <v>0</v>
      </c>
      <c r="F18" s="8" t="n">
        <f aca="false">IF(3=②前提!$C$28,②前提!$C$19,0)+IF(3=②前提!$C$29,②前提!$C$20,0)</f>
        <v>0</v>
      </c>
      <c r="G18" s="8" t="n">
        <f aca="false">IF(4=②前提!$C$28,②前提!$C$19,0)+IF(4=②前提!$C$29,②前提!$C$20,0)</f>
        <v>0</v>
      </c>
      <c r="H18" s="8" t="n">
        <f aca="false">IF(5=②前提!$C$28,②前提!$C$19,0)+IF(5=②前提!$C$29,②前提!$C$20,0)</f>
        <v>0</v>
      </c>
      <c r="I18" s="8" t="n">
        <f aca="false">IF(6=②前提!$C$28,②前提!$C$19,0)+IF(6=②前提!$C$29,②前提!$C$20,0)</f>
        <v>10000000</v>
      </c>
      <c r="J18" s="8" t="n">
        <f aca="false">IF(7=②前提!$C$28,②前提!$C$19,0)+IF(7=②前提!$C$29,②前提!$C$20,0)</f>
        <v>0</v>
      </c>
      <c r="K18" s="8" t="n">
        <f aca="false">IF(8=②前提!$C$28,②前提!$C$19,0)+IF(8=②前提!$C$29,②前提!$C$20,0)</f>
        <v>0</v>
      </c>
      <c r="L18" s="8" t="n">
        <f aca="false">IF(9=②前提!$C$28,②前提!$C$19,0)+IF(9=②前提!$C$29,②前提!$C$20,0)</f>
        <v>0</v>
      </c>
      <c r="M18" s="8" t="n">
        <f aca="false">IF(10=②前提!$C$28,②前提!$C$19,0)+IF(10=②前提!$C$29,②前提!$C$20,0)</f>
        <v>0</v>
      </c>
      <c r="N18" s="8" t="n">
        <f aca="false">IF(11=②前提!$C$28,②前提!$C$19,0)+IF(11=②前提!$C$29,②前提!$C$20,0)</f>
        <v>0</v>
      </c>
      <c r="O18" s="8" t="n">
        <f aca="false">IF(12=②前提!$C$28,②前提!$C$19,0)+IF(12=②前提!$C$29,②前提!$C$20,0)</f>
        <v>10000000</v>
      </c>
      <c r="P18" s="34" t="n">
        <f aca="false">SUM(D18:O18)</f>
        <v>20000000</v>
      </c>
    </row>
    <row r="19" customFormat="false" ht="15" hidden="false" customHeight="false" outlineLevel="0" collapsed="false">
      <c r="B19" s="11" t="s">
        <v>15</v>
      </c>
      <c r="C19" s="12" t="n">
        <f aca="false">C10+C11+SUM(C12:C16)</f>
        <v>31263422</v>
      </c>
      <c r="D19" s="12" t="n">
        <f aca="false">D10+D11+SUM(D12:D18)</f>
        <v>31263422</v>
      </c>
      <c r="E19" s="12" t="n">
        <f aca="false">E10+E11+SUM(E12:E18)</f>
        <v>31263422</v>
      </c>
      <c r="F19" s="12" t="n">
        <f aca="false">F10+F11+SUM(F12:F18)</f>
        <v>31263422</v>
      </c>
      <c r="G19" s="12" t="n">
        <f aca="false">G10+G11+SUM(G12:G18)</f>
        <v>31263422</v>
      </c>
      <c r="H19" s="12" t="n">
        <f aca="false">H10+H11+SUM(H12:H18)</f>
        <v>31263422</v>
      </c>
      <c r="I19" s="12" t="n">
        <f aca="false">I10+I11+SUM(I12:I18)</f>
        <v>61263422</v>
      </c>
      <c r="J19" s="12" t="n">
        <f aca="false">J10+J11+SUM(J12:J18)</f>
        <v>31263422</v>
      </c>
      <c r="K19" s="12" t="n">
        <f aca="false">K10+K11+SUM(K12:K18)</f>
        <v>31263422</v>
      </c>
      <c r="L19" s="12" t="n">
        <f aca="false">L10+L11+SUM(L12:L18)</f>
        <v>31263422</v>
      </c>
      <c r="M19" s="12" t="n">
        <f aca="false">M10+M11+SUM(M12:M18)</f>
        <v>31263422</v>
      </c>
      <c r="N19" s="12" t="n">
        <f aca="false">N10+N11+SUM(N12:N18)</f>
        <v>31263422</v>
      </c>
      <c r="O19" s="12" t="n">
        <f aca="false">O10+O11+SUM(O12:O18)</f>
        <v>41263422</v>
      </c>
      <c r="P19" s="12" t="n">
        <f aca="false">SUM(D19:O19)</f>
        <v>415161064</v>
      </c>
    </row>
    <row r="21" customFormat="false" ht="15" hidden="false" customHeight="false" outlineLevel="0" collapsed="false">
      <c r="B21" s="36" t="s">
        <v>165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</row>
    <row r="22" customFormat="false" ht="15" hidden="false" customHeight="false" outlineLevel="0" collapsed="false">
      <c r="B22" s="6" t="s">
        <v>62</v>
      </c>
      <c r="C22" s="52" t="n">
        <f aca="false">AVERAGE(④FY2026月次実績!I11:K11)</f>
        <v>2104000</v>
      </c>
      <c r="D22" s="8" t="n">
        <f aca="false">$C$22</f>
        <v>2104000</v>
      </c>
      <c r="E22" s="8" t="n">
        <f aca="false">$C$22</f>
        <v>2104000</v>
      </c>
      <c r="F22" s="8" t="n">
        <f aca="false">$C$22</f>
        <v>2104000</v>
      </c>
      <c r="G22" s="8" t="n">
        <f aca="false">$C$22</f>
        <v>2104000</v>
      </c>
      <c r="H22" s="8" t="n">
        <f aca="false">$C$22</f>
        <v>2104000</v>
      </c>
      <c r="I22" s="8" t="n">
        <f aca="false">$C$22</f>
        <v>2104000</v>
      </c>
      <c r="J22" s="8" t="n">
        <f aca="false">$C$22</f>
        <v>2104000</v>
      </c>
      <c r="K22" s="8" t="n">
        <f aca="false">$C$22</f>
        <v>2104000</v>
      </c>
      <c r="L22" s="8" t="n">
        <f aca="false">$C$22</f>
        <v>2104000</v>
      </c>
      <c r="M22" s="8" t="n">
        <f aca="false">$C$22</f>
        <v>2104000</v>
      </c>
      <c r="N22" s="8" t="n">
        <f aca="false">$C$22</f>
        <v>2104000</v>
      </c>
      <c r="O22" s="8" t="n">
        <f aca="false">$C$22</f>
        <v>2104000</v>
      </c>
      <c r="P22" s="34" t="n">
        <f aca="false">SUM(D22:O22)</f>
        <v>25248000</v>
      </c>
    </row>
    <row r="23" customFormat="false" ht="15" hidden="false" customHeight="false" outlineLevel="0" collapsed="false">
      <c r="B23" s="6" t="s">
        <v>63</v>
      </c>
      <c r="C23" s="52" t="n">
        <f aca="false">AVERAGE(④FY2026月次実績!I12:K12)</f>
        <v>2844602</v>
      </c>
      <c r="D23" s="8" t="n">
        <f aca="false">$C$23</f>
        <v>2844602</v>
      </c>
      <c r="E23" s="8" t="n">
        <f aca="false">$C$23</f>
        <v>2844602</v>
      </c>
      <c r="F23" s="8" t="n">
        <f aca="false">$C$23</f>
        <v>2844602</v>
      </c>
      <c r="G23" s="8" t="n">
        <f aca="false">$C$23</f>
        <v>2844602</v>
      </c>
      <c r="H23" s="8" t="n">
        <f aca="false">$C$23</f>
        <v>2844602</v>
      </c>
      <c r="I23" s="8" t="n">
        <f aca="false">$C$23</f>
        <v>2844602</v>
      </c>
      <c r="J23" s="8" t="n">
        <f aca="false">$C$23</f>
        <v>2844602</v>
      </c>
      <c r="K23" s="8" t="n">
        <f aca="false">$C$23</f>
        <v>2844602</v>
      </c>
      <c r="L23" s="8" t="n">
        <f aca="false">$C$23</f>
        <v>2844602</v>
      </c>
      <c r="M23" s="8" t="n">
        <f aca="false">$C$23</f>
        <v>2844602</v>
      </c>
      <c r="N23" s="8" t="n">
        <f aca="false">$C$23</f>
        <v>2844602</v>
      </c>
      <c r="O23" s="8" t="n">
        <f aca="false">$C$23</f>
        <v>2844602</v>
      </c>
      <c r="P23" s="34" t="n">
        <f aca="false">SUM(D23:O23)</f>
        <v>34135224</v>
      </c>
    </row>
    <row r="24" customFormat="false" ht="15" hidden="false" customHeight="false" outlineLevel="0" collapsed="false">
      <c r="B24" s="6" t="s">
        <v>64</v>
      </c>
      <c r="C24" s="52" t="n">
        <f aca="false">AVERAGE(④FY2026月次実績!I13:K13)</f>
        <v>198075</v>
      </c>
      <c r="D24" s="8" t="n">
        <f aca="false">$C$24</f>
        <v>198075</v>
      </c>
      <c r="E24" s="8" t="n">
        <f aca="false">$C$24</f>
        <v>198075</v>
      </c>
      <c r="F24" s="8" t="n">
        <f aca="false">$C$24</f>
        <v>198075</v>
      </c>
      <c r="G24" s="8" t="n">
        <f aca="false">$C$24</f>
        <v>198075</v>
      </c>
      <c r="H24" s="8" t="n">
        <f aca="false">$C$24</f>
        <v>198075</v>
      </c>
      <c r="I24" s="8" t="n">
        <f aca="false">$C$24</f>
        <v>198075</v>
      </c>
      <c r="J24" s="8" t="n">
        <f aca="false">$C$24</f>
        <v>198075</v>
      </c>
      <c r="K24" s="8" t="n">
        <f aca="false">$C$24</f>
        <v>198075</v>
      </c>
      <c r="L24" s="8" t="n">
        <f aca="false">$C$24</f>
        <v>198075</v>
      </c>
      <c r="M24" s="8" t="n">
        <f aca="false">$C$24</f>
        <v>198075</v>
      </c>
      <c r="N24" s="8" t="n">
        <f aca="false">$C$24</f>
        <v>198075</v>
      </c>
      <c r="O24" s="8" t="n">
        <f aca="false">$C$24</f>
        <v>198075</v>
      </c>
      <c r="P24" s="34" t="n">
        <f aca="false">SUM(D24:O24)</f>
        <v>2376900</v>
      </c>
    </row>
    <row r="25" customFormat="false" ht="15" hidden="false" customHeight="false" outlineLevel="0" collapsed="false">
      <c r="B25" s="6" t="s">
        <v>65</v>
      </c>
      <c r="C25" s="52" t="n">
        <f aca="false">AVERAGE(④FY2026月次実績!I14:K14)</f>
        <v>943189.333333333</v>
      </c>
      <c r="D25" s="8" t="n">
        <f aca="false">$C$25</f>
        <v>943189.333333333</v>
      </c>
      <c r="E25" s="8" t="n">
        <f aca="false">$C$25</f>
        <v>943189.333333333</v>
      </c>
      <c r="F25" s="8" t="n">
        <f aca="false">$C$25</f>
        <v>943189.333333333</v>
      </c>
      <c r="G25" s="8" t="n">
        <f aca="false">$C$25</f>
        <v>943189.333333333</v>
      </c>
      <c r="H25" s="8" t="n">
        <f aca="false">$C$25</f>
        <v>943189.333333333</v>
      </c>
      <c r="I25" s="8" t="n">
        <f aca="false">$C$25</f>
        <v>943189.333333333</v>
      </c>
      <c r="J25" s="8" t="n">
        <f aca="false">$C$25</f>
        <v>943189.333333333</v>
      </c>
      <c r="K25" s="8" t="n">
        <f aca="false">$C$25</f>
        <v>943189.333333333</v>
      </c>
      <c r="L25" s="8" t="n">
        <f aca="false">$C$25</f>
        <v>943189.333333333</v>
      </c>
      <c r="M25" s="8" t="n">
        <f aca="false">$C$25</f>
        <v>943189.333333333</v>
      </c>
      <c r="N25" s="8" t="n">
        <f aca="false">$C$25</f>
        <v>943189.333333333</v>
      </c>
      <c r="O25" s="8" t="n">
        <f aca="false">$C$25</f>
        <v>943189.333333333</v>
      </c>
      <c r="P25" s="34" t="n">
        <f aca="false">SUM(D25:O25)</f>
        <v>11318272</v>
      </c>
    </row>
    <row r="26" customFormat="false" ht="15" hidden="false" customHeight="false" outlineLevel="0" collapsed="false">
      <c r="B26" s="6" t="s">
        <v>66</v>
      </c>
      <c r="C26" s="52" t="n">
        <f aca="false">AVERAGE(④FY2026月次実績!I15:K15)</f>
        <v>520742.333333333</v>
      </c>
      <c r="D26" s="8" t="n">
        <f aca="false">$C$26</f>
        <v>520742.333333333</v>
      </c>
      <c r="E26" s="8" t="n">
        <f aca="false">$C$26</f>
        <v>520742.333333333</v>
      </c>
      <c r="F26" s="8" t="n">
        <f aca="false">$C$26</f>
        <v>520742.333333333</v>
      </c>
      <c r="G26" s="8" t="n">
        <f aca="false">$C$26</f>
        <v>520742.333333333</v>
      </c>
      <c r="H26" s="8" t="n">
        <f aca="false">$C$26</f>
        <v>520742.333333333</v>
      </c>
      <c r="I26" s="8" t="n">
        <f aca="false">$C$26</f>
        <v>520742.333333333</v>
      </c>
      <c r="J26" s="8" t="n">
        <f aca="false">$C$26</f>
        <v>520742.333333333</v>
      </c>
      <c r="K26" s="8" t="n">
        <f aca="false">$C$26</f>
        <v>520742.333333333</v>
      </c>
      <c r="L26" s="8" t="n">
        <f aca="false">$C$26</f>
        <v>520742.333333333</v>
      </c>
      <c r="M26" s="8" t="n">
        <f aca="false">$C$26</f>
        <v>520742.333333333</v>
      </c>
      <c r="N26" s="8" t="n">
        <f aca="false">$C$26</f>
        <v>520742.333333333</v>
      </c>
      <c r="O26" s="8" t="n">
        <f aca="false">$C$26</f>
        <v>520742.333333333</v>
      </c>
      <c r="P26" s="34" t="n">
        <f aca="false">SUM(D26:O26)</f>
        <v>6248908</v>
      </c>
    </row>
    <row r="27" customFormat="false" ht="15" hidden="false" customHeight="false" outlineLevel="0" collapsed="false">
      <c r="B27" s="6" t="s">
        <v>67</v>
      </c>
      <c r="C27" s="52" t="n">
        <f aca="false">AVERAGE(④FY2026月次実績!I16:K16)</f>
        <v>986309.666666667</v>
      </c>
      <c r="D27" s="8" t="n">
        <f aca="false">$C$27</f>
        <v>986309.666666667</v>
      </c>
      <c r="E27" s="8" t="n">
        <f aca="false">$C$27</f>
        <v>986309.666666667</v>
      </c>
      <c r="F27" s="8" t="n">
        <f aca="false">$C$27</f>
        <v>986309.666666667</v>
      </c>
      <c r="G27" s="8" t="n">
        <f aca="false">$C$27</f>
        <v>986309.666666667</v>
      </c>
      <c r="H27" s="8" t="n">
        <f aca="false">$C$27</f>
        <v>986309.666666667</v>
      </c>
      <c r="I27" s="8" t="n">
        <f aca="false">$C$27</f>
        <v>986309.666666667</v>
      </c>
      <c r="J27" s="8" t="n">
        <f aca="false">$C$27</f>
        <v>986309.666666667</v>
      </c>
      <c r="K27" s="8" t="n">
        <f aca="false">$C$27</f>
        <v>986309.666666667</v>
      </c>
      <c r="L27" s="8" t="n">
        <f aca="false">$C$27</f>
        <v>986309.666666667</v>
      </c>
      <c r="M27" s="8" t="n">
        <f aca="false">$C$27</f>
        <v>986309.666666667</v>
      </c>
      <c r="N27" s="8" t="n">
        <f aca="false">$C$27</f>
        <v>986309.666666667</v>
      </c>
      <c r="O27" s="8" t="n">
        <f aca="false">$C$27</f>
        <v>986309.666666667</v>
      </c>
      <c r="P27" s="34" t="n">
        <f aca="false">SUM(D27:O27)</f>
        <v>11835716</v>
      </c>
    </row>
    <row r="28" customFormat="false" ht="15" hidden="false" customHeight="false" outlineLevel="0" collapsed="false">
      <c r="B28" s="6" t="s">
        <v>68</v>
      </c>
      <c r="C28" s="52" t="n">
        <f aca="false">AVERAGE(④FY2026月次実績!I17:K17)</f>
        <v>3258950</v>
      </c>
      <c r="D28" s="8" t="n">
        <f aca="false">$C$28</f>
        <v>3258950</v>
      </c>
      <c r="E28" s="8" t="n">
        <f aca="false">$C$28</f>
        <v>3258950</v>
      </c>
      <c r="F28" s="8" t="n">
        <f aca="false">$C$28</f>
        <v>3258950</v>
      </c>
      <c r="G28" s="8" t="n">
        <f aca="false">$C$28</f>
        <v>3258950</v>
      </c>
      <c r="H28" s="8" t="n">
        <f aca="false">$C$28</f>
        <v>3258950</v>
      </c>
      <c r="I28" s="8" t="n">
        <f aca="false">$C$28</f>
        <v>3258950</v>
      </c>
      <c r="J28" s="8" t="n">
        <f aca="false">$C$28</f>
        <v>3258950</v>
      </c>
      <c r="K28" s="8" t="n">
        <f aca="false">$C$28</f>
        <v>3258950</v>
      </c>
      <c r="L28" s="8" t="n">
        <f aca="false">$C$28</f>
        <v>3258950</v>
      </c>
      <c r="M28" s="8" t="n">
        <f aca="false">$C$28</f>
        <v>3258950</v>
      </c>
      <c r="N28" s="8" t="n">
        <f aca="false">$C$28</f>
        <v>3258950</v>
      </c>
      <c r="O28" s="8" t="n">
        <f aca="false">$C$28</f>
        <v>3258950</v>
      </c>
      <c r="P28" s="34" t="n">
        <f aca="false">SUM(D28:O28)</f>
        <v>39107400</v>
      </c>
    </row>
    <row r="29" customFormat="false" ht="15" hidden="false" customHeight="false" outlineLevel="0" collapsed="false">
      <c r="B29" s="6" t="s">
        <v>69</v>
      </c>
      <c r="C29" s="52" t="n">
        <f aca="false">AVERAGE(④FY2026月次実績!I18:K18)</f>
        <v>3721702.66666667</v>
      </c>
      <c r="D29" s="8" t="n">
        <f aca="false">$C$29</f>
        <v>3721702.66666667</v>
      </c>
      <c r="E29" s="8" t="n">
        <f aca="false">$C$29</f>
        <v>3721702.66666667</v>
      </c>
      <c r="F29" s="8" t="n">
        <f aca="false">$C$29</f>
        <v>3721702.66666667</v>
      </c>
      <c r="G29" s="8" t="n">
        <f aca="false">$C$29</f>
        <v>3721702.66666667</v>
      </c>
      <c r="H29" s="8" t="n">
        <f aca="false">$C$29</f>
        <v>3721702.66666667</v>
      </c>
      <c r="I29" s="8" t="n">
        <f aca="false">$C$29</f>
        <v>3721702.66666667</v>
      </c>
      <c r="J29" s="8" t="n">
        <f aca="false">$C$29</f>
        <v>3721702.66666667</v>
      </c>
      <c r="K29" s="8" t="n">
        <f aca="false">$C$29</f>
        <v>3721702.66666667</v>
      </c>
      <c r="L29" s="8" t="n">
        <f aca="false">$C$29</f>
        <v>3721702.66666667</v>
      </c>
      <c r="M29" s="8" t="n">
        <f aca="false">$C$29</f>
        <v>3721702.66666667</v>
      </c>
      <c r="N29" s="8" t="n">
        <f aca="false">$C$29</f>
        <v>3721702.66666667</v>
      </c>
      <c r="O29" s="8" t="n">
        <f aca="false">$C$29</f>
        <v>3721702.66666667</v>
      </c>
      <c r="P29" s="34" t="n">
        <f aca="false">SUM(D29:O29)</f>
        <v>44660432</v>
      </c>
    </row>
    <row r="30" customFormat="false" ht="15" hidden="false" customHeight="false" outlineLevel="0" collapsed="false">
      <c r="B30" s="6" t="s">
        <v>70</v>
      </c>
      <c r="C30" s="52" t="n">
        <f aca="false">AVERAGE(④FY2026月次実績!I19:K19)</f>
        <v>400027.333333333</v>
      </c>
      <c r="D30" s="8" t="n">
        <f aca="false">$C$30</f>
        <v>400027.333333333</v>
      </c>
      <c r="E30" s="8" t="n">
        <f aca="false">$C$30</f>
        <v>400027.333333333</v>
      </c>
      <c r="F30" s="8" t="n">
        <f aca="false">$C$30</f>
        <v>400027.333333333</v>
      </c>
      <c r="G30" s="8" t="n">
        <f aca="false">$C$30</f>
        <v>400027.333333333</v>
      </c>
      <c r="H30" s="8" t="n">
        <f aca="false">$C$30</f>
        <v>400027.333333333</v>
      </c>
      <c r="I30" s="8" t="n">
        <f aca="false">$C$30</f>
        <v>400027.333333333</v>
      </c>
      <c r="J30" s="8" t="n">
        <f aca="false">$C$30</f>
        <v>400027.333333333</v>
      </c>
      <c r="K30" s="8" t="n">
        <f aca="false">$C$30</f>
        <v>400027.333333333</v>
      </c>
      <c r="L30" s="8" t="n">
        <f aca="false">$C$30</f>
        <v>400027.333333333</v>
      </c>
      <c r="M30" s="8" t="n">
        <f aca="false">$C$30</f>
        <v>400027.333333333</v>
      </c>
      <c r="N30" s="8" t="n">
        <f aca="false">$C$30</f>
        <v>400027.333333333</v>
      </c>
      <c r="O30" s="8" t="n">
        <f aca="false">$C$30</f>
        <v>400027.333333333</v>
      </c>
      <c r="P30" s="34" t="n">
        <f aca="false">SUM(D30:O30)</f>
        <v>4800328</v>
      </c>
    </row>
    <row r="31" customFormat="false" ht="15" hidden="false" customHeight="false" outlineLevel="0" collapsed="false">
      <c r="B31" s="6" t="s">
        <v>71</v>
      </c>
      <c r="C31" s="52" t="n">
        <f aca="false">AVERAGE(④FY2026月次実績!I20:K20)</f>
        <v>687496.333333333</v>
      </c>
      <c r="D31" s="8" t="n">
        <f aca="false">$C$31</f>
        <v>687496.333333333</v>
      </c>
      <c r="E31" s="8" t="n">
        <f aca="false">$C$31</f>
        <v>687496.333333333</v>
      </c>
      <c r="F31" s="8" t="n">
        <f aca="false">$C$31</f>
        <v>687496.333333333</v>
      </c>
      <c r="G31" s="8" t="n">
        <f aca="false">$C$31</f>
        <v>687496.333333333</v>
      </c>
      <c r="H31" s="8" t="n">
        <f aca="false">$C$31</f>
        <v>687496.333333333</v>
      </c>
      <c r="I31" s="8" t="n">
        <f aca="false">$C$31</f>
        <v>687496.333333333</v>
      </c>
      <c r="J31" s="8" t="n">
        <f aca="false">$C$31</f>
        <v>687496.333333333</v>
      </c>
      <c r="K31" s="8" t="n">
        <f aca="false">$C$31</f>
        <v>687496.333333333</v>
      </c>
      <c r="L31" s="8" t="n">
        <f aca="false">$C$31</f>
        <v>687496.333333333</v>
      </c>
      <c r="M31" s="8" t="n">
        <f aca="false">$C$31</f>
        <v>687496.333333333</v>
      </c>
      <c r="N31" s="8" t="n">
        <f aca="false">$C$31</f>
        <v>687496.333333333</v>
      </c>
      <c r="O31" s="8" t="n">
        <f aca="false">$C$31</f>
        <v>687496.333333333</v>
      </c>
      <c r="P31" s="34" t="n">
        <f aca="false">SUM(D31:O31)</f>
        <v>8249956</v>
      </c>
    </row>
    <row r="32" customFormat="false" ht="15" hidden="false" customHeight="false" outlineLevel="0" collapsed="false">
      <c r="B32" s="6" t="s">
        <v>72</v>
      </c>
      <c r="C32" s="52" t="n">
        <f aca="false">AVERAGE(④FY2026月次実績!I21:K21)</f>
        <v>154132.333333333</v>
      </c>
      <c r="D32" s="8" t="n">
        <f aca="false">$C$32</f>
        <v>154132.333333333</v>
      </c>
      <c r="E32" s="8" t="n">
        <f aca="false">$C$32</f>
        <v>154132.333333333</v>
      </c>
      <c r="F32" s="8" t="n">
        <f aca="false">$C$32</f>
        <v>154132.333333333</v>
      </c>
      <c r="G32" s="8" t="n">
        <f aca="false">$C$32</f>
        <v>154132.333333333</v>
      </c>
      <c r="H32" s="8" t="n">
        <f aca="false">$C$32</f>
        <v>154132.333333333</v>
      </c>
      <c r="I32" s="8" t="n">
        <f aca="false">$C$32</f>
        <v>154132.333333333</v>
      </c>
      <c r="J32" s="8" t="n">
        <f aca="false">$C$32</f>
        <v>154132.333333333</v>
      </c>
      <c r="K32" s="8" t="n">
        <f aca="false">$C$32</f>
        <v>154132.333333333</v>
      </c>
      <c r="L32" s="8" t="n">
        <f aca="false">$C$32</f>
        <v>154132.333333333</v>
      </c>
      <c r="M32" s="8" t="n">
        <f aca="false">$C$32</f>
        <v>154132.333333333</v>
      </c>
      <c r="N32" s="8" t="n">
        <f aca="false">$C$32</f>
        <v>154132.333333333</v>
      </c>
      <c r="O32" s="8" t="n">
        <f aca="false">$C$32</f>
        <v>154132.333333333</v>
      </c>
      <c r="P32" s="34" t="n">
        <f aca="false">SUM(D32:O32)</f>
        <v>1849588</v>
      </c>
    </row>
    <row r="33" customFormat="false" ht="15" hidden="false" customHeight="false" outlineLevel="0" collapsed="false">
      <c r="B33" s="6" t="s">
        <v>73</v>
      </c>
      <c r="C33" s="52" t="n">
        <f aca="false">AVERAGE(④FY2026月次実績!I22:K22)</f>
        <v>122950.333333333</v>
      </c>
      <c r="D33" s="8" t="n">
        <f aca="false">$C$33</f>
        <v>122950.333333333</v>
      </c>
      <c r="E33" s="8" t="n">
        <f aca="false">$C$33</f>
        <v>122950.333333333</v>
      </c>
      <c r="F33" s="8" t="n">
        <f aca="false">$C$33</f>
        <v>122950.333333333</v>
      </c>
      <c r="G33" s="8" t="n">
        <f aca="false">$C$33</f>
        <v>122950.333333333</v>
      </c>
      <c r="H33" s="8" t="n">
        <f aca="false">$C$33</f>
        <v>122950.333333333</v>
      </c>
      <c r="I33" s="8" t="n">
        <f aca="false">$C$33</f>
        <v>122950.333333333</v>
      </c>
      <c r="J33" s="8" t="n">
        <f aca="false">$C$33</f>
        <v>122950.333333333</v>
      </c>
      <c r="K33" s="8" t="n">
        <f aca="false">$C$33</f>
        <v>122950.333333333</v>
      </c>
      <c r="L33" s="8" t="n">
        <f aca="false">$C$33</f>
        <v>122950.333333333</v>
      </c>
      <c r="M33" s="8" t="n">
        <f aca="false">$C$33</f>
        <v>122950.333333333</v>
      </c>
      <c r="N33" s="8" t="n">
        <f aca="false">$C$33</f>
        <v>122950.333333333</v>
      </c>
      <c r="O33" s="8" t="n">
        <f aca="false">$C$33</f>
        <v>122950.333333333</v>
      </c>
      <c r="P33" s="34" t="n">
        <f aca="false">SUM(D33:O33)</f>
        <v>1475404</v>
      </c>
    </row>
    <row r="34" customFormat="false" ht="15" hidden="false" customHeight="false" outlineLevel="0" collapsed="false">
      <c r="B34" s="6" t="s">
        <v>74</v>
      </c>
      <c r="C34" s="52" t="n">
        <f aca="false">AVERAGE(④FY2026月次実績!I23:K23)</f>
        <v>0</v>
      </c>
      <c r="D34" s="8" t="n">
        <f aca="false">$C$34</f>
        <v>0</v>
      </c>
      <c r="E34" s="8" t="n">
        <f aca="false">$C$34</f>
        <v>0</v>
      </c>
      <c r="F34" s="8" t="n">
        <f aca="false">$C$34</f>
        <v>0</v>
      </c>
      <c r="G34" s="8" t="n">
        <f aca="false">$C$34</f>
        <v>0</v>
      </c>
      <c r="H34" s="8" t="n">
        <f aca="false">$C$34</f>
        <v>0</v>
      </c>
      <c r="I34" s="8" t="n">
        <f aca="false">$C$34</f>
        <v>0</v>
      </c>
      <c r="J34" s="8" t="n">
        <f aca="false">$C$34</f>
        <v>0</v>
      </c>
      <c r="K34" s="8" t="n">
        <f aca="false">$C$34</f>
        <v>0</v>
      </c>
      <c r="L34" s="8" t="n">
        <f aca="false">$C$34</f>
        <v>0</v>
      </c>
      <c r="M34" s="8" t="n">
        <f aca="false">$C$34</f>
        <v>0</v>
      </c>
      <c r="N34" s="8" t="n">
        <f aca="false">$C$34</f>
        <v>0</v>
      </c>
      <c r="O34" s="8" t="n">
        <f aca="false">$C$34</f>
        <v>0</v>
      </c>
      <c r="P34" s="34" t="n">
        <f aca="false">SUM(D34:O34)</f>
        <v>0</v>
      </c>
    </row>
    <row r="35" customFormat="false" ht="15" hidden="false" customHeight="false" outlineLevel="0" collapsed="false">
      <c r="B35" s="6" t="s">
        <v>75</v>
      </c>
      <c r="C35" s="52" t="n">
        <f aca="false">AVERAGE(④FY2026月次実績!I24:K24)</f>
        <v>246493.666666667</v>
      </c>
      <c r="D35" s="8" t="n">
        <f aca="false">$C$35</f>
        <v>246493.666666667</v>
      </c>
      <c r="E35" s="8" t="n">
        <f aca="false">$C$35</f>
        <v>246493.666666667</v>
      </c>
      <c r="F35" s="8" t="n">
        <f aca="false">$C$35</f>
        <v>246493.666666667</v>
      </c>
      <c r="G35" s="8" t="n">
        <f aca="false">$C$35</f>
        <v>246493.666666667</v>
      </c>
      <c r="H35" s="8" t="n">
        <f aca="false">$C$35</f>
        <v>246493.666666667</v>
      </c>
      <c r="I35" s="8" t="n">
        <f aca="false">$C$35</f>
        <v>246493.666666667</v>
      </c>
      <c r="J35" s="8" t="n">
        <f aca="false">$C$35</f>
        <v>246493.666666667</v>
      </c>
      <c r="K35" s="8" t="n">
        <f aca="false">$C$35</f>
        <v>246493.666666667</v>
      </c>
      <c r="L35" s="8" t="n">
        <f aca="false">$C$35</f>
        <v>246493.666666667</v>
      </c>
      <c r="M35" s="8" t="n">
        <f aca="false">$C$35</f>
        <v>246493.666666667</v>
      </c>
      <c r="N35" s="8" t="n">
        <f aca="false">$C$35</f>
        <v>246493.666666667</v>
      </c>
      <c r="O35" s="8" t="n">
        <f aca="false">$C$35</f>
        <v>246493.666666667</v>
      </c>
      <c r="P35" s="34" t="n">
        <f aca="false">SUM(D35:O35)</f>
        <v>2957924</v>
      </c>
    </row>
    <row r="36" customFormat="false" ht="15" hidden="false" customHeight="false" outlineLevel="0" collapsed="false">
      <c r="B36" s="6" t="s">
        <v>76</v>
      </c>
      <c r="C36" s="52" t="n">
        <f aca="false">AVERAGE(④FY2026月次実績!I25:K25)</f>
        <v>1213002</v>
      </c>
      <c r="D36" s="8" t="n">
        <f aca="false">$C$36</f>
        <v>1213002</v>
      </c>
      <c r="E36" s="8" t="n">
        <f aca="false">$C$36</f>
        <v>1213002</v>
      </c>
      <c r="F36" s="8" t="n">
        <f aca="false">$C$36</f>
        <v>1213002</v>
      </c>
      <c r="G36" s="8" t="n">
        <f aca="false">$C$36</f>
        <v>1213002</v>
      </c>
      <c r="H36" s="8" t="n">
        <f aca="false">$C$36</f>
        <v>1213002</v>
      </c>
      <c r="I36" s="8" t="n">
        <f aca="false">$C$36</f>
        <v>1213002</v>
      </c>
      <c r="J36" s="8" t="n">
        <f aca="false">$C$36</f>
        <v>1213002</v>
      </c>
      <c r="K36" s="8" t="n">
        <f aca="false">$C$36</f>
        <v>1213002</v>
      </c>
      <c r="L36" s="8" t="n">
        <f aca="false">$C$36</f>
        <v>1213002</v>
      </c>
      <c r="M36" s="8" t="n">
        <f aca="false">$C$36</f>
        <v>1213002</v>
      </c>
      <c r="N36" s="8" t="n">
        <f aca="false">$C$36</f>
        <v>1213002</v>
      </c>
      <c r="O36" s="8" t="n">
        <f aca="false">$C$36</f>
        <v>1213002</v>
      </c>
      <c r="P36" s="34" t="n">
        <f aca="false">SUM(D36:O36)</f>
        <v>14556024</v>
      </c>
    </row>
    <row r="37" customFormat="false" ht="15" hidden="false" customHeight="false" outlineLevel="0" collapsed="false">
      <c r="B37" s="6" t="s">
        <v>77</v>
      </c>
      <c r="C37" s="52" t="n">
        <f aca="false">AVERAGE(④FY2026月次実績!I26:K26)</f>
        <v>0</v>
      </c>
      <c r="D37" s="8" t="n">
        <f aca="false">$C$37</f>
        <v>0</v>
      </c>
      <c r="E37" s="8" t="n">
        <f aca="false">$C$37</f>
        <v>0</v>
      </c>
      <c r="F37" s="8" t="n">
        <f aca="false">$C$37</f>
        <v>0</v>
      </c>
      <c r="G37" s="8" t="n">
        <f aca="false">$C$37</f>
        <v>0</v>
      </c>
      <c r="H37" s="8" t="n">
        <f aca="false">$C$37</f>
        <v>0</v>
      </c>
      <c r="I37" s="8" t="n">
        <f aca="false">$C$37</f>
        <v>0</v>
      </c>
      <c r="J37" s="8" t="n">
        <f aca="false">$C$37</f>
        <v>0</v>
      </c>
      <c r="K37" s="8" t="n">
        <f aca="false">$C$37</f>
        <v>0</v>
      </c>
      <c r="L37" s="8" t="n">
        <f aca="false">$C$37</f>
        <v>0</v>
      </c>
      <c r="M37" s="8" t="n">
        <f aca="false">$C$37</f>
        <v>0</v>
      </c>
      <c r="N37" s="8" t="n">
        <f aca="false">$C$37</f>
        <v>0</v>
      </c>
      <c r="O37" s="8" t="n">
        <f aca="false">$C$37</f>
        <v>0</v>
      </c>
      <c r="P37" s="34" t="n">
        <f aca="false">SUM(D37:O37)</f>
        <v>0</v>
      </c>
    </row>
    <row r="38" customFormat="false" ht="15" hidden="false" customHeight="false" outlineLevel="0" collapsed="false">
      <c r="B38" s="6" t="s">
        <v>78</v>
      </c>
      <c r="C38" s="52" t="n">
        <f aca="false">AVERAGE(④FY2026月次実績!I27:K27)</f>
        <v>3250243.33333333</v>
      </c>
      <c r="D38" s="8" t="n">
        <f aca="false">$C$38</f>
        <v>3250243.33333333</v>
      </c>
      <c r="E38" s="8" t="n">
        <f aca="false">$C$38</f>
        <v>3250243.33333333</v>
      </c>
      <c r="F38" s="8" t="n">
        <f aca="false">$C$38</f>
        <v>3250243.33333333</v>
      </c>
      <c r="G38" s="8" t="n">
        <f aca="false">$C$38</f>
        <v>3250243.33333333</v>
      </c>
      <c r="H38" s="8" t="n">
        <f aca="false">$C$38</f>
        <v>3250243.33333333</v>
      </c>
      <c r="I38" s="8" t="n">
        <f aca="false">$C$38</f>
        <v>3250243.33333333</v>
      </c>
      <c r="J38" s="8" t="n">
        <f aca="false">$C$38</f>
        <v>3250243.33333333</v>
      </c>
      <c r="K38" s="8" t="n">
        <f aca="false">$C$38</f>
        <v>3250243.33333333</v>
      </c>
      <c r="L38" s="8" t="n">
        <f aca="false">$C$38</f>
        <v>3250243.33333333</v>
      </c>
      <c r="M38" s="8" t="n">
        <f aca="false">$C$38</f>
        <v>3250243.33333333</v>
      </c>
      <c r="N38" s="8" t="n">
        <f aca="false">$C$38</f>
        <v>3250243.33333333</v>
      </c>
      <c r="O38" s="8" t="n">
        <f aca="false">$C$38</f>
        <v>3250243.33333333</v>
      </c>
      <c r="P38" s="34" t="n">
        <f aca="false">SUM(D38:O38)</f>
        <v>39002920</v>
      </c>
    </row>
    <row r="39" customFormat="false" ht="15" hidden="false" customHeight="false" outlineLevel="0" collapsed="false">
      <c r="B39" s="6" t="s">
        <v>79</v>
      </c>
      <c r="C39" s="52" t="n">
        <f aca="false">AVERAGE(④FY2026月次実績!I28:K28)</f>
        <v>49855.6666666667</v>
      </c>
      <c r="D39" s="8" t="n">
        <f aca="false">$C$39</f>
        <v>49855.6666666667</v>
      </c>
      <c r="E39" s="8" t="n">
        <f aca="false">$C$39</f>
        <v>49855.6666666667</v>
      </c>
      <c r="F39" s="8" t="n">
        <f aca="false">$C$39</f>
        <v>49855.6666666667</v>
      </c>
      <c r="G39" s="8" t="n">
        <f aca="false">$C$39</f>
        <v>49855.6666666667</v>
      </c>
      <c r="H39" s="8" t="n">
        <f aca="false">$C$39</f>
        <v>49855.6666666667</v>
      </c>
      <c r="I39" s="8" t="n">
        <f aca="false">$C$39</f>
        <v>49855.6666666667</v>
      </c>
      <c r="J39" s="8" t="n">
        <f aca="false">$C$39</f>
        <v>49855.6666666667</v>
      </c>
      <c r="K39" s="8" t="n">
        <f aca="false">$C$39</f>
        <v>49855.6666666667</v>
      </c>
      <c r="L39" s="8" t="n">
        <f aca="false">$C$39</f>
        <v>49855.6666666667</v>
      </c>
      <c r="M39" s="8" t="n">
        <f aca="false">$C$39</f>
        <v>49855.6666666667</v>
      </c>
      <c r="N39" s="8" t="n">
        <f aca="false">$C$39</f>
        <v>49855.6666666667</v>
      </c>
      <c r="O39" s="8" t="n">
        <f aca="false">$C$39</f>
        <v>49855.6666666667</v>
      </c>
      <c r="P39" s="34" t="n">
        <f aca="false">SUM(D39:O39)</f>
        <v>598268</v>
      </c>
    </row>
    <row r="40" customFormat="false" ht="15" hidden="false" customHeight="false" outlineLevel="0" collapsed="false">
      <c r="B40" s="6" t="s">
        <v>80</v>
      </c>
      <c r="C40" s="52" t="n">
        <f aca="false">AVERAGE(④FY2026月次実績!I29:K29)</f>
        <v>6666.66666666667</v>
      </c>
      <c r="D40" s="8" t="n">
        <f aca="false">$C$40</f>
        <v>6666.66666666667</v>
      </c>
      <c r="E40" s="8" t="n">
        <f aca="false">$C$40</f>
        <v>6666.66666666667</v>
      </c>
      <c r="F40" s="8" t="n">
        <f aca="false">$C$40</f>
        <v>6666.66666666667</v>
      </c>
      <c r="G40" s="8" t="n">
        <f aca="false">$C$40</f>
        <v>6666.66666666667</v>
      </c>
      <c r="H40" s="8" t="n">
        <f aca="false">$C$40</f>
        <v>6666.66666666667</v>
      </c>
      <c r="I40" s="8" t="n">
        <f aca="false">$C$40</f>
        <v>6666.66666666667</v>
      </c>
      <c r="J40" s="8" t="n">
        <f aca="false">$C$40</f>
        <v>6666.66666666667</v>
      </c>
      <c r="K40" s="8" t="n">
        <f aca="false">$C$40</f>
        <v>6666.66666666667</v>
      </c>
      <c r="L40" s="8" t="n">
        <f aca="false">$C$40</f>
        <v>6666.66666666667</v>
      </c>
      <c r="M40" s="8" t="n">
        <f aca="false">$C$40</f>
        <v>6666.66666666667</v>
      </c>
      <c r="N40" s="8" t="n">
        <f aca="false">$C$40</f>
        <v>6666.66666666667</v>
      </c>
      <c r="O40" s="8" t="n">
        <f aca="false">$C$40</f>
        <v>6666.66666666667</v>
      </c>
      <c r="P40" s="34" t="n">
        <f aca="false">SUM(D40:O40)</f>
        <v>80000</v>
      </c>
    </row>
    <row r="41" customFormat="false" ht="15" hidden="false" customHeight="false" outlineLevel="0" collapsed="false">
      <c r="B41" s="6" t="s">
        <v>81</v>
      </c>
      <c r="C41" s="52" t="n">
        <f aca="false">AVERAGE(④FY2026月次実績!I30:K30)</f>
        <v>394626.666666667</v>
      </c>
      <c r="D41" s="8" t="n">
        <f aca="false">$C$41</f>
        <v>394626.666666667</v>
      </c>
      <c r="E41" s="8" t="n">
        <f aca="false">$C$41</f>
        <v>394626.666666667</v>
      </c>
      <c r="F41" s="8" t="n">
        <f aca="false">$C$41</f>
        <v>394626.666666667</v>
      </c>
      <c r="G41" s="8" t="n">
        <f aca="false">$C$41</f>
        <v>394626.666666667</v>
      </c>
      <c r="H41" s="8" t="n">
        <f aca="false">$C$41</f>
        <v>394626.666666667</v>
      </c>
      <c r="I41" s="8" t="n">
        <f aca="false">$C$41</f>
        <v>394626.666666667</v>
      </c>
      <c r="J41" s="8" t="n">
        <f aca="false">$C$41</f>
        <v>394626.666666667</v>
      </c>
      <c r="K41" s="8" t="n">
        <f aca="false">$C$41</f>
        <v>394626.666666667</v>
      </c>
      <c r="L41" s="8" t="n">
        <f aca="false">$C$41</f>
        <v>394626.666666667</v>
      </c>
      <c r="M41" s="8" t="n">
        <f aca="false">$C$41</f>
        <v>394626.666666667</v>
      </c>
      <c r="N41" s="8" t="n">
        <f aca="false">$C$41</f>
        <v>394626.666666667</v>
      </c>
      <c r="O41" s="8" t="n">
        <f aca="false">$C$41</f>
        <v>394626.666666667</v>
      </c>
      <c r="P41" s="34" t="n">
        <f aca="false">SUM(D41:O41)</f>
        <v>4735520</v>
      </c>
    </row>
    <row r="42" customFormat="false" ht="15" hidden="false" customHeight="false" outlineLevel="0" collapsed="false">
      <c r="B42" s="6" t="s">
        <v>82</v>
      </c>
      <c r="C42" s="52" t="n">
        <f aca="false">AVERAGE(④FY2026月次実績!I31:K31)</f>
        <v>0</v>
      </c>
      <c r="D42" s="8" t="n">
        <f aca="false">$C$42</f>
        <v>0</v>
      </c>
      <c r="E42" s="8" t="n">
        <f aca="false">$C$42</f>
        <v>0</v>
      </c>
      <c r="F42" s="8" t="n">
        <f aca="false">$C$42</f>
        <v>0</v>
      </c>
      <c r="G42" s="8" t="n">
        <f aca="false">$C$42</f>
        <v>0</v>
      </c>
      <c r="H42" s="8" t="n">
        <f aca="false">$C$42</f>
        <v>0</v>
      </c>
      <c r="I42" s="8" t="n">
        <f aca="false">$C$42</f>
        <v>0</v>
      </c>
      <c r="J42" s="8" t="n">
        <f aca="false">$C$42</f>
        <v>0</v>
      </c>
      <c r="K42" s="8" t="n">
        <f aca="false">$C$42</f>
        <v>0</v>
      </c>
      <c r="L42" s="8" t="n">
        <f aca="false">$C$42</f>
        <v>0</v>
      </c>
      <c r="M42" s="8" t="n">
        <f aca="false">$C$42</f>
        <v>0</v>
      </c>
      <c r="N42" s="8" t="n">
        <f aca="false">$C$42</f>
        <v>0</v>
      </c>
      <c r="O42" s="8" t="n">
        <f aca="false">$C$42</f>
        <v>0</v>
      </c>
      <c r="P42" s="34" t="n">
        <f aca="false">SUM(D42:O42)</f>
        <v>0</v>
      </c>
    </row>
    <row r="43" customFormat="false" ht="15" hidden="false" customHeight="false" outlineLevel="0" collapsed="false">
      <c r="B43" s="6" t="s">
        <v>83</v>
      </c>
      <c r="C43" s="52" t="n">
        <f aca="false">AVERAGE(④FY2026月次実績!I32:K32)</f>
        <v>3637873</v>
      </c>
      <c r="D43" s="8" t="n">
        <f aca="false">$C$43</f>
        <v>3637873</v>
      </c>
      <c r="E43" s="8" t="n">
        <f aca="false">$C$43</f>
        <v>3637873</v>
      </c>
      <c r="F43" s="8" t="n">
        <f aca="false">$C$43</f>
        <v>3637873</v>
      </c>
      <c r="G43" s="8" t="n">
        <f aca="false">$C$43</f>
        <v>3637873</v>
      </c>
      <c r="H43" s="8" t="n">
        <f aca="false">$C$43</f>
        <v>3637873</v>
      </c>
      <c r="I43" s="8" t="n">
        <f aca="false">$C$43</f>
        <v>3637873</v>
      </c>
      <c r="J43" s="8" t="n">
        <f aca="false">$C$43</f>
        <v>3637873</v>
      </c>
      <c r="K43" s="8" t="n">
        <f aca="false">$C$43</f>
        <v>3637873</v>
      </c>
      <c r="L43" s="8" t="n">
        <f aca="false">$C$43</f>
        <v>3637873</v>
      </c>
      <c r="M43" s="8" t="n">
        <f aca="false">$C$43</f>
        <v>3637873</v>
      </c>
      <c r="N43" s="8" t="n">
        <f aca="false">$C$43</f>
        <v>3637873</v>
      </c>
      <c r="O43" s="8" t="n">
        <f aca="false">$C$43</f>
        <v>3637873</v>
      </c>
      <c r="P43" s="34" t="n">
        <f aca="false">SUM(D43:O43)</f>
        <v>43654476</v>
      </c>
    </row>
    <row r="44" customFormat="false" ht="15" hidden="false" customHeight="false" outlineLevel="0" collapsed="false">
      <c r="B44" s="6" t="s">
        <v>84</v>
      </c>
      <c r="C44" s="52" t="n">
        <f aca="false">AVERAGE(④FY2026月次実績!I33:K33)</f>
        <v>272483.666666667</v>
      </c>
      <c r="D44" s="8" t="n">
        <f aca="false">$C$44</f>
        <v>272483.666666667</v>
      </c>
      <c r="E44" s="8" t="n">
        <f aca="false">$C$44</f>
        <v>272483.666666667</v>
      </c>
      <c r="F44" s="8" t="n">
        <f aca="false">$C$44</f>
        <v>272483.666666667</v>
      </c>
      <c r="G44" s="8" t="n">
        <f aca="false">$C$44</f>
        <v>272483.666666667</v>
      </c>
      <c r="H44" s="8" t="n">
        <f aca="false">$C$44</f>
        <v>272483.666666667</v>
      </c>
      <c r="I44" s="8" t="n">
        <f aca="false">$C$44</f>
        <v>272483.666666667</v>
      </c>
      <c r="J44" s="8" t="n">
        <f aca="false">$C$44</f>
        <v>272483.666666667</v>
      </c>
      <c r="K44" s="8" t="n">
        <f aca="false">$C$44</f>
        <v>272483.666666667</v>
      </c>
      <c r="L44" s="8" t="n">
        <f aca="false">$C$44</f>
        <v>272483.666666667</v>
      </c>
      <c r="M44" s="8" t="n">
        <f aca="false">$C$44</f>
        <v>272483.666666667</v>
      </c>
      <c r="N44" s="8" t="n">
        <f aca="false">$C$44</f>
        <v>272483.666666667</v>
      </c>
      <c r="O44" s="8" t="n">
        <f aca="false">$C$44</f>
        <v>272483.666666667</v>
      </c>
      <c r="P44" s="34" t="n">
        <f aca="false">SUM(D44:O44)</f>
        <v>3269804</v>
      </c>
    </row>
    <row r="45" customFormat="false" ht="15" hidden="false" customHeight="false" outlineLevel="0" collapsed="false">
      <c r="B45" s="11" t="s">
        <v>85</v>
      </c>
      <c r="C45" s="12" t="n">
        <f aca="false">SUM(C22:C44)</f>
        <v>25013422</v>
      </c>
      <c r="D45" s="12" t="n">
        <f aca="false">SUM(D22:D44)</f>
        <v>25013422</v>
      </c>
      <c r="E45" s="12" t="n">
        <f aca="false">SUM(E22:E44)</f>
        <v>25013422</v>
      </c>
      <c r="F45" s="12" t="n">
        <f aca="false">SUM(F22:F44)</f>
        <v>25013422</v>
      </c>
      <c r="G45" s="12" t="n">
        <f aca="false">SUM(G22:G44)</f>
        <v>25013422</v>
      </c>
      <c r="H45" s="12" t="n">
        <f aca="false">SUM(H22:H44)</f>
        <v>25013422</v>
      </c>
      <c r="I45" s="12" t="n">
        <f aca="false">SUM(I22:I44)</f>
        <v>25013422</v>
      </c>
      <c r="J45" s="12" t="n">
        <f aca="false">SUM(J22:J44)</f>
        <v>25013422</v>
      </c>
      <c r="K45" s="12" t="n">
        <f aca="false">SUM(K22:K44)</f>
        <v>25013422</v>
      </c>
      <c r="L45" s="12" t="n">
        <f aca="false">SUM(L22:L44)</f>
        <v>25013422</v>
      </c>
      <c r="M45" s="12" t="n">
        <f aca="false">SUM(M22:M44)</f>
        <v>25013422</v>
      </c>
      <c r="N45" s="12" t="n">
        <f aca="false">SUM(N22:N44)</f>
        <v>25013422</v>
      </c>
      <c r="O45" s="12" t="n">
        <f aca="false">SUM(O22:O44)</f>
        <v>25013422</v>
      </c>
      <c r="P45" s="12" t="n">
        <f aca="false">SUM(D45:O45)</f>
        <v>300161064</v>
      </c>
    </row>
    <row r="47" customFormat="false" ht="15" hidden="false" customHeight="false" outlineLevel="0" collapsed="false">
      <c r="B47" s="36" t="s">
        <v>166</v>
      </c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</row>
    <row r="48" customFormat="false" ht="15" hidden="false" customHeight="false" outlineLevel="0" collapsed="false">
      <c r="B48" s="15" t="s">
        <v>18</v>
      </c>
      <c r="C48" s="16" t="n">
        <f aca="false">C19-C45</f>
        <v>6250000</v>
      </c>
      <c r="D48" s="16" t="n">
        <f aca="false">D19-D45</f>
        <v>6250000</v>
      </c>
      <c r="E48" s="16" t="n">
        <f aca="false">E19-E45</f>
        <v>6250000</v>
      </c>
      <c r="F48" s="16" t="n">
        <f aca="false">F19-F45</f>
        <v>6250000</v>
      </c>
      <c r="G48" s="16" t="n">
        <f aca="false">G19-G45</f>
        <v>6250000</v>
      </c>
      <c r="H48" s="16" t="n">
        <f aca="false">H19-H45</f>
        <v>6250000</v>
      </c>
      <c r="I48" s="16" t="n">
        <f aca="false">I19-I45</f>
        <v>36250000</v>
      </c>
      <c r="J48" s="16" t="n">
        <f aca="false">J19-J45</f>
        <v>6250000</v>
      </c>
      <c r="K48" s="16" t="n">
        <f aca="false">K19-K45</f>
        <v>6250000</v>
      </c>
      <c r="L48" s="16" t="n">
        <f aca="false">L19-L45</f>
        <v>6250000</v>
      </c>
      <c r="M48" s="16" t="n">
        <f aca="false">M19-M45</f>
        <v>6250000</v>
      </c>
      <c r="N48" s="16" t="n">
        <f aca="false">N19-N45</f>
        <v>6250000</v>
      </c>
      <c r="O48" s="16" t="n">
        <f aca="false">O19-O45</f>
        <v>16250000</v>
      </c>
      <c r="P48" s="16" t="n">
        <f aca="false">SUM(D48:O48)</f>
        <v>115000000</v>
      </c>
    </row>
    <row r="49" customFormat="false" ht="15" hidden="false" customHeight="false" outlineLevel="0" collapsed="false">
      <c r="B49" s="6" t="s">
        <v>19</v>
      </c>
      <c r="D49" s="8" t="n">
        <f aca="false">0</f>
        <v>0</v>
      </c>
      <c r="E49" s="8" t="n">
        <f aca="false">0</f>
        <v>0</v>
      </c>
      <c r="F49" s="8" t="n">
        <f aca="false">0</f>
        <v>0</v>
      </c>
      <c r="G49" s="8" t="n">
        <f aca="false">0</f>
        <v>0</v>
      </c>
      <c r="H49" s="8" t="n">
        <f aca="false">0</f>
        <v>0</v>
      </c>
      <c r="I49" s="8" t="n">
        <f aca="false">0</f>
        <v>0</v>
      </c>
      <c r="J49" s="8" t="n">
        <f aca="false">0</f>
        <v>0</v>
      </c>
      <c r="K49" s="8" t="n">
        <f aca="false">0</f>
        <v>0</v>
      </c>
      <c r="L49" s="8" t="n">
        <f aca="false">0</f>
        <v>0</v>
      </c>
      <c r="M49" s="8" t="n">
        <f aca="false">0</f>
        <v>0</v>
      </c>
      <c r="N49" s="8" t="n">
        <f aca="false">0</f>
        <v>0</v>
      </c>
      <c r="O49" s="8" t="n">
        <f aca="false">0</f>
        <v>0</v>
      </c>
      <c r="P49" s="34" t="n">
        <f aca="false">SUM(D49:O49)</f>
        <v>0</v>
      </c>
    </row>
    <row r="50" customFormat="false" ht="15" hidden="false" customHeight="false" outlineLevel="0" collapsed="false">
      <c r="B50" s="6" t="s">
        <v>167</v>
      </c>
      <c r="C50" s="52" t="n">
        <f aca="false">②前提!$C$26/12</f>
        <v>1250000</v>
      </c>
      <c r="D50" s="8" t="n">
        <f aca="false">$C$50</f>
        <v>1250000</v>
      </c>
      <c r="E50" s="8" t="n">
        <f aca="false">$C$50</f>
        <v>1250000</v>
      </c>
      <c r="F50" s="8" t="n">
        <f aca="false">$C$50</f>
        <v>1250000</v>
      </c>
      <c r="G50" s="8" t="n">
        <f aca="false">$C$50</f>
        <v>1250000</v>
      </c>
      <c r="H50" s="8" t="n">
        <f aca="false">$C$50</f>
        <v>1250000</v>
      </c>
      <c r="I50" s="8" t="n">
        <f aca="false">$C$50</f>
        <v>1250000</v>
      </c>
      <c r="J50" s="8" t="n">
        <f aca="false">$C$50</f>
        <v>1250000</v>
      </c>
      <c r="K50" s="8" t="n">
        <f aca="false">$C$50</f>
        <v>1250000</v>
      </c>
      <c r="L50" s="8" t="n">
        <f aca="false">$C$50</f>
        <v>1250000</v>
      </c>
      <c r="M50" s="8" t="n">
        <f aca="false">$C$50</f>
        <v>1250000</v>
      </c>
      <c r="N50" s="8" t="n">
        <f aca="false">$C$50</f>
        <v>1250000</v>
      </c>
      <c r="O50" s="8" t="n">
        <f aca="false">$C$50</f>
        <v>1250000</v>
      </c>
      <c r="P50" s="34" t="n">
        <f aca="false">SUM(D50:O50)</f>
        <v>15000000</v>
      </c>
    </row>
    <row r="51" customFormat="false" ht="15" hidden="false" customHeight="false" outlineLevel="0" collapsed="false">
      <c r="B51" s="18" t="s">
        <v>22</v>
      </c>
      <c r="C51" s="19" t="n">
        <f aca="false">C48+C49-C50</f>
        <v>5000000</v>
      </c>
      <c r="D51" s="19" t="n">
        <f aca="false">D48+D49-D50</f>
        <v>5000000</v>
      </c>
      <c r="E51" s="19" t="n">
        <f aca="false">E48+E49-E50</f>
        <v>5000000</v>
      </c>
      <c r="F51" s="19" t="n">
        <f aca="false">F48+F49-F50</f>
        <v>5000000</v>
      </c>
      <c r="G51" s="19" t="n">
        <f aca="false">G48+G49-G50</f>
        <v>5000000</v>
      </c>
      <c r="H51" s="19" t="n">
        <f aca="false">H48+H49-H50</f>
        <v>5000000</v>
      </c>
      <c r="I51" s="19" t="n">
        <f aca="false">I48+I49-I50</f>
        <v>35000000</v>
      </c>
      <c r="J51" s="19" t="n">
        <f aca="false">J48+J49-J50</f>
        <v>5000000</v>
      </c>
      <c r="K51" s="19" t="n">
        <f aca="false">K48+K49-K50</f>
        <v>5000000</v>
      </c>
      <c r="L51" s="19" t="n">
        <f aca="false">L48+L49-L50</f>
        <v>5000000</v>
      </c>
      <c r="M51" s="19" t="n">
        <f aca="false">M48+M49-M50</f>
        <v>5000000</v>
      </c>
      <c r="N51" s="19" t="n">
        <f aca="false">N48+N49-N50</f>
        <v>5000000</v>
      </c>
      <c r="O51" s="19" t="n">
        <f aca="false">O48+O49-O50</f>
        <v>15000000</v>
      </c>
      <c r="P51" s="19" t="n">
        <f aca="false">SUM(D51:O51)</f>
        <v>100000000</v>
      </c>
    </row>
    <row r="52" customFormat="false" ht="15" hidden="false" customHeight="false" outlineLevel="0" collapsed="false">
      <c r="B52" s="46" t="s">
        <v>168</v>
      </c>
      <c r="D52" s="53" t="n">
        <f aca="false">D51</f>
        <v>5000000</v>
      </c>
      <c r="E52" s="53" t="n">
        <f aca="false">D52+E51</f>
        <v>10000000</v>
      </c>
      <c r="F52" s="53" t="n">
        <f aca="false">E52+F51</f>
        <v>15000000</v>
      </c>
      <c r="G52" s="53" t="n">
        <f aca="false">F52+G51</f>
        <v>20000000</v>
      </c>
      <c r="H52" s="53" t="n">
        <f aca="false">G52+H51</f>
        <v>25000000</v>
      </c>
      <c r="I52" s="53" t="n">
        <f aca="false">H52+I51</f>
        <v>60000000</v>
      </c>
      <c r="J52" s="53" t="n">
        <f aca="false">I52+J51</f>
        <v>65000000</v>
      </c>
      <c r="K52" s="53" t="n">
        <f aca="false">J52+K51</f>
        <v>70000000</v>
      </c>
      <c r="L52" s="53" t="n">
        <f aca="false">K52+L51</f>
        <v>75000000</v>
      </c>
      <c r="M52" s="53" t="n">
        <f aca="false">L52+M51</f>
        <v>80000000</v>
      </c>
      <c r="N52" s="53" t="n">
        <f aca="false">M52+N51</f>
        <v>85000000</v>
      </c>
      <c r="O52" s="53" t="n">
        <f aca="false">N52+O51</f>
        <v>100000000</v>
      </c>
    </row>
    <row r="54" customFormat="false" ht="15" hidden="false" customHeight="false" outlineLevel="0" collapsed="false">
      <c r="B54" s="3" t="s">
        <v>169</v>
      </c>
    </row>
    <row r="55" customFormat="false" ht="15" hidden="false" customHeight="false" outlineLevel="0" collapsed="false">
      <c r="B55" s="3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8" t="s">
        <v>171</v>
      </c>
    </row>
    <row r="2" customFormat="false" ht="15" hidden="false" customHeight="false" outlineLevel="0" collapsed="false">
      <c r="B2" s="3" t="s">
        <v>172</v>
      </c>
    </row>
    <row r="4" customFormat="false" ht="15" hidden="false" customHeight="false" outlineLevel="0" collapsed="false">
      <c r="B4" s="39" t="s">
        <v>90</v>
      </c>
      <c r="C4" s="39" t="s">
        <v>173</v>
      </c>
      <c r="D4" s="39" t="s">
        <v>174</v>
      </c>
      <c r="E4" s="39" t="s">
        <v>175</v>
      </c>
    </row>
    <row r="5" customFormat="false" ht="15" hidden="false" customHeight="false" outlineLevel="0" collapsed="false">
      <c r="B5" s="54" t="s">
        <v>176</v>
      </c>
      <c r="C5" s="55" t="n">
        <v>-114793431</v>
      </c>
      <c r="D5" s="34" t="n">
        <f aca="false">C5</f>
        <v>-114793431</v>
      </c>
      <c r="E5" s="3" t="s">
        <v>177</v>
      </c>
    </row>
    <row r="6" customFormat="false" ht="15" hidden="false" customHeight="false" outlineLevel="0" collapsed="false">
      <c r="B6" s="6" t="s">
        <v>178</v>
      </c>
      <c r="C6" s="8" t="n">
        <f aca="false">②前提!$C$7*12-229139405</f>
        <v>-28537477</v>
      </c>
      <c r="D6" s="34" t="n">
        <f aca="false">D5+C6</f>
        <v>-143330908</v>
      </c>
      <c r="E6" s="14" t="s">
        <v>179</v>
      </c>
    </row>
    <row r="7" customFormat="false" ht="15" hidden="false" customHeight="false" outlineLevel="0" collapsed="false">
      <c r="B7" s="6" t="s">
        <v>180</v>
      </c>
      <c r="C7" s="8" t="n">
        <f aca="false">343932836-②前提!$C$8*12</f>
        <v>43771772</v>
      </c>
      <c r="D7" s="34" t="n">
        <f aca="false">D6+C7</f>
        <v>-99559136</v>
      </c>
      <c r="E7" s="3" t="s">
        <v>181</v>
      </c>
    </row>
    <row r="8" customFormat="false" ht="15" hidden="false" customHeight="false" outlineLevel="0" collapsed="false">
      <c r="B8" s="6" t="s">
        <v>182</v>
      </c>
      <c r="C8" s="8" t="n">
        <f aca="false">②前提!$C$22</f>
        <v>132500000</v>
      </c>
      <c r="D8" s="34" t="n">
        <f aca="false">D7+C8</f>
        <v>32940864</v>
      </c>
      <c r="E8" s="3" t="s">
        <v>183</v>
      </c>
    </row>
    <row r="9" customFormat="false" ht="15" hidden="false" customHeight="false" outlineLevel="0" collapsed="false">
      <c r="B9" s="56" t="s">
        <v>184</v>
      </c>
      <c r="D9" s="16" t="n">
        <f aca="false">D8</f>
        <v>32940864</v>
      </c>
      <c r="E9" s="3" t="s">
        <v>185</v>
      </c>
    </row>
    <row r="12" customFormat="false" ht="16.4" hidden="false" customHeight="false" outlineLevel="0" collapsed="false">
      <c r="B12" s="21" t="s">
        <v>27</v>
      </c>
    </row>
    <row r="13" customFormat="false" ht="15" hidden="false" customHeight="false" outlineLevel="0" collapsed="false">
      <c r="B13" s="6" t="s">
        <v>186</v>
      </c>
      <c r="C13" s="24" t="n">
        <f aca="false">①サマリー!C23</f>
        <v>159183690.420246</v>
      </c>
      <c r="E13" s="57" t="n">
        <f aca="false">①サマリー!D23</f>
        <v>0.149328039793852</v>
      </c>
      <c r="F13" s="3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  <col collapsed="false" customWidth="true" hidden="false" outlineLevel="0" max="17" min="17" style="0" width="52"/>
  </cols>
  <sheetData>
    <row r="1" customFormat="false" ht="19.4" hidden="false" customHeight="false" outlineLevel="0" collapsed="false">
      <c r="B1" s="58" t="s">
        <v>188</v>
      </c>
    </row>
    <row r="2" customFormat="false" ht="15" hidden="false" customHeight="false" outlineLevel="0" collapsed="false">
      <c r="B2" s="30" t="s">
        <v>189</v>
      </c>
    </row>
    <row r="4" customFormat="false" ht="15" hidden="false" customHeight="false" outlineLevel="0" collapsed="false">
      <c r="B4" s="39" t="s">
        <v>190</v>
      </c>
      <c r="C4" s="40"/>
      <c r="D4" s="40"/>
      <c r="E4" s="40"/>
      <c r="F4" s="40"/>
      <c r="G4" s="40"/>
      <c r="H4" s="40"/>
    </row>
    <row r="5" customFormat="false" ht="15" hidden="false" customHeight="false" outlineLevel="0" collapsed="false">
      <c r="B5" s="22" t="s">
        <v>191</v>
      </c>
      <c r="C5" s="31" t="s">
        <v>192</v>
      </c>
      <c r="D5" s="31" t="s">
        <v>193</v>
      </c>
      <c r="E5" s="31" t="s">
        <v>194</v>
      </c>
      <c r="F5" s="31" t="s">
        <v>195</v>
      </c>
      <c r="G5" s="31" t="s">
        <v>196</v>
      </c>
    </row>
    <row r="6" customFormat="false" ht="15" hidden="false" customHeight="false" outlineLevel="0" collapsed="false">
      <c r="B6" s="6" t="s">
        <v>197</v>
      </c>
      <c r="C6" s="59" t="n">
        <v>560</v>
      </c>
      <c r="D6" s="59" t="n">
        <v>470</v>
      </c>
      <c r="E6" s="59" t="n">
        <v>480</v>
      </c>
      <c r="F6" s="59" t="n">
        <v>530</v>
      </c>
      <c r="G6" s="59" t="n">
        <v>620</v>
      </c>
    </row>
    <row r="7" customFormat="false" ht="15" hidden="false" customHeight="false" outlineLevel="0" collapsed="false">
      <c r="B7" s="54" t="s">
        <v>198</v>
      </c>
      <c r="C7" s="60" t="n">
        <f aca="false">G6-E6</f>
        <v>140</v>
      </c>
      <c r="D7" s="3" t="s">
        <v>199</v>
      </c>
      <c r="E7" s="61" t="n">
        <f aca="false">C7/6</f>
        <v>23.3333333333333</v>
      </c>
      <c r="F7" s="30" t="s">
        <v>200</v>
      </c>
    </row>
    <row r="8" customFormat="false" ht="15" hidden="false" customHeight="false" outlineLevel="0" collapsed="false">
      <c r="B8" s="3" t="s">
        <v>201</v>
      </c>
    </row>
    <row r="10" customFormat="false" ht="15" hidden="false" customHeight="false" outlineLevel="0" collapsed="false">
      <c r="B10" s="39" t="s">
        <v>202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customFormat="false" ht="15" hidden="false" customHeight="false" outlineLevel="0" collapsed="false">
      <c r="B11" s="22" t="s">
        <v>3</v>
      </c>
      <c r="C11" s="41" t="s">
        <v>203</v>
      </c>
      <c r="D11" s="31" t="s">
        <v>139</v>
      </c>
      <c r="E11" s="31" t="s">
        <v>140</v>
      </c>
      <c r="F11" s="31" t="s">
        <v>141</v>
      </c>
      <c r="G11" s="31" t="s">
        <v>142</v>
      </c>
      <c r="H11" s="31" t="s">
        <v>143</v>
      </c>
      <c r="I11" s="31" t="s">
        <v>144</v>
      </c>
      <c r="J11" s="31" t="s">
        <v>145</v>
      </c>
      <c r="K11" s="31" t="s">
        <v>146</v>
      </c>
      <c r="L11" s="31" t="s">
        <v>147</v>
      </c>
      <c r="M11" s="31" t="s">
        <v>148</v>
      </c>
      <c r="N11" s="31" t="s">
        <v>149</v>
      </c>
      <c r="O11" s="31" t="s">
        <v>150</v>
      </c>
      <c r="P11" s="41" t="s">
        <v>54</v>
      </c>
    </row>
    <row r="12" customFormat="false" ht="15" hidden="false" customHeight="false" outlineLevel="0" collapsed="false">
      <c r="B12" s="6" t="s">
        <v>204</v>
      </c>
      <c r="C12" s="45" t="n">
        <v>420000000</v>
      </c>
      <c r="Q12" s="43" t="s">
        <v>205</v>
      </c>
    </row>
    <row r="13" customFormat="false" ht="15" hidden="false" customHeight="false" outlineLevel="0" collapsed="false">
      <c r="B13" s="6" t="s">
        <v>206</v>
      </c>
      <c r="C13" s="45" t="n">
        <v>0</v>
      </c>
      <c r="Q13" s="14" t="s">
        <v>207</v>
      </c>
    </row>
    <row r="14" customFormat="false" ht="15" hidden="false" customHeight="false" outlineLevel="0" collapsed="false">
      <c r="B14" s="6" t="s">
        <v>208</v>
      </c>
      <c r="D14" s="45" t="n">
        <v>0</v>
      </c>
      <c r="E14" s="45" t="n">
        <v>0</v>
      </c>
      <c r="F14" s="45" t="n">
        <v>0</v>
      </c>
      <c r="G14" s="45" t="n">
        <v>0</v>
      </c>
      <c r="H14" s="45" t="n">
        <v>0</v>
      </c>
      <c r="I14" s="45" t="n">
        <v>0</v>
      </c>
      <c r="J14" s="45" t="n">
        <v>0</v>
      </c>
      <c r="K14" s="45" t="n">
        <v>0</v>
      </c>
      <c r="L14" s="45" t="n">
        <v>0</v>
      </c>
      <c r="M14" s="45" t="n">
        <v>0</v>
      </c>
      <c r="N14" s="45" t="n">
        <v>0</v>
      </c>
      <c r="O14" s="45" t="n">
        <v>0</v>
      </c>
      <c r="P14" s="34" t="n">
        <f aca="false">SUM(D14:O14)</f>
        <v>0</v>
      </c>
      <c r="Q14" s="3" t="s">
        <v>209</v>
      </c>
    </row>
    <row r="15" customFormat="false" ht="15" hidden="false" customHeight="false" outlineLevel="0" collapsed="false">
      <c r="B15" s="6" t="s">
        <v>210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34" t="n">
        <f aca="false">SUM(D15:O15)</f>
        <v>0</v>
      </c>
      <c r="Q15" s="3" t="s">
        <v>211</v>
      </c>
    </row>
    <row r="16" customFormat="false" ht="15" hidden="false" customHeight="false" outlineLevel="0" collapsed="false">
      <c r="B16" s="6" t="s">
        <v>212</v>
      </c>
      <c r="D16" s="8" t="n">
        <f aca="false">IF(②前提!$C$33=2,②前提!$C$34/12,D18)</f>
        <v>34922201.1666667</v>
      </c>
      <c r="E16" s="8" t="n">
        <f aca="false">IF(②前提!$C$33=2,②前提!$C$34/12,E18)</f>
        <v>34922201.1666667</v>
      </c>
      <c r="F16" s="8" t="n">
        <f aca="false">IF(②前提!$C$33=2,②前提!$C$34/12,F18)</f>
        <v>34922201.1666667</v>
      </c>
      <c r="G16" s="8" t="n">
        <f aca="false">IF(②前提!$C$33=2,②前提!$C$34/12,G18)</f>
        <v>34922201.1666667</v>
      </c>
      <c r="H16" s="8" t="n">
        <f aca="false">IF(②前提!$C$33=2,②前提!$C$34/12,H18)</f>
        <v>34922201.1666667</v>
      </c>
      <c r="I16" s="8" t="n">
        <f aca="false">IF(②前提!$C$33=2,②前提!$C$34/12,I18)</f>
        <v>34922201.1666667</v>
      </c>
      <c r="J16" s="8" t="n">
        <f aca="false">IF(②前提!$C$33=2,②前提!$C$34/12,J18)</f>
        <v>34922201.1666667</v>
      </c>
      <c r="K16" s="8" t="n">
        <f aca="false">IF(②前提!$C$33=2,②前提!$C$34/12,K18)</f>
        <v>34922201.1666667</v>
      </c>
      <c r="L16" s="8" t="n">
        <f aca="false">IF(②前提!$C$33=2,②前提!$C$34/12,L18)</f>
        <v>34922201.1666667</v>
      </c>
      <c r="M16" s="8" t="n">
        <f aca="false">IF(②前提!$C$33=2,②前提!$C$34/12,M18)</f>
        <v>34922201.1666667</v>
      </c>
      <c r="N16" s="8" t="n">
        <f aca="false">IF(②前提!$C$33=2,②前提!$C$34/12,N18)</f>
        <v>34922201.1666667</v>
      </c>
      <c r="O16" s="8" t="n">
        <f aca="false">IF(②前提!$C$33=2,②前提!$C$34/12,O18)</f>
        <v>34922201.1666667</v>
      </c>
      <c r="P16" s="34" t="n">
        <f aca="false">SUM(D16:O16)</f>
        <v>419066414</v>
      </c>
      <c r="Q16" s="3" t="s">
        <v>213</v>
      </c>
    </row>
    <row r="17" customFormat="false" ht="15" hidden="false" customHeight="false" outlineLevel="0" collapsed="false">
      <c r="B17" s="37" t="s">
        <v>214</v>
      </c>
      <c r="D17" s="12" t="n">
        <f aca="false">D16+$C$13+D14+D15</f>
        <v>34922201.1666667</v>
      </c>
      <c r="E17" s="12" t="n">
        <f aca="false">E16+$C$13+E14+E15</f>
        <v>34922201.1666667</v>
      </c>
      <c r="F17" s="12" t="n">
        <f aca="false">F16+$C$13+F14+F15</f>
        <v>34922201.1666667</v>
      </c>
      <c r="G17" s="12" t="n">
        <f aca="false">G16+$C$13+G14+G15</f>
        <v>34922201.1666667</v>
      </c>
      <c r="H17" s="12" t="n">
        <f aca="false">H16+$C$13+H14+H15</f>
        <v>34922201.1666667</v>
      </c>
      <c r="I17" s="12" t="n">
        <f aca="false">I16+$C$13+I14+I15</f>
        <v>34922201.1666667</v>
      </c>
      <c r="J17" s="12" t="n">
        <f aca="false">J16+$C$13+J14+J15</f>
        <v>34922201.1666667</v>
      </c>
      <c r="K17" s="12" t="n">
        <f aca="false">K16+$C$13+K14+K15</f>
        <v>34922201.1666667</v>
      </c>
      <c r="L17" s="12" t="n">
        <f aca="false">L16+$C$13+L14+L15</f>
        <v>34922201.1666667</v>
      </c>
      <c r="M17" s="12" t="n">
        <f aca="false">M16+$C$13+M14+M15</f>
        <v>34922201.1666667</v>
      </c>
      <c r="N17" s="12" t="n">
        <f aca="false">N16+$C$13+N14+N15</f>
        <v>34922201.1666667</v>
      </c>
      <c r="O17" s="12" t="n">
        <f aca="false">O16+$C$13+O14+O15</f>
        <v>34922201.1666667</v>
      </c>
      <c r="P17" s="34" t="n">
        <f aca="false">SUM(D17:O17)</f>
        <v>419066414</v>
      </c>
    </row>
    <row r="18" customFormat="false" ht="15" hidden="false" customHeight="false" outlineLevel="0" collapsed="false">
      <c r="B18" s="6" t="s">
        <v>215</v>
      </c>
      <c r="D18" s="52" t="n">
        <f aca="false">③FY2027月次推移!D9</f>
        <v>22138616.2016872</v>
      </c>
      <c r="E18" s="52" t="n">
        <f aca="false">③FY2027月次推移!E9</f>
        <v>22138616.2016872</v>
      </c>
      <c r="F18" s="52" t="n">
        <f aca="false">③FY2027月次推移!F9</f>
        <v>22138616.2016872</v>
      </c>
      <c r="G18" s="52" t="n">
        <f aca="false">③FY2027月次推移!G9</f>
        <v>22138616.2016872</v>
      </c>
      <c r="H18" s="52" t="n">
        <f aca="false">③FY2027月次推移!H9</f>
        <v>22138616.2016872</v>
      </c>
      <c r="I18" s="52" t="n">
        <f aca="false">③FY2027月次推移!I9</f>
        <v>22138616.2016872</v>
      </c>
      <c r="J18" s="52" t="n">
        <f aca="false">③FY2027月次推移!J9</f>
        <v>22138616.2016872</v>
      </c>
      <c r="K18" s="52" t="n">
        <f aca="false">③FY2027月次推移!K9</f>
        <v>22138616.2016872</v>
      </c>
      <c r="L18" s="52" t="n">
        <f aca="false">③FY2027月次推移!L9</f>
        <v>22138616.2016872</v>
      </c>
      <c r="M18" s="52" t="n">
        <f aca="false">③FY2027月次推移!M9</f>
        <v>22138616.2016872</v>
      </c>
      <c r="N18" s="52" t="n">
        <f aca="false">③FY2027月次推移!N9</f>
        <v>22138616.2016872</v>
      </c>
      <c r="O18" s="52" t="n">
        <f aca="false">③FY2027月次推移!O9</f>
        <v>22138616.2016872</v>
      </c>
      <c r="P18" s="34" t="n">
        <f aca="false">SUM(D18:O18)</f>
        <v>265663394.420246</v>
      </c>
    </row>
    <row r="19" customFormat="false" ht="15" hidden="false" customHeight="false" outlineLevel="0" collapsed="false">
      <c r="B19" s="37" t="s">
        <v>216</v>
      </c>
      <c r="D19" s="62" t="n">
        <f aca="false">$C$12+D17-D18</f>
        <v>432783584.96498</v>
      </c>
      <c r="E19" s="62" t="n">
        <f aca="false">D19+E17-E18</f>
        <v>445567169.929959</v>
      </c>
      <c r="F19" s="62" t="n">
        <f aca="false">E19+F17-F18</f>
        <v>458350754.894939</v>
      </c>
      <c r="G19" s="62" t="n">
        <f aca="false">F19+G17-G18</f>
        <v>471134339.859918</v>
      </c>
      <c r="H19" s="62" t="n">
        <f aca="false">G19+H17-H18</f>
        <v>483917924.824898</v>
      </c>
      <c r="I19" s="62" t="n">
        <f aca="false">H19+I17-I18</f>
        <v>496701509.789877</v>
      </c>
      <c r="J19" s="62" t="n">
        <f aca="false">I19+J17-J18</f>
        <v>509485094.754857</v>
      </c>
      <c r="K19" s="62" t="n">
        <f aca="false">J19+K17-K18</f>
        <v>522268679.719836</v>
      </c>
      <c r="L19" s="62" t="n">
        <f aca="false">K19+L17-L18</f>
        <v>535052264.684816</v>
      </c>
      <c r="M19" s="62" t="n">
        <f aca="false">L19+M17-M18</f>
        <v>547835849.649795</v>
      </c>
      <c r="N19" s="62" t="n">
        <f aca="false">M19+N17-N18</f>
        <v>560619434.614775</v>
      </c>
      <c r="O19" s="62" t="n">
        <f aca="false">N19+O17-O18</f>
        <v>573403019.579754</v>
      </c>
      <c r="P19" s="63" t="n">
        <f aca="false">O19</f>
        <v>573403019.579754</v>
      </c>
    </row>
    <row r="21" customFormat="false" ht="15" hidden="false" customHeight="false" outlineLevel="0" collapsed="false">
      <c r="B21" s="30" t="s">
        <v>217</v>
      </c>
    </row>
    <row r="22" customFormat="false" ht="15" hidden="false" customHeight="false" outlineLevel="0" collapsed="false">
      <c r="B22" s="30" t="s">
        <v>218</v>
      </c>
    </row>
    <row r="23" customFormat="false" ht="15" hidden="false" customHeight="false" outlineLevel="0" collapsed="false">
      <c r="B23" s="43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5" min="4" style="0" width="12.5"/>
    <col collapsed="false" customWidth="true" hidden="false" outlineLevel="0" max="16" min="16" style="0" width="15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38" t="s">
        <v>220</v>
      </c>
    </row>
    <row r="2" customFormat="false" ht="15" hidden="false" customHeight="false" outlineLevel="0" collapsed="false">
      <c r="B2" s="3" t="s">
        <v>221</v>
      </c>
    </row>
    <row r="4" customFormat="false" ht="15" hidden="false" customHeight="false" outlineLevel="0" collapsed="false">
      <c r="B4" s="39" t="s">
        <v>222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</row>
    <row r="5" customFormat="false" ht="15" hidden="false" customHeight="false" outlineLevel="0" collapsed="false">
      <c r="B5" s="6" t="s">
        <v>223</v>
      </c>
      <c r="C5" s="45" t="n">
        <v>30000000</v>
      </c>
      <c r="D5" s="43" t="s">
        <v>224</v>
      </c>
    </row>
    <row r="6" customFormat="false" ht="15" hidden="false" customHeight="false" outlineLevel="0" collapsed="false">
      <c r="B6" s="6" t="s">
        <v>225</v>
      </c>
      <c r="C6" s="64" t="n">
        <v>0.1</v>
      </c>
      <c r="D6" s="3"/>
    </row>
    <row r="7" customFormat="false" ht="15" hidden="false" customHeight="false" outlineLevel="0" collapsed="false">
      <c r="B7" s="6" t="s">
        <v>226</v>
      </c>
      <c r="C7" s="65" t="n">
        <v>1</v>
      </c>
      <c r="D7" s="3" t="s">
        <v>227</v>
      </c>
    </row>
    <row r="8" customFormat="false" ht="15" hidden="false" customHeight="false" outlineLevel="0" collapsed="false">
      <c r="B8" s="6" t="s">
        <v>228</v>
      </c>
      <c r="C8" s="65" t="n">
        <v>1</v>
      </c>
      <c r="D8" s="3" t="s">
        <v>229</v>
      </c>
    </row>
    <row r="9" customFormat="false" ht="15" hidden="false" customHeight="false" outlineLevel="0" collapsed="false">
      <c r="B9" s="6" t="s">
        <v>230</v>
      </c>
      <c r="C9" s="45" t="n">
        <v>2662179</v>
      </c>
      <c r="D9" s="30" t="s">
        <v>231</v>
      </c>
    </row>
    <row r="10" customFormat="false" ht="15" hidden="false" customHeight="false" outlineLevel="0" collapsed="false">
      <c r="B10" s="6" t="s">
        <v>232</v>
      </c>
      <c r="C10" s="7" t="n">
        <v>0</v>
      </c>
      <c r="D10" s="3" t="s">
        <v>233</v>
      </c>
    </row>
    <row r="12" customFormat="false" ht="15" hidden="false" customHeight="false" outlineLevel="0" collapsed="false">
      <c r="B12" s="22" t="s">
        <v>3</v>
      </c>
      <c r="C12" s="41" t="s">
        <v>203</v>
      </c>
      <c r="D12" s="31" t="s">
        <v>139</v>
      </c>
      <c r="E12" s="31" t="s">
        <v>140</v>
      </c>
      <c r="F12" s="31" t="s">
        <v>141</v>
      </c>
      <c r="G12" s="31" t="s">
        <v>142</v>
      </c>
      <c r="H12" s="31" t="s">
        <v>143</v>
      </c>
      <c r="I12" s="31" t="s">
        <v>144</v>
      </c>
      <c r="J12" s="31" t="s">
        <v>145</v>
      </c>
      <c r="K12" s="31" t="s">
        <v>146</v>
      </c>
      <c r="L12" s="31" t="s">
        <v>147</v>
      </c>
      <c r="M12" s="31" t="s">
        <v>148</v>
      </c>
      <c r="N12" s="31" t="s">
        <v>149</v>
      </c>
      <c r="O12" s="31" t="s">
        <v>150</v>
      </c>
      <c r="P12" s="41" t="s">
        <v>54</v>
      </c>
    </row>
    <row r="13" customFormat="false" ht="15" hidden="false" customHeight="false" outlineLevel="0" collapsed="false">
      <c r="B13" s="36" t="s">
        <v>234</v>
      </c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</row>
    <row r="14" customFormat="false" ht="15" hidden="false" customHeight="false" outlineLevel="0" collapsed="false">
      <c r="B14" s="66" t="s">
        <v>235</v>
      </c>
      <c r="D14" s="52" t="n">
        <f aca="false">③FY2027月次推移!D8*(1+$C$6)</f>
        <v>50263075.3551892</v>
      </c>
      <c r="E14" s="52" t="n">
        <f aca="false">③FY2027月次推移!E8*(1+$C$6)</f>
        <v>50263075.3551892</v>
      </c>
      <c r="F14" s="52" t="n">
        <f aca="false">③FY2027月次推移!F8*(1+$C$6)</f>
        <v>50263075.3551892</v>
      </c>
      <c r="G14" s="52" t="n">
        <f aca="false">③FY2027月次推移!G8*(1+$C$6)</f>
        <v>50263075.3551892</v>
      </c>
      <c r="H14" s="52" t="n">
        <f aca="false">③FY2027月次推移!H8*(1+$C$6)</f>
        <v>50263075.3551892</v>
      </c>
      <c r="I14" s="52" t="n">
        <f aca="false">③FY2027月次推移!I8*(1+$C$6)</f>
        <v>50263075.3551892</v>
      </c>
      <c r="J14" s="52" t="n">
        <f aca="false">③FY2027月次推移!J8*(1+$C$6)</f>
        <v>50263075.3551892</v>
      </c>
      <c r="K14" s="52" t="n">
        <f aca="false">③FY2027月次推移!K8*(1+$C$6)</f>
        <v>50263075.3551892</v>
      </c>
      <c r="L14" s="52" t="n">
        <f aca="false">③FY2027月次推移!L8*(1+$C$6)</f>
        <v>50263075.3551892</v>
      </c>
      <c r="M14" s="52" t="n">
        <f aca="false">③FY2027月次推移!M8*(1+$C$6)</f>
        <v>50263075.3551892</v>
      </c>
      <c r="N14" s="52" t="n">
        <f aca="false">③FY2027月次推移!N8*(1+$C$6)</f>
        <v>50263075.3551892</v>
      </c>
      <c r="O14" s="52" t="n">
        <f aca="false">③FY2027月次推移!O8*(1+$C$6)</f>
        <v>50263075.3551892</v>
      </c>
      <c r="P14" s="34" t="n">
        <f aca="false">SUM(D14:O14)</f>
        <v>603156904.262271</v>
      </c>
    </row>
    <row r="15" customFormat="false" ht="15" hidden="false" customHeight="false" outlineLevel="0" collapsed="false">
      <c r="B15" s="66" t="s">
        <v>236</v>
      </c>
      <c r="D15" s="52" t="n">
        <f aca="false">SUM(③FY2027月次推移!D12:D16)*(1+$C$6)</f>
        <v>8479166.66666667</v>
      </c>
      <c r="E15" s="52" t="n">
        <f aca="false">SUM(③FY2027月次推移!E12:E16)*(1+$C$6)</f>
        <v>8479166.66666667</v>
      </c>
      <c r="F15" s="52" t="n">
        <f aca="false">SUM(③FY2027月次推移!F12:F16)*(1+$C$6)</f>
        <v>8479166.66666667</v>
      </c>
      <c r="G15" s="52" t="n">
        <f aca="false">SUM(③FY2027月次推移!G12:G16)*(1+$C$6)</f>
        <v>8479166.66666667</v>
      </c>
      <c r="H15" s="52" t="n">
        <f aca="false">SUM(③FY2027月次推移!H12:H16)*(1+$C$6)</f>
        <v>8479166.66666667</v>
      </c>
      <c r="I15" s="52" t="n">
        <f aca="false">SUM(③FY2027月次推移!I12:I16)*(1+$C$6)</f>
        <v>8479166.66666667</v>
      </c>
      <c r="J15" s="52" t="n">
        <f aca="false">SUM(③FY2027月次推移!J12:J16)*(1+$C$6)</f>
        <v>8479166.66666667</v>
      </c>
      <c r="K15" s="52" t="n">
        <f aca="false">SUM(③FY2027月次推移!K12:K16)*(1+$C$6)</f>
        <v>8479166.66666667</v>
      </c>
      <c r="L15" s="52" t="n">
        <f aca="false">SUM(③FY2027月次推移!L12:L16)*(1+$C$6)</f>
        <v>8479166.66666667</v>
      </c>
      <c r="M15" s="52" t="n">
        <f aca="false">SUM(③FY2027月次推移!M12:M16)*(1+$C$6)</f>
        <v>8479166.66666667</v>
      </c>
      <c r="N15" s="52" t="n">
        <f aca="false">SUM(③FY2027月次推移!N12:N16)*(1+$C$6)</f>
        <v>8479166.66666667</v>
      </c>
      <c r="O15" s="52" t="n">
        <f aca="false">SUM(③FY2027月次推移!O12:O16)*(1+$C$6)</f>
        <v>8479166.66666667</v>
      </c>
      <c r="P15" s="34" t="n">
        <f aca="false">SUM(D15:O15)</f>
        <v>101750000</v>
      </c>
    </row>
    <row r="16" customFormat="false" ht="15" hidden="false" customHeight="false" outlineLevel="0" collapsed="false">
      <c r="B16" s="66" t="s">
        <v>237</v>
      </c>
      <c r="D16" s="52" t="n">
        <f aca="false">③FY2027月次推移!D17*(1+$C$6)</f>
        <v>0</v>
      </c>
      <c r="E16" s="52" t="n">
        <f aca="false">③FY2027月次推移!E17*(1+$C$6)</f>
        <v>0</v>
      </c>
      <c r="F16" s="52" t="n">
        <f aca="false">③FY2027月次推移!F17*(1+$C$6)</f>
        <v>0</v>
      </c>
      <c r="G16" s="52" t="n">
        <f aca="false">③FY2027月次推移!G17*(1+$C$6)</f>
        <v>0</v>
      </c>
      <c r="H16" s="52" t="n">
        <f aca="false">③FY2027月次推移!H17*(1+$C$6)</f>
        <v>0</v>
      </c>
      <c r="I16" s="52" t="n">
        <f aca="false">③FY2027月次推移!I17*(1+$C$6)</f>
        <v>22000000</v>
      </c>
      <c r="J16" s="52" t="n">
        <f aca="false">③FY2027月次推移!J17*(1+$C$6)</f>
        <v>0</v>
      </c>
      <c r="K16" s="52" t="n">
        <f aca="false">③FY2027月次推移!K17*(1+$C$6)</f>
        <v>0</v>
      </c>
      <c r="L16" s="52" t="n">
        <f aca="false">③FY2027月次推移!L17*(1+$C$6)</f>
        <v>0</v>
      </c>
      <c r="M16" s="52" t="n">
        <f aca="false">③FY2027月次推移!M17*(1+$C$6)</f>
        <v>0</v>
      </c>
      <c r="N16" s="52" t="n">
        <f aca="false">③FY2027月次推移!N17*(1+$C$6)</f>
        <v>0</v>
      </c>
      <c r="O16" s="52" t="n">
        <f aca="false">③FY2027月次推移!O17*(1+$C$6)</f>
        <v>0</v>
      </c>
      <c r="P16" s="34" t="n">
        <f aca="false">SUM(D16:O16)</f>
        <v>22000000</v>
      </c>
    </row>
    <row r="17" customFormat="false" ht="15" hidden="false" customHeight="false" outlineLevel="0" collapsed="false">
      <c r="B17" s="6" t="s">
        <v>238</v>
      </c>
      <c r="D17" s="45" t="n">
        <v>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34" t="n">
        <f aca="false">SUM(D17:O17)</f>
        <v>0</v>
      </c>
      <c r="Q17" s="43" t="s">
        <v>239</v>
      </c>
    </row>
    <row r="18" customFormat="false" ht="15" hidden="false" customHeight="false" outlineLevel="0" collapsed="false">
      <c r="B18" s="66" t="s">
        <v>240</v>
      </c>
      <c r="D18" s="52" t="n">
        <f aca="false">③FY2027月次推移!D18*(1+$C$6)</f>
        <v>0</v>
      </c>
      <c r="E18" s="52" t="n">
        <f aca="false">③FY2027月次推移!E18*(1+$C$6)</f>
        <v>0</v>
      </c>
      <c r="F18" s="52" t="n">
        <f aca="false">③FY2027月次推移!F18*(1+$C$6)</f>
        <v>0</v>
      </c>
      <c r="G18" s="52" t="n">
        <f aca="false">③FY2027月次推移!G18*(1+$C$6)</f>
        <v>0</v>
      </c>
      <c r="H18" s="52" t="n">
        <f aca="false">③FY2027月次推移!H18*(1+$C$6)</f>
        <v>0</v>
      </c>
      <c r="I18" s="52" t="n">
        <f aca="false">③FY2027月次推移!I18*(1+$C$6)</f>
        <v>11000000</v>
      </c>
      <c r="J18" s="52" t="n">
        <f aca="false">③FY2027月次推移!J18*(1+$C$6)</f>
        <v>0</v>
      </c>
      <c r="K18" s="52" t="n">
        <f aca="false">③FY2027月次推移!K18*(1+$C$6)</f>
        <v>0</v>
      </c>
      <c r="L18" s="52" t="n">
        <f aca="false">③FY2027月次推移!L18*(1+$C$6)</f>
        <v>0</v>
      </c>
      <c r="M18" s="52" t="n">
        <f aca="false">③FY2027月次推移!M18*(1+$C$6)</f>
        <v>0</v>
      </c>
      <c r="N18" s="52" t="n">
        <f aca="false">③FY2027月次推移!N18*(1+$C$6)</f>
        <v>0</v>
      </c>
      <c r="O18" s="52" t="n">
        <f aca="false">③FY2027月次推移!O18*(1+$C$6)</f>
        <v>11000000</v>
      </c>
      <c r="P18" s="34" t="n">
        <f aca="false">SUM(D18:O18)</f>
        <v>22000000</v>
      </c>
      <c r="Q18" s="14" t="s">
        <v>241</v>
      </c>
    </row>
    <row r="19" customFormat="false" ht="15" hidden="false" customHeight="false" outlineLevel="0" collapsed="false">
      <c r="B19" s="11" t="s">
        <v>242</v>
      </c>
      <c r="D19" s="12" t="n">
        <f aca="false">SUM(D14:D18)</f>
        <v>58742242.0218559</v>
      </c>
      <c r="E19" s="12" t="n">
        <f aca="false">SUM(E14:E18)</f>
        <v>58742242.0218559</v>
      </c>
      <c r="F19" s="12" t="n">
        <f aca="false">SUM(F14:F18)</f>
        <v>58742242.0218559</v>
      </c>
      <c r="G19" s="12" t="n">
        <f aca="false">SUM(G14:G18)</f>
        <v>58742242.0218559</v>
      </c>
      <c r="H19" s="12" t="n">
        <f aca="false">SUM(H14:H18)</f>
        <v>58742242.0218559</v>
      </c>
      <c r="I19" s="12" t="n">
        <f aca="false">SUM(I14:I18)</f>
        <v>91742242.0218559</v>
      </c>
      <c r="J19" s="12" t="n">
        <f aca="false">SUM(J14:J18)</f>
        <v>58742242.0218559</v>
      </c>
      <c r="K19" s="12" t="n">
        <f aca="false">SUM(K14:K18)</f>
        <v>58742242.0218559</v>
      </c>
      <c r="L19" s="12" t="n">
        <f aca="false">SUM(L14:L18)</f>
        <v>58742242.0218559</v>
      </c>
      <c r="M19" s="12" t="n">
        <f aca="false">SUM(M14:M18)</f>
        <v>58742242.0218559</v>
      </c>
      <c r="N19" s="12" t="n">
        <f aca="false">SUM(N14:N18)</f>
        <v>58742242.0218559</v>
      </c>
      <c r="O19" s="12" t="n">
        <f aca="false">SUM(O14:O18)</f>
        <v>69742242.0218559</v>
      </c>
      <c r="P19" s="12" t="n">
        <f aca="false">SUM(D19:O19)</f>
        <v>748906904.262271</v>
      </c>
    </row>
    <row r="21" customFormat="false" ht="15" hidden="false" customHeight="false" outlineLevel="0" collapsed="false">
      <c r="B21" s="36" t="s">
        <v>243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</row>
    <row r="22" customFormat="false" ht="15" hidden="false" customHeight="false" outlineLevel="0" collapsed="false">
      <c r="B22" s="66" t="s">
        <v>244</v>
      </c>
      <c r="D22" s="52" t="n">
        <f aca="false">⑥ワイン仕入・在庫計画!D17*(1+$C$6)</f>
        <v>38414421.2833333</v>
      </c>
      <c r="E22" s="52" t="n">
        <f aca="false">⑥ワイン仕入・在庫計画!D17*(1+$C$6)</f>
        <v>38414421.2833333</v>
      </c>
      <c r="F22" s="52" t="n">
        <f aca="false">⑥ワイン仕入・在庫計画!E17*(1+$C$6)</f>
        <v>38414421.2833333</v>
      </c>
      <c r="G22" s="52" t="n">
        <f aca="false">⑥ワイン仕入・在庫計画!F17*(1+$C$6)</f>
        <v>38414421.2833333</v>
      </c>
      <c r="H22" s="52" t="n">
        <f aca="false">⑥ワイン仕入・在庫計画!G17*(1+$C$6)</f>
        <v>38414421.2833333</v>
      </c>
      <c r="I22" s="52" t="n">
        <f aca="false">⑥ワイン仕入・在庫計画!H17*(1+$C$6)</f>
        <v>38414421.2833333</v>
      </c>
      <c r="J22" s="52" t="n">
        <f aca="false">⑥ワイン仕入・在庫計画!I17*(1+$C$6)</f>
        <v>38414421.2833333</v>
      </c>
      <c r="K22" s="52" t="n">
        <f aca="false">⑥ワイン仕入・在庫計画!J17*(1+$C$6)</f>
        <v>38414421.2833333</v>
      </c>
      <c r="L22" s="52" t="n">
        <f aca="false">⑥ワイン仕入・在庫計画!K17*(1+$C$6)</f>
        <v>38414421.2833333</v>
      </c>
      <c r="M22" s="52" t="n">
        <f aca="false">⑥ワイン仕入・在庫計画!L17*(1+$C$6)</f>
        <v>38414421.2833333</v>
      </c>
      <c r="N22" s="52" t="n">
        <f aca="false">⑥ワイン仕入・在庫計画!M17*(1+$C$6)</f>
        <v>38414421.2833333</v>
      </c>
      <c r="O22" s="52" t="n">
        <f aca="false">⑥ワイン仕入・在庫計画!N17*(1+$C$6)</f>
        <v>38414421.2833333</v>
      </c>
      <c r="P22" s="34" t="n">
        <f aca="false">SUM(D22:O22)</f>
        <v>460973055.4</v>
      </c>
    </row>
    <row r="23" customFormat="false" ht="15" hidden="false" customHeight="false" outlineLevel="0" collapsed="false">
      <c r="B23" s="66" t="s">
        <v>245</v>
      </c>
      <c r="D23" s="52" t="n">
        <f aca="false">AVERAGE(④FY2026月次実績!I11:K11)+AVERAGE(④FY2026月次実績!I12:K12)+AVERAGE(④FY2026月次実績!I13:K13)+AVERAGE(④FY2026月次実績!I14:K14)</f>
        <v>6089866.33333333</v>
      </c>
      <c r="E23" s="52" t="n">
        <f aca="false">AVERAGE(④FY2026月次実績!I11:K11)+AVERAGE(④FY2026月次実績!I12:K12)+AVERAGE(④FY2026月次実績!I13:K13)+AVERAGE(④FY2026月次実績!I14:K14)</f>
        <v>6089866.33333333</v>
      </c>
      <c r="F23" s="52" t="n">
        <f aca="false">AVERAGE(④FY2026月次実績!I11:K11)+AVERAGE(④FY2026月次実績!I12:K12)+AVERAGE(④FY2026月次実績!I13:K13)+AVERAGE(④FY2026月次実績!I14:K14)</f>
        <v>6089866.33333333</v>
      </c>
      <c r="G23" s="52" t="n">
        <f aca="false">AVERAGE(④FY2026月次実績!I11:K11)+AVERAGE(④FY2026月次実績!I12:K12)+AVERAGE(④FY2026月次実績!I13:K13)+AVERAGE(④FY2026月次実績!I14:K14)</f>
        <v>6089866.33333333</v>
      </c>
      <c r="H23" s="52" t="n">
        <f aca="false">AVERAGE(④FY2026月次実績!I11:K11)+AVERAGE(④FY2026月次実績!I12:K12)+AVERAGE(④FY2026月次実績!I13:K13)+AVERAGE(④FY2026月次実績!I14:K14)</f>
        <v>6089866.33333333</v>
      </c>
      <c r="I23" s="52" t="n">
        <f aca="false">AVERAGE(④FY2026月次実績!I11:K11)+AVERAGE(④FY2026月次実績!I12:K12)+AVERAGE(④FY2026月次実績!I13:K13)+AVERAGE(④FY2026月次実績!I14:K14)</f>
        <v>6089866.33333333</v>
      </c>
      <c r="J23" s="52" t="n">
        <f aca="false">AVERAGE(④FY2026月次実績!I11:K11)+AVERAGE(④FY2026月次実績!I12:K12)+AVERAGE(④FY2026月次実績!I13:K13)+AVERAGE(④FY2026月次実績!I14:K14)</f>
        <v>6089866.33333333</v>
      </c>
      <c r="K23" s="52" t="n">
        <f aca="false">AVERAGE(④FY2026月次実績!I11:K11)+AVERAGE(④FY2026月次実績!I12:K12)+AVERAGE(④FY2026月次実績!I13:K13)+AVERAGE(④FY2026月次実績!I14:K14)</f>
        <v>6089866.33333333</v>
      </c>
      <c r="L23" s="52" t="n">
        <f aca="false">AVERAGE(④FY2026月次実績!I11:K11)+AVERAGE(④FY2026月次実績!I12:K12)+AVERAGE(④FY2026月次実績!I13:K13)+AVERAGE(④FY2026月次実績!I14:K14)</f>
        <v>6089866.33333333</v>
      </c>
      <c r="M23" s="52" t="n">
        <f aca="false">AVERAGE(④FY2026月次実績!I11:K11)+AVERAGE(④FY2026月次実績!I12:K12)+AVERAGE(④FY2026月次実績!I13:K13)+AVERAGE(④FY2026月次実績!I14:K14)</f>
        <v>6089866.33333333</v>
      </c>
      <c r="N23" s="52" t="n">
        <f aca="false">AVERAGE(④FY2026月次実績!I11:K11)+AVERAGE(④FY2026月次実績!I12:K12)+AVERAGE(④FY2026月次実績!I13:K13)+AVERAGE(④FY2026月次実績!I14:K14)</f>
        <v>6089866.33333333</v>
      </c>
      <c r="O23" s="52" t="n">
        <f aca="false">AVERAGE(④FY2026月次実績!I11:K11)+AVERAGE(④FY2026月次実績!I12:K12)+AVERAGE(④FY2026月次実績!I13:K13)+AVERAGE(④FY2026月次実績!I14:K14)</f>
        <v>6089866.33333333</v>
      </c>
      <c r="P23" s="34" t="n">
        <f aca="false">SUM(D23:O23)</f>
        <v>73078396</v>
      </c>
    </row>
    <row r="24" customFormat="false" ht="15" hidden="false" customHeight="false" outlineLevel="0" collapsed="false">
      <c r="B24" s="66" t="s">
        <v>246</v>
      </c>
      <c r="D24" s="52" t="n">
        <f aca="false">((③FY2027月次推移!D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E24" s="52" t="n">
        <f aca="false">((③FY2027月次推移!E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F24" s="52" t="n">
        <f aca="false">((③FY2027月次推移!F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G24" s="52" t="n">
        <f aca="false">((③FY2027月次推移!G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H24" s="52" t="n">
        <f aca="false">((③FY2027月次推移!H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I24" s="52" t="n">
        <f aca="false">((③FY2027月次推移!I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J24" s="52" t="n">
        <f aca="false">((③FY2027月次推移!J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K24" s="52" t="n">
        <f aca="false">((③FY2027月次推移!K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L24" s="52" t="n">
        <f aca="false">((③FY2027月次推移!L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M24" s="52" t="n">
        <f aca="false">((③FY2027月次推移!M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N24" s="52" t="n">
        <f aca="false">((③FY2027月次推移!N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O24" s="52" t="n">
        <f aca="false">((③FY2027月次推移!O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P24" s="34" t="n">
        <f aca="false">SUM(D24:O24)</f>
        <v>201149918.8</v>
      </c>
    </row>
    <row r="25" customFormat="false" ht="15" hidden="false" customHeight="false" outlineLevel="0" collapsed="false">
      <c r="B25" s="66" t="s">
        <v>247</v>
      </c>
      <c r="D25" s="52" t="n">
        <f aca="false">③FY2027月次推移!D50</f>
        <v>1250000</v>
      </c>
      <c r="E25" s="52" t="n">
        <f aca="false">③FY2027月次推移!E50</f>
        <v>1250000</v>
      </c>
      <c r="F25" s="52" t="n">
        <f aca="false">③FY2027月次推移!F50</f>
        <v>1250000</v>
      </c>
      <c r="G25" s="52" t="n">
        <f aca="false">③FY2027月次推移!G50</f>
        <v>1250000</v>
      </c>
      <c r="H25" s="52" t="n">
        <f aca="false">③FY2027月次推移!H50</f>
        <v>1250000</v>
      </c>
      <c r="I25" s="52" t="n">
        <f aca="false">③FY2027月次推移!I50</f>
        <v>1250000</v>
      </c>
      <c r="J25" s="52" t="n">
        <f aca="false">③FY2027月次推移!J50</f>
        <v>1250000</v>
      </c>
      <c r="K25" s="52" t="n">
        <f aca="false">③FY2027月次推移!K50</f>
        <v>1250000</v>
      </c>
      <c r="L25" s="52" t="n">
        <f aca="false">③FY2027月次推移!L50</f>
        <v>1250000</v>
      </c>
      <c r="M25" s="52" t="n">
        <f aca="false">③FY2027月次推移!M50</f>
        <v>1250000</v>
      </c>
      <c r="N25" s="52" t="n">
        <f aca="false">③FY2027月次推移!N50</f>
        <v>1250000</v>
      </c>
      <c r="O25" s="52" t="n">
        <f aca="false">③FY2027月次推移!O50</f>
        <v>1250000</v>
      </c>
      <c r="P25" s="34" t="n">
        <f aca="false">SUM(D25:O25)</f>
        <v>15000000</v>
      </c>
    </row>
    <row r="26" customFormat="false" ht="15" hidden="false" customHeight="false" outlineLevel="0" collapsed="false">
      <c r="B26" s="6" t="s">
        <v>248</v>
      </c>
      <c r="D26" s="45" t="n">
        <v>0</v>
      </c>
      <c r="E26" s="45" t="n">
        <v>30000000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5000000</v>
      </c>
      <c r="L26" s="45" t="n">
        <v>0</v>
      </c>
      <c r="M26" s="45" t="n">
        <v>0</v>
      </c>
      <c r="N26" s="45" t="n">
        <v>0</v>
      </c>
      <c r="O26" s="45" t="n">
        <v>0</v>
      </c>
      <c r="P26" s="34" t="n">
        <f aca="false">SUM(D26:O26)</f>
        <v>35000000</v>
      </c>
      <c r="Q26" s="43" t="s">
        <v>249</v>
      </c>
    </row>
    <row r="27" customFormat="false" ht="15" hidden="false" customHeight="false" outlineLevel="0" collapsed="false">
      <c r="B27" s="6" t="s">
        <v>250</v>
      </c>
      <c r="D27" s="45" t="n">
        <v>0</v>
      </c>
      <c r="E27" s="45" t="n">
        <v>463105</v>
      </c>
      <c r="F27" s="45" t="n">
        <v>0</v>
      </c>
      <c r="G27" s="45" t="n">
        <v>0</v>
      </c>
      <c r="H27" s="45" t="n">
        <v>0</v>
      </c>
      <c r="I27" s="45" t="n">
        <v>0</v>
      </c>
      <c r="J27" s="45" t="n">
        <v>0</v>
      </c>
      <c r="K27" s="45" t="n">
        <v>0</v>
      </c>
      <c r="L27" s="45" t="n">
        <v>0</v>
      </c>
      <c r="M27" s="45" t="n">
        <v>0</v>
      </c>
      <c r="N27" s="45" t="n">
        <v>0</v>
      </c>
      <c r="O27" s="45" t="n">
        <v>0</v>
      </c>
      <c r="P27" s="34" t="n">
        <f aca="false">SUM(D27:O27)</f>
        <v>463105</v>
      </c>
    </row>
    <row r="28" customFormat="false" ht="15" hidden="false" customHeight="false" outlineLevel="0" collapsed="false">
      <c r="B28" s="11" t="s">
        <v>251</v>
      </c>
      <c r="D28" s="12" t="n">
        <f aca="false">SUM(D22:D27)</f>
        <v>62516780.85</v>
      </c>
      <c r="E28" s="12" t="n">
        <f aca="false">SUM(E22:E27)</f>
        <v>92979885.85</v>
      </c>
      <c r="F28" s="12" t="n">
        <f aca="false">SUM(F22:F27)</f>
        <v>62516780.85</v>
      </c>
      <c r="G28" s="12" t="n">
        <f aca="false">SUM(G22:G27)</f>
        <v>62516780.85</v>
      </c>
      <c r="H28" s="12" t="n">
        <f aca="false">SUM(H22:H27)</f>
        <v>62516780.85</v>
      </c>
      <c r="I28" s="12" t="n">
        <f aca="false">SUM(I22:I27)</f>
        <v>62516780.85</v>
      </c>
      <c r="J28" s="12" t="n">
        <f aca="false">SUM(J22:J27)</f>
        <v>62516780.85</v>
      </c>
      <c r="K28" s="12" t="n">
        <f aca="false">SUM(K22:K27)</f>
        <v>67516780.85</v>
      </c>
      <c r="L28" s="12" t="n">
        <f aca="false">SUM(L22:L27)</f>
        <v>62516780.85</v>
      </c>
      <c r="M28" s="12" t="n">
        <f aca="false">SUM(M22:M27)</f>
        <v>62516780.85</v>
      </c>
      <c r="N28" s="12" t="n">
        <f aca="false">SUM(N22:N27)</f>
        <v>62516780.85</v>
      </c>
      <c r="O28" s="12" t="n">
        <f aca="false">SUM(O22:O27)</f>
        <v>62516780.85</v>
      </c>
      <c r="P28" s="12" t="n">
        <f aca="false">SUM(D28:O28)</f>
        <v>785664475.2</v>
      </c>
    </row>
    <row r="29" customFormat="false" ht="15" hidden="false" customHeight="false" outlineLevel="0" collapsed="false">
      <c r="B29" s="15" t="s">
        <v>252</v>
      </c>
      <c r="D29" s="16" t="n">
        <f aca="false">D19-D28</f>
        <v>-3774538.82814413</v>
      </c>
      <c r="E29" s="16" t="n">
        <f aca="false">E19-E28</f>
        <v>-34237643.8281441</v>
      </c>
      <c r="F29" s="16" t="n">
        <f aca="false">F19-F28</f>
        <v>-3774538.82814413</v>
      </c>
      <c r="G29" s="16" t="n">
        <f aca="false">G19-G28</f>
        <v>-3774538.82814413</v>
      </c>
      <c r="H29" s="16" t="n">
        <f aca="false">H19-H28</f>
        <v>-3774538.82814413</v>
      </c>
      <c r="I29" s="16" t="n">
        <f aca="false">I19-I28</f>
        <v>29225461.1718559</v>
      </c>
      <c r="J29" s="16" t="n">
        <f aca="false">J19-J28</f>
        <v>-3774538.82814413</v>
      </c>
      <c r="K29" s="16" t="n">
        <f aca="false">K19-K28</f>
        <v>-8774538.82814412</v>
      </c>
      <c r="L29" s="16" t="n">
        <f aca="false">L19-L28</f>
        <v>-3774538.82814413</v>
      </c>
      <c r="M29" s="16" t="n">
        <f aca="false">M19-M28</f>
        <v>-3774538.82814413</v>
      </c>
      <c r="N29" s="16" t="n">
        <f aca="false">N19-N28</f>
        <v>-3774538.82814413</v>
      </c>
      <c r="O29" s="16" t="n">
        <f aca="false">O19-O28</f>
        <v>7225461.17185587</v>
      </c>
      <c r="P29" s="16" t="n">
        <f aca="false">SUM(D29:O29)</f>
        <v>-36757570.9377295</v>
      </c>
    </row>
    <row r="31" customFormat="false" ht="15" hidden="false" customHeight="false" outlineLevel="0" collapsed="false">
      <c r="B31" s="36" t="s">
        <v>253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</row>
    <row r="32" customFormat="false" ht="15" hidden="false" customHeight="false" outlineLevel="0" collapsed="false">
      <c r="B32" s="66" t="s">
        <v>254</v>
      </c>
      <c r="D32" s="52" t="n">
        <f aca="false">-$C$9</f>
        <v>-2662179</v>
      </c>
      <c r="E32" s="52" t="n">
        <f aca="false">-$C$9</f>
        <v>-2662179</v>
      </c>
      <c r="F32" s="52" t="n">
        <f aca="false">-$C$9</f>
        <v>-2662179</v>
      </c>
      <c r="G32" s="52" t="n">
        <f aca="false">-$C$9</f>
        <v>-2662179</v>
      </c>
      <c r="H32" s="52" t="n">
        <f aca="false">-$C$9</f>
        <v>-2662179</v>
      </c>
      <c r="I32" s="52" t="n">
        <f aca="false">-$C$9</f>
        <v>-2662179</v>
      </c>
      <c r="J32" s="52" t="n">
        <f aca="false">-$C$9</f>
        <v>-2662179</v>
      </c>
      <c r="K32" s="52" t="n">
        <f aca="false">-$C$9</f>
        <v>-2662179</v>
      </c>
      <c r="L32" s="52" t="n">
        <f aca="false">-$C$9</f>
        <v>-2662179</v>
      </c>
      <c r="M32" s="52" t="n">
        <f aca="false">-$C$9</f>
        <v>-2662179</v>
      </c>
      <c r="N32" s="52" t="n">
        <f aca="false">-$C$9</f>
        <v>-2662179</v>
      </c>
      <c r="O32" s="52" t="n">
        <f aca="false">-$C$9</f>
        <v>-2662179</v>
      </c>
      <c r="P32" s="34" t="n">
        <f aca="false">SUM(D32:O32)</f>
        <v>-31946148</v>
      </c>
    </row>
    <row r="33" customFormat="false" ht="15" hidden="false" customHeight="false" outlineLevel="0" collapsed="false">
      <c r="B33" s="66" t="s">
        <v>255</v>
      </c>
      <c r="D33" s="52" t="n">
        <f aca="false">$C$10</f>
        <v>0</v>
      </c>
      <c r="E33" s="52" t="n">
        <f aca="false">$C$10</f>
        <v>0</v>
      </c>
      <c r="F33" s="52" t="n">
        <f aca="false">$C$10</f>
        <v>0</v>
      </c>
      <c r="G33" s="52" t="n">
        <f aca="false">$C$10</f>
        <v>0</v>
      </c>
      <c r="H33" s="52" t="n">
        <f aca="false">$C$10</f>
        <v>0</v>
      </c>
      <c r="I33" s="52" t="n">
        <f aca="false">$C$10</f>
        <v>0</v>
      </c>
      <c r="J33" s="52" t="n">
        <f aca="false">$C$10</f>
        <v>0</v>
      </c>
      <c r="K33" s="52" t="n">
        <f aca="false">$C$10</f>
        <v>0</v>
      </c>
      <c r="L33" s="52" t="n">
        <f aca="false">$C$10</f>
        <v>0</v>
      </c>
      <c r="M33" s="52" t="n">
        <f aca="false">$C$10</f>
        <v>0</v>
      </c>
      <c r="N33" s="52" t="n">
        <f aca="false">$C$10</f>
        <v>0</v>
      </c>
      <c r="O33" s="52" t="n">
        <f aca="false">$C$10</f>
        <v>0</v>
      </c>
      <c r="P33" s="34" t="n">
        <f aca="false">SUM(D33:O33)</f>
        <v>0</v>
      </c>
    </row>
    <row r="34" customFormat="false" ht="15" hidden="false" customHeight="false" outlineLevel="0" collapsed="false">
      <c r="B34" s="6" t="s">
        <v>256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34" t="n">
        <f aca="false">SUM(D34:O34)</f>
        <v>0</v>
      </c>
    </row>
    <row r="35" customFormat="false" ht="15" hidden="false" customHeight="false" outlineLevel="0" collapsed="false">
      <c r="B35" s="6" t="s">
        <v>257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  <c r="J35" s="45" t="n">
        <v>0</v>
      </c>
      <c r="K35" s="45" t="n">
        <v>0</v>
      </c>
      <c r="L35" s="45" t="n">
        <v>0</v>
      </c>
      <c r="M35" s="45" t="n">
        <v>0</v>
      </c>
      <c r="N35" s="45" t="n">
        <v>0</v>
      </c>
      <c r="O35" s="45" t="n">
        <v>0</v>
      </c>
      <c r="P35" s="34" t="n">
        <f aca="false">SUM(D35:O35)</f>
        <v>0</v>
      </c>
      <c r="Q35" s="43" t="s">
        <v>258</v>
      </c>
    </row>
    <row r="36" customFormat="false" ht="15" hidden="false" customHeight="false" outlineLevel="0" collapsed="false">
      <c r="B36" s="11" t="s">
        <v>259</v>
      </c>
      <c r="D36" s="12" t="n">
        <f aca="false">SUM(D32:D35)</f>
        <v>-2662179</v>
      </c>
      <c r="E36" s="12" t="n">
        <f aca="false">SUM(E32:E35)</f>
        <v>-2662179</v>
      </c>
      <c r="F36" s="12" t="n">
        <f aca="false">SUM(F32:F35)</f>
        <v>-2662179</v>
      </c>
      <c r="G36" s="12" t="n">
        <f aca="false">SUM(G32:G35)</f>
        <v>-2662179</v>
      </c>
      <c r="H36" s="12" t="n">
        <f aca="false">SUM(H32:H35)</f>
        <v>-2662179</v>
      </c>
      <c r="I36" s="12" t="n">
        <f aca="false">SUM(I32:I35)</f>
        <v>-2662179</v>
      </c>
      <c r="J36" s="12" t="n">
        <f aca="false">SUM(J32:J35)</f>
        <v>-2662179</v>
      </c>
      <c r="K36" s="12" t="n">
        <f aca="false">SUM(K32:K35)</f>
        <v>-2662179</v>
      </c>
      <c r="L36" s="12" t="n">
        <f aca="false">SUM(L32:L35)</f>
        <v>-2662179</v>
      </c>
      <c r="M36" s="12" t="n">
        <f aca="false">SUM(M32:M35)</f>
        <v>-2662179</v>
      </c>
      <c r="N36" s="12" t="n">
        <f aca="false">SUM(N32:N35)</f>
        <v>-2662179</v>
      </c>
      <c r="O36" s="12" t="n">
        <f aca="false">SUM(O32:O35)</f>
        <v>-2662179</v>
      </c>
      <c r="P36" s="12" t="n">
        <f aca="false">SUM(D36:O36)</f>
        <v>-31946148</v>
      </c>
    </row>
    <row r="38" customFormat="false" ht="15" hidden="false" customHeight="false" outlineLevel="0" collapsed="false">
      <c r="B38" s="11" t="s">
        <v>260</v>
      </c>
      <c r="D38" s="12" t="n">
        <f aca="false">D29+D36</f>
        <v>-6436717.82814413</v>
      </c>
      <c r="E38" s="12" t="n">
        <f aca="false">E29+E36</f>
        <v>-36899822.8281441</v>
      </c>
      <c r="F38" s="12" t="n">
        <f aca="false">F29+F36</f>
        <v>-6436717.82814413</v>
      </c>
      <c r="G38" s="12" t="n">
        <f aca="false">G29+G36</f>
        <v>-6436717.82814413</v>
      </c>
      <c r="H38" s="12" t="n">
        <f aca="false">H29+H36</f>
        <v>-6436717.82814413</v>
      </c>
      <c r="I38" s="12" t="n">
        <f aca="false">I29+I36</f>
        <v>26563282.1718559</v>
      </c>
      <c r="J38" s="12" t="n">
        <f aca="false">J29+J36</f>
        <v>-6436717.82814413</v>
      </c>
      <c r="K38" s="12" t="n">
        <f aca="false">K29+K36</f>
        <v>-11436717.8281441</v>
      </c>
      <c r="L38" s="12" t="n">
        <f aca="false">L29+L36</f>
        <v>-6436717.82814413</v>
      </c>
      <c r="M38" s="12" t="n">
        <f aca="false">M29+M36</f>
        <v>-6436717.82814413</v>
      </c>
      <c r="N38" s="12" t="n">
        <f aca="false">N29+N36</f>
        <v>-6436717.82814413</v>
      </c>
      <c r="O38" s="12" t="n">
        <f aca="false">O29+O36</f>
        <v>4563282.17185587</v>
      </c>
      <c r="P38" s="12" t="n">
        <f aca="false">SUM(D38:O38)</f>
        <v>-68703718.9377295</v>
      </c>
    </row>
    <row r="39" customFormat="false" ht="15" hidden="false" customHeight="false" outlineLevel="0" collapsed="false">
      <c r="B39" s="6" t="s">
        <v>261</v>
      </c>
      <c r="D39" s="8" t="n">
        <f aca="false">$C$5</f>
        <v>30000000</v>
      </c>
      <c r="E39" s="8" t="n">
        <f aca="false">D40</f>
        <v>23563282.1718559</v>
      </c>
      <c r="F39" s="8" t="n">
        <f aca="false">E40</f>
        <v>-13336540.6562882</v>
      </c>
      <c r="G39" s="8" t="n">
        <f aca="false">F40</f>
        <v>-19773258.4844324</v>
      </c>
      <c r="H39" s="8" t="n">
        <f aca="false">G40</f>
        <v>-26209976.3125765</v>
      </c>
      <c r="I39" s="8" t="n">
        <f aca="false">H40</f>
        <v>-32646694.1407206</v>
      </c>
      <c r="J39" s="8" t="n">
        <f aca="false">I40</f>
        <v>-6083411.96886475</v>
      </c>
      <c r="K39" s="8" t="n">
        <f aca="false">J40</f>
        <v>-12520129.7970089</v>
      </c>
      <c r="L39" s="8" t="n">
        <f aca="false">K40</f>
        <v>-23956847.625153</v>
      </c>
      <c r="M39" s="8" t="n">
        <f aca="false">L40</f>
        <v>-30393565.4532971</v>
      </c>
      <c r="N39" s="8" t="n">
        <f aca="false">M40</f>
        <v>-36830283.2814412</v>
      </c>
      <c r="O39" s="8" t="n">
        <f aca="false">N40</f>
        <v>-43267001.1095854</v>
      </c>
    </row>
    <row r="40" customFormat="false" ht="15" hidden="false" customHeight="false" outlineLevel="0" collapsed="false">
      <c r="B40" s="18" t="s">
        <v>262</v>
      </c>
      <c r="D40" s="19" t="n">
        <f aca="false">D39+D38</f>
        <v>23563282.1718559</v>
      </c>
      <c r="E40" s="19" t="n">
        <f aca="false">E39+E38</f>
        <v>-13336540.6562882</v>
      </c>
      <c r="F40" s="19" t="n">
        <f aca="false">F39+F38</f>
        <v>-19773258.4844324</v>
      </c>
      <c r="G40" s="19" t="n">
        <f aca="false">G39+G38</f>
        <v>-26209976.3125765</v>
      </c>
      <c r="H40" s="19" t="n">
        <f aca="false">H39+H38</f>
        <v>-32646694.1407206</v>
      </c>
      <c r="I40" s="19" t="n">
        <f aca="false">I39+I38</f>
        <v>-6083411.96886475</v>
      </c>
      <c r="J40" s="19" t="n">
        <f aca="false">J39+J38</f>
        <v>-12520129.7970089</v>
      </c>
      <c r="K40" s="19" t="n">
        <f aca="false">K39+K38</f>
        <v>-23956847.625153</v>
      </c>
      <c r="L40" s="19" t="n">
        <f aca="false">L39+L38</f>
        <v>-30393565.4532971</v>
      </c>
      <c r="M40" s="19" t="n">
        <f aca="false">M39+M38</f>
        <v>-36830283.2814412</v>
      </c>
      <c r="N40" s="19" t="n">
        <f aca="false">N39+N38</f>
        <v>-43267001.1095854</v>
      </c>
      <c r="O40" s="19" t="n">
        <f aca="false">O39+O38</f>
        <v>-38703718.9377295</v>
      </c>
      <c r="P40" s="53" t="n">
        <f aca="false">O40</f>
        <v>-38703718.9377295</v>
      </c>
    </row>
    <row r="41" customFormat="false" ht="15" hidden="false" customHeight="false" outlineLevel="0" collapsed="false">
      <c r="B41" s="67" t="s">
        <v>263</v>
      </c>
      <c r="D41" s="68" t="n">
        <f aca="false">IF(D40&lt;0,D40,0)</f>
        <v>0</v>
      </c>
      <c r="E41" s="68" t="n">
        <f aca="false">IF(E40&lt;0,E40,0)</f>
        <v>-13336540.6562882</v>
      </c>
      <c r="F41" s="68" t="n">
        <f aca="false">IF(F40&lt;0,F40,0)</f>
        <v>-19773258.4844324</v>
      </c>
      <c r="G41" s="68" t="n">
        <f aca="false">IF(G40&lt;0,G40,0)</f>
        <v>-26209976.3125765</v>
      </c>
      <c r="H41" s="68" t="n">
        <f aca="false">IF(H40&lt;0,H40,0)</f>
        <v>-32646694.1407206</v>
      </c>
      <c r="I41" s="68" t="n">
        <f aca="false">IF(I40&lt;0,I40,0)</f>
        <v>-6083411.96886475</v>
      </c>
      <c r="J41" s="68" t="n">
        <f aca="false">IF(J40&lt;0,J40,0)</f>
        <v>-12520129.7970089</v>
      </c>
      <c r="K41" s="68" t="n">
        <f aca="false">IF(K40&lt;0,K40,0)</f>
        <v>-23956847.625153</v>
      </c>
      <c r="L41" s="68" t="n">
        <f aca="false">IF(L40&lt;0,L40,0)</f>
        <v>-30393565.4532971</v>
      </c>
      <c r="M41" s="68" t="n">
        <f aca="false">IF(M40&lt;0,M40,0)</f>
        <v>-36830283.2814412</v>
      </c>
      <c r="N41" s="68" t="n">
        <f aca="false">IF(N40&lt;0,N40,0)</f>
        <v>-43267001.1095854</v>
      </c>
      <c r="O41" s="68" t="n">
        <f aca="false">IF(O40&lt;0,O40,0)</f>
        <v>-38703718.9377295</v>
      </c>
      <c r="P41" s="68" t="n">
        <f aca="false">MIN(D41:O41)</f>
        <v>-43267001.1095854</v>
      </c>
      <c r="Q41" s="30" t="s">
        <v>264</v>
      </c>
    </row>
    <row r="43" customFormat="false" ht="15" hidden="false" customHeight="false" outlineLevel="0" collapsed="false">
      <c r="B43" s="3" t="s">
        <v>265</v>
      </c>
    </row>
    <row r="44" customFormat="false" ht="15" hidden="false" customHeight="false" outlineLevel="0" collapsed="false">
      <c r="B44" s="3" t="s">
        <v>266</v>
      </c>
    </row>
    <row r="45" customFormat="false" ht="15" hidden="false" customHeight="false" outlineLevel="0" collapsed="false">
      <c r="B45" s="3" t="s">
        <v>267</v>
      </c>
    </row>
    <row r="46" customFormat="false" ht="15" hidden="false" customHeight="false" outlineLevel="0" collapsed="false">
      <c r="B46" s="30" t="s">
        <v>268</v>
      </c>
    </row>
    <row r="47" customFormat="false" ht="15" hidden="false" customHeight="false" outlineLevel="0" collapsed="false">
      <c r="B47" s="30" t="s">
        <v>269</v>
      </c>
    </row>
    <row r="49" customFormat="false" ht="15" hidden="false" customHeight="false" outlineLevel="0" collapsed="false">
      <c r="B49" s="39" t="s">
        <v>270</v>
      </c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</row>
    <row r="50" customFormat="false" ht="15" hidden="false" customHeight="false" outlineLevel="0" collapsed="false">
      <c r="B50" s="22" t="s">
        <v>271</v>
      </c>
      <c r="C50" s="23" t="s">
        <v>272</v>
      </c>
      <c r="D50" s="23" t="s">
        <v>273</v>
      </c>
      <c r="E50" s="23" t="s">
        <v>274</v>
      </c>
      <c r="F50" s="22" t="s">
        <v>275</v>
      </c>
    </row>
    <row r="51" customFormat="false" ht="15" hidden="false" customHeight="false" outlineLevel="0" collapsed="false">
      <c r="B51" s="54" t="s">
        <v>276</v>
      </c>
      <c r="C51" s="34" t="n">
        <f aca="false">O40</f>
        <v>-38703718.9377295</v>
      </c>
      <c r="D51" s="34" t="n">
        <f aca="false">MIN(D40:O40)</f>
        <v>-43267001.1095854</v>
      </c>
      <c r="E51" s="24" t="n">
        <f aca="false">IF(C51&lt;0,-MIN(C51,D51)+$C$55,MAX(0,-D51+$C$55))</f>
        <v>93530076.4647746</v>
      </c>
      <c r="F51" s="3" t="s">
        <v>277</v>
      </c>
    </row>
    <row r="52" customFormat="false" ht="15" hidden="false" customHeight="false" outlineLevel="0" collapsed="false">
      <c r="B52" s="48" t="s">
        <v>278</v>
      </c>
      <c r="C52" s="68" t="n">
        <f aca="false">C51+(②前提!$C$34-③FY2027月次推移!$P$9)*(1+$C$6)</f>
        <v>130039602.6</v>
      </c>
      <c r="D52" s="68" t="n">
        <f aca="false">D51+(②前提!$C$34-③FY2027月次推移!$P$9)*(1+$C$6)</f>
        <v>125476320.428144</v>
      </c>
      <c r="E52" s="24" t="n">
        <f aca="false">IF(C52&lt;0,-MIN(C52,D52)+$C$55,MAX(0,-D52+$C$55))</f>
        <v>0</v>
      </c>
      <c r="F52" s="3" t="s">
        <v>279</v>
      </c>
    </row>
    <row r="53" customFormat="false" ht="15" hidden="false" customHeight="false" outlineLevel="0" collapsed="false">
      <c r="B53" s="48" t="s">
        <v>280</v>
      </c>
      <c r="C53" s="68" t="n">
        <f aca="false">C51-(P16+P18)</f>
        <v>-82703718.9377295</v>
      </c>
      <c r="D53" s="68" t="n">
        <f aca="false">D51-(P16+P18)</f>
        <v>-87267001.1095854</v>
      </c>
      <c r="E53" s="24" t="n">
        <f aca="false">IF(C53&lt;0,-MIN(C53,D53)+$C$55,MAX(0,-D53+$C$55))</f>
        <v>137530076.464775</v>
      </c>
      <c r="F53" s="3" t="s">
        <v>281</v>
      </c>
    </row>
    <row r="54" customFormat="false" ht="15" hidden="false" customHeight="false" outlineLevel="0" collapsed="false">
      <c r="B54" s="48" t="s">
        <v>282</v>
      </c>
      <c r="C54" s="68" t="n">
        <f aca="false">C51-①サマリー!$C$23*(1+$C$6)</f>
        <v>-213805778.4</v>
      </c>
      <c r="D54" s="68" t="n">
        <f aca="false">D51-①サマリー!$C$23*(1+$C$6)</f>
        <v>-218369060.571856</v>
      </c>
      <c r="E54" s="24" t="n">
        <f aca="false">IF(C54&lt;0,-MIN(C54,D54)+$C$55,MAX(0,-D54+$C$55))</f>
        <v>268632135.927045</v>
      </c>
      <c r="F54" s="3" t="s">
        <v>283</v>
      </c>
    </row>
    <row r="55" customFormat="false" ht="15" hidden="false" customHeight="false" outlineLevel="0" collapsed="false">
      <c r="B55" s="6" t="s">
        <v>284</v>
      </c>
      <c r="C55" s="52" t="n">
        <f aca="false">③FY2027月次推移!$C$8*(1+$C$6)</f>
        <v>50263075.3551892</v>
      </c>
      <c r="F55" s="3" t="s">
        <v>285</v>
      </c>
    </row>
    <row r="57" customFormat="false" ht="15" hidden="false" customHeight="false" outlineLevel="0" collapsed="false">
      <c r="B57" s="30" t="s">
        <v>286</v>
      </c>
    </row>
    <row r="58" customFormat="false" ht="15" hidden="false" customHeight="false" outlineLevel="0" collapsed="false">
      <c r="B58" s="30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2026-08-22T13:01:23Z</dcterms:created>
  <dc:creator>openpyxl</dc:creator>
  <dc:description/>
  <dc:language>en-US</dc:language>
  <cp:lastModifiedBy/>
  <dcterms:modified xsi:type="dcterms:W3CDTF">2026-08-22T13:01:26Z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