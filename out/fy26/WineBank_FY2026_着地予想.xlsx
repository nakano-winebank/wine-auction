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着地予想" sheetId="1" state="visible" r:id="rId1"/>
    <sheet xmlns:r="http://schemas.openxmlformats.org/officeDocument/2006/relationships" name="③前提" sheetId="2" state="visible" r:id="rId2"/>
    <sheet xmlns:r="http://schemas.openxmlformats.org/officeDocument/2006/relationships" name="②月次推移表" sheetId="3" state="visible" r:id="rId3"/>
    <sheet xmlns:r="http://schemas.openxmlformats.org/officeDocument/2006/relationships" name="⑤感応度" sheetId="4" state="visible" r:id="rId4"/>
    <sheet xmlns:r="http://schemas.openxmlformats.org/officeDocument/2006/relationships" name="④添付ファイル検証"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メイリオ"/>
      <family val="2"/>
      <color theme="1"/>
      <sz val="11"/>
      <scheme val="minor"/>
    </font>
    <font>
      <name val="メイリオ"/>
      <b val="1"/>
      <sz val="15"/>
    </font>
    <font>
      <name val="メイリオ"/>
      <color rgb="008C8C8C"/>
      <sz val="9"/>
    </font>
    <font>
      <name val="メイリオ"/>
      <b val="1"/>
      <color rgb="00FFFFFF"/>
    </font>
    <font>
      <name val="メイリオ"/>
    </font>
    <font>
      <name val="メイリオ"/>
      <b val="1"/>
      <color rgb="008A6A24"/>
    </font>
    <font>
      <name val="メイリオ"/>
      <color rgb="00333333"/>
      <sz val="9"/>
    </font>
    <font>
      <name val="メイリオ"/>
      <b val="1"/>
    </font>
    <font>
      <name val="メイリオ"/>
      <b val="1"/>
      <sz val="14"/>
    </font>
    <font>
      <name val="メイリオ"/>
      <color rgb="001F4E79"/>
    </font>
    <font>
      <name val="メイリオ"/>
      <i val="1"/>
      <color rgb="008A6A24"/>
    </font>
  </fonts>
  <fills count="9">
    <fill>
      <patternFill/>
    </fill>
    <fill>
      <patternFill patternType="gray125"/>
    </fill>
    <fill>
      <patternFill patternType="solid">
        <fgColor rgb="001A1A1A"/>
      </patternFill>
    </fill>
    <fill>
      <patternFill patternType="solid">
        <fgColor rgb="00FAF3E2"/>
      </patternFill>
    </fill>
    <fill>
      <patternFill patternType="solid">
        <fgColor rgb="00F4EDDC"/>
      </patternFill>
    </fill>
    <fill>
      <patternFill patternType="solid">
        <fgColor rgb="00F7F6F3"/>
      </patternFill>
    </fill>
    <fill>
      <patternFill patternType="solid">
        <fgColor rgb="00F2F1EE"/>
      </patternFill>
    </fill>
    <fill>
      <patternFill patternType="solid">
        <fgColor rgb="00EFEEEA"/>
      </patternFill>
    </fill>
    <fill>
      <patternFill patternType="solid">
        <fgColor rgb="00EDEDED"/>
      </patternFill>
    </fill>
  </fills>
  <borders count="2">
    <border>
      <left/>
      <right/>
      <top/>
      <bottom/>
      <diagonal/>
    </border>
    <border>
      <top style="thin">
        <color rgb="001A1A1A"/>
      </top>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3" fillId="2" borderId="0" applyAlignment="1" pivotButton="0" quotePrefix="0" xfId="0">
      <alignment horizontal="center"/>
    </xf>
    <xf numFmtId="0" fontId="7" fillId="0" borderId="0" pivotButton="0" quotePrefix="0" xfId="0"/>
    <xf numFmtId="164" fontId="7" fillId="0" borderId="0" pivotButton="0" quotePrefix="0" xfId="0"/>
    <xf numFmtId="164" fontId="7" fillId="5" borderId="0" pivotButton="0" quotePrefix="0" xfId="0"/>
    <xf numFmtId="0" fontId="4" fillId="0" borderId="0" pivotButton="0" quotePrefix="0" xfId="0"/>
    <xf numFmtId="164" fontId="4" fillId="0" borderId="0" pivotButton="0" quotePrefix="0" xfId="0"/>
    <xf numFmtId="0" fontId="7" fillId="4" borderId="0" pivotButton="0" quotePrefix="0" xfId="0"/>
    <xf numFmtId="0" fontId="0" fillId="4" borderId="0" pivotButton="0" quotePrefix="0" xfId="0"/>
    <xf numFmtId="164" fontId="7" fillId="4" borderId="1" pivotButton="0" quotePrefix="0" xfId="0"/>
    <xf numFmtId="0" fontId="6" fillId="0" borderId="0" pivotButton="0" quotePrefix="0" xfId="0"/>
    <xf numFmtId="0" fontId="7" fillId="0" borderId="1" pivotButton="0" quotePrefix="0" xfId="0"/>
    <xf numFmtId="164" fontId="7" fillId="0" borderId="1" pivotButton="0" quotePrefix="0" xfId="0"/>
    <xf numFmtId="165" fontId="4" fillId="0" borderId="0" pivotButton="0" quotePrefix="0" xfId="0"/>
    <xf numFmtId="164" fontId="5" fillId="3" borderId="0" pivotButton="0" quotePrefix="0" xfId="0"/>
    <xf numFmtId="0" fontId="7" fillId="4" borderId="1" pivotButton="0" quotePrefix="0" xfId="0"/>
    <xf numFmtId="0" fontId="7" fillId="5" borderId="0" pivotButton="0" quotePrefix="0" xfId="0"/>
    <xf numFmtId="164" fontId="7" fillId="4" borderId="0" pivotButton="0" quotePrefix="0" xfId="0"/>
    <xf numFmtId="0" fontId="4" fillId="0" borderId="0" applyAlignment="1" pivotButton="0" quotePrefix="0" xfId="0">
      <alignment vertical="top" wrapText="1"/>
    </xf>
    <xf numFmtId="1" fontId="5" fillId="3" borderId="0" pivotButton="0" quotePrefix="0" xfId="0"/>
    <xf numFmtId="0" fontId="8" fillId="0" borderId="0" pivotButton="0" quotePrefix="0" xfId="0"/>
    <xf numFmtId="0" fontId="7" fillId="6" borderId="0" pivotButton="0" quotePrefix="0" xfId="0"/>
    <xf numFmtId="0" fontId="7" fillId="6" borderId="0" applyAlignment="1" pivotButton="0" quotePrefix="0" xfId="0">
      <alignment horizontal="center"/>
    </xf>
    <xf numFmtId="0" fontId="7" fillId="4" borderId="0" applyAlignment="1" pivotButton="0" quotePrefix="0" xfId="0">
      <alignment horizontal="center"/>
    </xf>
    <xf numFmtId="0" fontId="7" fillId="7" borderId="0" pivotButton="0" quotePrefix="0" xfId="0"/>
    <xf numFmtId="0" fontId="0" fillId="7" borderId="0" pivotButton="0" quotePrefix="0" xfId="0"/>
    <xf numFmtId="164" fontId="9" fillId="0" borderId="0" pivotButton="0" quotePrefix="0" xfId="0"/>
    <xf numFmtId="164" fontId="10" fillId="4" borderId="0" pivotButton="0" quotePrefix="0" xfId="0"/>
    <xf numFmtId="0" fontId="7" fillId="5" borderId="1" pivotButton="0" quotePrefix="0" xfId="0"/>
    <xf numFmtId="164" fontId="7" fillId="5" borderId="1" pivotButton="0" quotePrefix="0" xfId="0"/>
    <xf numFmtId="165" fontId="7" fillId="5" borderId="0" pivotButton="0" quotePrefix="0" xfId="0"/>
    <xf numFmtId="164" fontId="7" fillId="8" borderId="0" pivotButton="0" quotePrefix="0" xfId="0"/>
    <xf numFmtId="164" fontId="5" fillId="4" borderId="0" pivotButton="0" quotePrefix="0" xfId="0"/>
    <xf numFmtId="165" fontId="4" fillId="4" borderId="0" pivotButton="0" quotePrefix="0" xfId="0"/>
    <xf numFmtId="164" fontId="7"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31"/>
  <sheetViews>
    <sheetView showGridLines="0" workbookViewId="0">
      <selection activeCell="A1" sqref="A1"/>
    </sheetView>
  </sheetViews>
  <sheetFormatPr baseColWidth="8" defaultRowHeight="15"/>
  <cols>
    <col width="3" customWidth="1" min="1" max="1"/>
    <col width="42" customWidth="1" min="2" max="2"/>
    <col width="20" customWidth="1" min="3" max="3"/>
    <col width="20" customWidth="1" min="4" max="4"/>
    <col width="58" customWidth="1" min="5" max="5"/>
    <col width="2" customWidth="1" min="6" max="6"/>
    <col width="2" customWidth="1" min="7" max="7"/>
  </cols>
  <sheetData>
    <row r="1">
      <c r="B1" s="1" t="inlineStr">
        <is>
          <t>FY2026（2026年9月期）着地予想</t>
        </is>
      </c>
    </row>
    <row r="2">
      <c r="B2" s="2" t="inlineStr">
        <is>
          <t>2025/10-2026/07は実績、2026/08-09は想定。単位：円（税別）</t>
        </is>
      </c>
    </row>
    <row r="4">
      <c r="B4" s="3" t="inlineStr">
        <is>
          <t>【1】営業利益のブリッジ</t>
        </is>
      </c>
      <c r="C4" s="4" t="n"/>
      <c r="D4" s="4" t="n"/>
      <c r="E4" s="4" t="n"/>
    </row>
    <row r="5">
      <c r="B5" s="5" t="inlineStr">
        <is>
          <t>項目</t>
        </is>
      </c>
      <c r="C5" s="5" t="inlineStr">
        <is>
          <t>金額</t>
        </is>
      </c>
      <c r="D5" s="5" t="inlineStr">
        <is>
          <t>累計</t>
        </is>
      </c>
      <c r="E5" s="5" t="inlineStr">
        <is>
          <t>内容</t>
        </is>
      </c>
    </row>
    <row r="6">
      <c r="B6" s="6" t="inlineStr">
        <is>
          <t>10か月実績 営業利益（2025/10-2026/07）</t>
        </is>
      </c>
      <c r="C6" s="7">
        <f>SUM('②月次推移表'!C23:L23)+'③前提'!$C$15</f>
        <v/>
      </c>
      <c r="D6" s="8">
        <f>C6</f>
        <v/>
      </c>
      <c r="E6" s="2" t="inlineStr">
        <is>
          <t>報告値▲111,980,586円に、7月末までの戻し8,000,000円を加算</t>
        </is>
      </c>
    </row>
    <row r="7">
      <c r="B7" s="9" t="inlineStr">
        <is>
          <t>8月・9月 既存事業</t>
        </is>
      </c>
      <c r="C7" s="10">
        <f>SUM('②月次推移表'!M23:N23)-'③前提'!$C$15-'③前提'!$D$24</f>
        <v/>
      </c>
      <c r="D7" s="8">
        <f>D6+C7</f>
        <v/>
      </c>
      <c r="E7" s="2" t="inlineStr">
        <is>
          <t>売上115百万円・営業利益トントン（赤字を増やさない）前提のため、貢献はゼロ</t>
        </is>
      </c>
    </row>
    <row r="8">
      <c r="B8" s="9" t="inlineStr">
        <is>
          <t>上乗せ4件の粗利</t>
        </is>
      </c>
      <c r="C8" s="10">
        <f>'③前提'!$D$24</f>
        <v/>
      </c>
      <c r="D8" s="8">
        <f>D7+C8</f>
        <v/>
      </c>
      <c r="E8" s="2" t="inlineStr">
        <is>
          <t>私募 現物出資30＋売上計上45＋M&amp;A仲介20＋コンサル料10＝105百万円</t>
        </is>
      </c>
    </row>
    <row r="9">
      <c r="B9" s="11" t="inlineStr">
        <is>
          <t>FY2026 着地 営業利益</t>
        </is>
      </c>
      <c r="C9" s="12" t="n"/>
      <c r="D9" s="13">
        <f>D8</f>
        <v/>
      </c>
      <c r="E9" s="14" t="inlineStr">
        <is>
          <t>貴社ご想定の「営業利益0円＋α」と整合します。</t>
        </is>
      </c>
    </row>
    <row r="11">
      <c r="B11" s="3" t="inlineStr">
        <is>
          <t>【2】FY2026 着地 損益計算書</t>
        </is>
      </c>
      <c r="C11" s="4" t="n"/>
      <c r="D11" s="4" t="n"/>
      <c r="E11" s="4" t="n"/>
    </row>
    <row r="12">
      <c r="B12" s="5" t="inlineStr">
        <is>
          <t>科目</t>
        </is>
      </c>
      <c r="C12" s="5" t="inlineStr">
        <is>
          <t>10か月実績</t>
        </is>
      </c>
      <c r="D12" s="5" t="inlineStr">
        <is>
          <t>8月・9月</t>
        </is>
      </c>
      <c r="E12" s="5" t="inlineStr">
        <is>
          <t>通期 着地</t>
        </is>
      </c>
    </row>
    <row r="13">
      <c r="B13" s="9" t="inlineStr">
        <is>
          <t>売上高</t>
        </is>
      </c>
      <c r="C13" s="10">
        <f>SUM('②月次推移表'!C11:L11)</f>
        <v/>
      </c>
      <c r="D13" s="10">
        <f>SUM('②月次推移表'!M11:N11)</f>
        <v/>
      </c>
      <c r="E13" s="8">
        <f>C13+D13</f>
        <v/>
      </c>
    </row>
    <row r="14">
      <c r="B14" s="9" t="inlineStr">
        <is>
          <t>売上原価</t>
        </is>
      </c>
      <c r="C14" s="10">
        <f>SUM('②月次推移表'!C16:L16)</f>
        <v/>
      </c>
      <c r="D14" s="10">
        <f>SUM('②月次推移表'!M16:N16)</f>
        <v/>
      </c>
      <c r="E14" s="8">
        <f>C14+D14</f>
        <v/>
      </c>
    </row>
    <row r="15">
      <c r="B15" s="15" t="inlineStr">
        <is>
          <t>売上総利益</t>
        </is>
      </c>
      <c r="C15" s="16">
        <f>SUM('②月次推移表'!C17:L17)</f>
        <v/>
      </c>
      <c r="D15" s="16">
        <f>SUM('②月次推移表'!M17:N17)</f>
        <v/>
      </c>
      <c r="E15" s="13">
        <f>C15+D15</f>
        <v/>
      </c>
    </row>
    <row r="16">
      <c r="B16" s="9" t="inlineStr">
        <is>
          <t>販管費 計</t>
        </is>
      </c>
      <c r="C16" s="10">
        <f>SUM('②月次推移表'!C22:L22)</f>
        <v/>
      </c>
      <c r="D16" s="10">
        <f>SUM('②月次推移表'!M22:N22)</f>
        <v/>
      </c>
      <c r="E16" s="8">
        <f>C16+D16</f>
        <v/>
      </c>
    </row>
    <row r="17">
      <c r="B17" s="15" t="inlineStr">
        <is>
          <t>営業利益</t>
        </is>
      </c>
      <c r="C17" s="16">
        <f>SUM('②月次推移表'!C23:L23)</f>
        <v/>
      </c>
      <c r="D17" s="16">
        <f>SUM('②月次推移表'!M23:N23)</f>
        <v/>
      </c>
      <c r="E17" s="13">
        <f>C17+D17</f>
        <v/>
      </c>
    </row>
    <row r="18">
      <c r="B18" s="9" t="inlineStr">
        <is>
          <t>営業外収益</t>
        </is>
      </c>
      <c r="C18" s="10">
        <f>SUM('②月次推移表'!C24:L24)</f>
        <v/>
      </c>
      <c r="D18" s="10">
        <f>SUM('②月次推移表'!M24:N24)</f>
        <v/>
      </c>
      <c r="E18" s="8">
        <f>C18+D18</f>
        <v/>
      </c>
    </row>
    <row r="19">
      <c r="B19" s="9" t="inlineStr">
        <is>
          <t>営業外費用</t>
        </is>
      </c>
      <c r="C19" s="10">
        <f>SUM('②月次推移表'!C25:L25)</f>
        <v/>
      </c>
      <c r="D19" s="10">
        <f>SUM('②月次推移表'!M25:N25)</f>
        <v/>
      </c>
      <c r="E19" s="8">
        <f>C19+D19</f>
        <v/>
      </c>
    </row>
    <row r="20">
      <c r="B20" s="15" t="inlineStr">
        <is>
          <t>経常利益</t>
        </is>
      </c>
      <c r="C20" s="16">
        <f>SUM('②月次推移表'!C26:L26)</f>
        <v/>
      </c>
      <c r="D20" s="16">
        <f>SUM('②月次推移表'!M26:N26)</f>
        <v/>
      </c>
      <c r="E20" s="13">
        <f>C20+D20</f>
        <v/>
      </c>
    </row>
    <row r="21">
      <c r="B21" s="9" t="inlineStr">
        <is>
          <t xml:space="preserve">　粗利率</t>
        </is>
      </c>
      <c r="C21" s="17">
        <f>C15/C13</f>
        <v/>
      </c>
      <c r="D21" s="17">
        <f>D15/D13</f>
        <v/>
      </c>
      <c r="E21" s="17">
        <f>E15/E13</f>
        <v/>
      </c>
    </row>
    <row r="22">
      <c r="B22" s="9" t="inlineStr">
        <is>
          <t>特別損失（和解金）</t>
        </is>
      </c>
      <c r="E22" s="18" t="n">
        <v>900000</v>
      </c>
    </row>
    <row r="23">
      <c r="B23" s="19" t="inlineStr">
        <is>
          <t>税引前当期純利益</t>
        </is>
      </c>
      <c r="E23" s="13">
        <f>E20-E22</f>
        <v/>
      </c>
    </row>
    <row r="25">
      <c r="B25" s="20" t="inlineStr">
        <is>
          <t>繰越欠損金 残高（FY2026末 見込）</t>
        </is>
      </c>
      <c r="C25" s="18" t="n">
        <v>127364212</v>
      </c>
      <c r="D25" s="2" t="inlineStr">
        <is>
          <t>FY2025分</t>
        </is>
      </c>
      <c r="E25" s="21">
        <f>C25+MAX(0,-E23)</f>
        <v/>
      </c>
      <c r="F25" s="2" t="inlineStr">
        <is>
          <t>FY2027のプランD・Eの法人税計算に使用します。</t>
        </is>
      </c>
    </row>
    <row r="27">
      <c r="B27" s="3" t="inlineStr">
        <is>
          <t>【3】留意点</t>
        </is>
      </c>
      <c r="C27" s="4" t="n"/>
      <c r="D27" s="4" t="n"/>
      <c r="E27" s="4" t="n"/>
    </row>
    <row r="28" ht="34" customHeight="1">
      <c r="B28" s="11" t="inlineStr">
        <is>
          <t>8-9月の売上レンジは着地に影響しない</t>
        </is>
      </c>
      <c r="C28" s="22" t="inlineStr">
        <is>
          <t>営業利益トントンの前提では、売上が110百万円でも120百万円でも営業利益は変わりません。変わるのは売上高と粗利率の見え方だけです。⑤感応度をご参照ください。</t>
        </is>
      </c>
    </row>
    <row r="29" ht="34" customHeight="1">
      <c r="B29" s="11" t="inlineStr">
        <is>
          <t>7月末までの戻し8,000,000円</t>
        </is>
      </c>
      <c r="C29" s="22" t="inlineStr">
        <is>
          <t>勘定科目（販管費の戻入か売上の追加か）と計上月をご確認ください。本モデルでは販管費の減少として2026年8月に計上しています。</t>
        </is>
      </c>
    </row>
    <row r="30" ht="34" customHeight="1">
      <c r="B30" s="11" t="inlineStr">
        <is>
          <t>商品在庫</t>
        </is>
      </c>
      <c r="C30" s="22" t="inlineStr">
        <is>
          <t>2026/07末の商品は721,162,328円。8-9月の仕入55百万円を見込んでも、私募の売上計上分（原価255百万円）と現物出資分（簿価270百万円）が抜けるため、9月末は約187百万円まで減ります。従来のFY2027モデルの期首在庫420百万円とは大きく異なります。</t>
        </is>
      </c>
    </row>
    <row r="31" ht="34" customHeight="1">
      <c r="B31" s="11" t="inlineStr">
        <is>
          <t>消費税</t>
        </is>
      </c>
      <c r="C31" s="22" t="inlineStr">
        <is>
          <t>課税売上高は890百万円前後です。現物出資分3億円は売上計上しませんが、消費税法上は資産の譲渡等に該当し課税対象となる可能性があります。FY2026分の確定納付額に影響するため、顧問税理士にご確認ください。</t>
        </is>
      </c>
    </row>
  </sheetData>
  <mergeCells count="4">
    <mergeCell ref="C30:E30"/>
    <mergeCell ref="C31:E31"/>
    <mergeCell ref="C28:E28"/>
    <mergeCell ref="C29:E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37"/>
  <sheetViews>
    <sheetView showGridLines="0" workbookViewId="0">
      <selection activeCell="A1" sqref="A1"/>
    </sheetView>
  </sheetViews>
  <sheetFormatPr baseColWidth="8" defaultRowHeight="15"/>
  <cols>
    <col width="3" customWidth="1" min="1" max="1"/>
    <col width="38" customWidth="1" min="2" max="2"/>
    <col width="18" customWidth="1" min="3" max="3"/>
    <col width="18" customWidth="1" min="4" max="4"/>
    <col width="62" customWidth="1" min="5" max="5"/>
    <col width="2" customWidth="1" min="6" max="6"/>
    <col width="2" customWidth="1" min="7" max="7"/>
  </cols>
  <sheetData>
    <row r="1">
      <c r="B1" s="1" t="inlineStr">
        <is>
          <t>FY2026 着地予想　前提条件</t>
        </is>
      </c>
    </row>
    <row r="2">
      <c r="B2" s="2" t="inlineStr">
        <is>
          <t>黄色＝入力セル。2025/10-2026/07は実績（添付の損益計算書 月次推移）、2026/08-09は想定。単位：円</t>
        </is>
      </c>
    </row>
    <row r="4">
      <c r="B4" s="3" t="inlineStr">
        <is>
          <t>【1】2026年8月・9月の既存事業　※営業利益トントン（赤字を増やさない）前提</t>
        </is>
      </c>
      <c r="C4" s="4" t="n"/>
      <c r="D4" s="4" t="n"/>
      <c r="E4" s="4" t="n"/>
    </row>
    <row r="5">
      <c r="B5" s="9" t="inlineStr">
        <is>
          <t>2026/08 既存事業 売上</t>
        </is>
      </c>
      <c r="C5" s="18" t="n">
        <v>57500000</v>
      </c>
      <c r="E5" s="2" t="inlineStr">
        <is>
          <t>貴社想定：8-9月の2か月で110〜120百万円。ここでは中央値115百万円を折半</t>
        </is>
      </c>
    </row>
    <row r="6">
      <c r="B6" s="9" t="inlineStr">
        <is>
          <t>2026/09 既存事業 売上</t>
        </is>
      </c>
      <c r="C6" s="18" t="n">
        <v>57500000</v>
      </c>
      <c r="E6" s="2" t="inlineStr">
        <is>
          <t>同上</t>
        </is>
      </c>
    </row>
    <row r="7">
      <c r="B7" s="9" t="inlineStr">
        <is>
          <t>2026/08 販管費</t>
        </is>
      </c>
      <c r="C7" s="18" t="n">
        <v>25624504</v>
      </c>
      <c r="E7" s="2" t="inlineStr">
        <is>
          <t>2026/04-07実績の月平均25,624,504円。貴社ご指定によりフラット</t>
        </is>
      </c>
    </row>
    <row r="8">
      <c r="B8" s="9" t="inlineStr">
        <is>
          <t>2026/09 販管費</t>
        </is>
      </c>
      <c r="C8" s="18" t="n">
        <v>25624504</v>
      </c>
      <c r="E8" s="2" t="inlineStr">
        <is>
          <t>同上</t>
        </is>
      </c>
    </row>
    <row r="9">
      <c r="B9" s="9" t="inlineStr">
        <is>
          <t>2026/08 営業外費用</t>
        </is>
      </c>
      <c r="C9" s="18" t="n">
        <v>1323236</v>
      </c>
      <c r="E9" s="2" t="inlineStr">
        <is>
          <t>2026/04-07実績の月平均</t>
        </is>
      </c>
    </row>
    <row r="10">
      <c r="B10" s="9" t="inlineStr">
        <is>
          <t>2026/09 営業外費用</t>
        </is>
      </c>
      <c r="C10" s="18" t="n">
        <v>1323236</v>
      </c>
      <c r="E10" s="2" t="inlineStr">
        <is>
          <t>同上</t>
        </is>
      </c>
    </row>
    <row r="11">
      <c r="B11" s="14" t="inlineStr">
        <is>
          <t>※営業利益トントンの前提により、各月の売上総利益＝販管費として売上原価を逆算しています。</t>
        </is>
      </c>
    </row>
    <row r="12">
      <c r="B12" s="14" t="inlineStr">
        <is>
          <t>※この前提では売上レンジ（110〜120百万円）を動かしても着地の営業利益は変わりません。変わるのは売上高と粗利率の見え方だけです。</t>
        </is>
      </c>
    </row>
    <row r="14">
      <c r="B14" s="3" t="inlineStr">
        <is>
          <t>【2】7月末までの営業利益の修正（戻し）</t>
        </is>
      </c>
      <c r="C14" s="4" t="n"/>
      <c r="D14" s="4" t="n"/>
      <c r="E14" s="4" t="n"/>
    </row>
    <row r="15">
      <c r="B15" s="9" t="inlineStr">
        <is>
          <t>営業利益の戻し</t>
        </is>
      </c>
      <c r="C15" s="18" t="n">
        <v>8000000</v>
      </c>
      <c r="E15" s="14" t="inlineStr">
        <is>
          <t>貴社ご指摘。10か月実績▲111,980,586円に加算し、7月末時点を▲103,980,586円（≒営業赤字10,400万円）とする</t>
        </is>
      </c>
    </row>
    <row r="16">
      <c r="B16" s="9" t="inlineStr">
        <is>
          <t>計上月（8＝2026/08・9＝2026/09）</t>
        </is>
      </c>
      <c r="C16" s="23" t="n">
        <v>8</v>
      </c>
      <c r="E16" s="14" t="inlineStr">
        <is>
          <t>★勘定科目（販管費の戻入か売上の追加か）はご確認ください。ここでは販管費の減少として処理しています。</t>
        </is>
      </c>
    </row>
    <row r="18">
      <c r="B18" s="3" t="inlineStr">
        <is>
          <t>【3】2026年9月末までに計上する上乗せ案件</t>
        </is>
      </c>
      <c r="C18" s="4" t="n"/>
      <c r="D18" s="4" t="n"/>
      <c r="E18" s="4" t="n"/>
    </row>
    <row r="19">
      <c r="B19" s="5" t="inlineStr">
        <is>
          <t>案件</t>
        </is>
      </c>
      <c r="C19" s="5" t="inlineStr">
        <is>
          <t>売上</t>
        </is>
      </c>
      <c r="D19" s="5" t="inlineStr">
        <is>
          <t>粗利</t>
        </is>
      </c>
      <c r="E19" s="3" t="inlineStr">
        <is>
          <t>内容</t>
        </is>
      </c>
    </row>
    <row r="20">
      <c r="B20" s="9" t="inlineStr">
        <is>
          <t>① 私募（現物出資分）※売上計上なし</t>
        </is>
      </c>
      <c r="C20" s="18" t="n">
        <v>0</v>
      </c>
      <c r="D20" s="18" t="n">
        <v>30000000</v>
      </c>
      <c r="E20" s="2" t="inlineStr">
        <is>
          <t>★3億円は現物出資のため売上を計上せず、粗利30百万円（P2から10＋WineBankから20）のみ計上。売上原価のマイナスとして処理</t>
        </is>
      </c>
    </row>
    <row r="21">
      <c r="B21" s="9" t="inlineStr">
        <is>
          <t>② 私募（売上計上分）</t>
        </is>
      </c>
      <c r="C21" s="18" t="n">
        <v>300000000</v>
      </c>
      <c r="D21" s="18" t="n">
        <v>45000000</v>
      </c>
      <c r="E21" s="2" t="inlineStr">
        <is>
          <t>3億円を売上計上。粗利45百万円（粗利率15.0%）</t>
        </is>
      </c>
    </row>
    <row r="22">
      <c r="B22" s="9" t="inlineStr">
        <is>
          <t>③ アピシウスM&amp;A仲介</t>
        </is>
      </c>
      <c r="C22" s="18" t="n">
        <v>20000000</v>
      </c>
      <c r="D22" s="18" t="n">
        <v>20000000</v>
      </c>
      <c r="E22" s="2" t="inlineStr">
        <is>
          <t>FY2027予定分の契約を9月末までに間に合わせる。原価なし</t>
        </is>
      </c>
    </row>
    <row r="23">
      <c r="B23" s="9" t="inlineStr">
        <is>
          <t>④ コンサルティング料</t>
        </is>
      </c>
      <c r="C23" s="18" t="n">
        <v>10000000</v>
      </c>
      <c r="D23" s="18" t="n">
        <v>10000000</v>
      </c>
      <c r="E23" s="2" t="inlineStr">
        <is>
          <t>9月末までに計上。原価なし</t>
        </is>
      </c>
    </row>
    <row r="24">
      <c r="B24" s="15" t="inlineStr">
        <is>
          <t>合計</t>
        </is>
      </c>
      <c r="C24" s="13">
        <f>SUM(C20:C23)</f>
        <v/>
      </c>
      <c r="D24" s="13">
        <f>SUM(D20:D23)</f>
        <v/>
      </c>
      <c r="E24" s="14" t="inlineStr">
        <is>
          <t>粗利105,000,000円は従来想定と同額。売上は630→330百万円に減少（現物出資分3億を売上計上しないため）</t>
        </is>
      </c>
    </row>
    <row r="26">
      <c r="B26" s="3" t="inlineStr">
        <is>
          <t>【4】商品在庫の見通し　※FY2027の期首在庫に直結します</t>
        </is>
      </c>
      <c r="C26" s="4" t="n"/>
      <c r="D26" s="4" t="n"/>
      <c r="E26" s="4" t="n"/>
    </row>
    <row r="27">
      <c r="B27" s="9" t="inlineStr">
        <is>
          <t>2026/07末 商品（実績）</t>
        </is>
      </c>
      <c r="C27" s="8" t="n">
        <v>721162328</v>
      </c>
      <c r="E27" s="2" t="inlineStr">
        <is>
          <t>添付の貸借対照表 月次推移より</t>
        </is>
      </c>
    </row>
    <row r="28">
      <c r="B28" s="9" t="inlineStr">
        <is>
          <t>2026/08-09 商品仕入（想定）</t>
        </is>
      </c>
      <c r="C28" s="18" t="n">
        <v>55000000</v>
      </c>
      <c r="E28" s="14" t="inlineStr">
        <is>
          <t>貴社ご指定：50〜60百万円。中央値55百万円</t>
        </is>
      </c>
    </row>
    <row r="29">
      <c r="B29" s="9" t="inlineStr">
        <is>
          <t>2026/08-09 売上原価による出庫</t>
        </is>
      </c>
      <c r="C29" s="8">
        <f>SUM('②月次推移表'!M13:N13)+SUM('②月次推移表'!M14:N14)</f>
        <v/>
      </c>
      <c r="E29" s="2" t="inlineStr">
        <is>
          <t>既存事業の8-9月＋私募（売上計上分）の原価。現物出資の評価差額は含まない</t>
        </is>
      </c>
    </row>
    <row r="30">
      <c r="B30" s="9" t="inlineStr">
        <is>
          <t>現物出資 出資額（評価額）</t>
        </is>
      </c>
      <c r="C30" s="18" t="n">
        <v>300000000</v>
      </c>
      <c r="E30" s="14" t="inlineStr">
        <is>
          <t>★現物出資した金額。売上には計上しません</t>
        </is>
      </c>
    </row>
    <row r="31">
      <c r="B31" s="9" t="inlineStr">
        <is>
          <t xml:space="preserve">　うち 評価差額（粗利計上分）</t>
        </is>
      </c>
      <c r="C31" s="8">
        <f>D20</f>
        <v/>
      </c>
      <c r="E31" s="2" t="inlineStr">
        <is>
          <t>【3】①の粗利30,000,000円</t>
        </is>
      </c>
    </row>
    <row r="32">
      <c r="B32" s="9" t="inlineStr">
        <is>
          <t>現物出資による在庫の振替（簿価）</t>
        </is>
      </c>
      <c r="C32" s="8">
        <f>C30-C31</f>
        <v/>
      </c>
      <c r="E32" s="2" t="inlineStr">
        <is>
          <t>出資額−評価差額。売上原価ではなく投資その他の資産へ振替</t>
        </is>
      </c>
    </row>
    <row r="33">
      <c r="B33" s="9" t="inlineStr">
        <is>
          <t>2026/09末 商品（見込）</t>
        </is>
      </c>
      <c r="C33" s="21">
        <f>C27+C28-C29-C32</f>
        <v/>
      </c>
      <c r="E33" s="2" t="inlineStr">
        <is>
          <t>期首＋仕入−出庫−現物出資の振替</t>
        </is>
      </c>
    </row>
    <row r="35">
      <c r="B35" s="14" t="inlineStr">
        <is>
          <t>※現物出資したワインは売上原価にはならず、簿価のまま投資その他の資産へ振り替わります。在庫からは出ますが損益には出ません。</t>
        </is>
      </c>
    </row>
    <row r="36">
      <c r="B36" s="14" t="inlineStr">
        <is>
          <t>※従来のFY2027モデルは期首在庫420百万円・2026/09に在庫200百万円を販売してみずほ銀行へ返済、という前提でした。</t>
        </is>
      </c>
    </row>
    <row r="37">
      <c r="B37" s="14" t="inlineStr">
        <is>
          <t xml:space="preserve">　今回の私募（現物出資300＋売上計上300）はそれより大きい取引のため、期首在庫の前提を置き直す必要があります。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O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6" customWidth="1" min="15" max="15"/>
    <col width="3" customWidth="1" min="16" max="16"/>
  </cols>
  <sheetData>
    <row r="1">
      <c r="B1" s="24" t="inlineStr">
        <is>
          <t>FY2026（2025年10月-2026年9月）月次推移表　実績＋8月・9月想定</t>
        </is>
      </c>
    </row>
    <row r="2">
      <c r="B2" s="2" t="inlineStr">
        <is>
          <t>青字＝実績（2025/10-2026/07）　金色斜体＝想定（2026/08-09）　出典：損益計算書 月次推移</t>
        </is>
      </c>
    </row>
    <row r="4">
      <c r="B4" s="25" t="inlineStr">
        <is>
          <t>科目</t>
        </is>
      </c>
      <c r="C4" s="26" t="inlineStr">
        <is>
          <t>2025/10</t>
        </is>
      </c>
      <c r="D4" s="26" t="inlineStr">
        <is>
          <t>2025/11</t>
        </is>
      </c>
      <c r="E4" s="26" t="inlineStr">
        <is>
          <t>2025/12</t>
        </is>
      </c>
      <c r="F4" s="26" t="inlineStr">
        <is>
          <t>2026/01</t>
        </is>
      </c>
      <c r="G4" s="26" t="inlineStr">
        <is>
          <t>2026/02</t>
        </is>
      </c>
      <c r="H4" s="26" t="inlineStr">
        <is>
          <t>2026/03</t>
        </is>
      </c>
      <c r="I4" s="26" t="inlineStr">
        <is>
          <t>2026/04</t>
        </is>
      </c>
      <c r="J4" s="26" t="inlineStr">
        <is>
          <t>2026/05</t>
        </is>
      </c>
      <c r="K4" s="26" t="inlineStr">
        <is>
          <t>2026/06</t>
        </is>
      </c>
      <c r="L4" s="26" t="inlineStr">
        <is>
          <t>2026/07</t>
        </is>
      </c>
      <c r="M4" s="27" t="inlineStr">
        <is>
          <t>2026/08</t>
        </is>
      </c>
      <c r="N4" s="27" t="inlineStr">
        <is>
          <t>2026/09</t>
        </is>
      </c>
      <c r="O4" s="26" t="inlineStr">
        <is>
          <t>通期</t>
        </is>
      </c>
    </row>
    <row r="5">
      <c r="B5" s="28" t="inlineStr">
        <is>
          <t>【売上高】</t>
        </is>
      </c>
      <c r="C5" s="29" t="n"/>
      <c r="D5" s="29" t="n"/>
      <c r="E5" s="29" t="n"/>
      <c r="F5" s="29" t="n"/>
      <c r="G5" s="29" t="n"/>
      <c r="H5" s="29" t="n"/>
      <c r="I5" s="29" t="n"/>
      <c r="J5" s="29" t="n"/>
      <c r="K5" s="29" t="n"/>
      <c r="L5" s="29" t="n"/>
      <c r="M5" s="29" t="n"/>
      <c r="N5" s="29" t="n"/>
      <c r="O5" s="29" t="n"/>
    </row>
    <row r="6">
      <c r="B6" s="9" t="inlineStr">
        <is>
          <t>既存事業 売上</t>
        </is>
      </c>
      <c r="C6" s="30" t="n">
        <v>32992483</v>
      </c>
      <c r="D6" s="30" t="n">
        <v>97200483</v>
      </c>
      <c r="E6" s="30" t="n">
        <v>43213676</v>
      </c>
      <c r="F6" s="30" t="n">
        <v>32789018</v>
      </c>
      <c r="G6" s="30" t="n">
        <v>41444542</v>
      </c>
      <c r="H6" s="30" t="n">
        <v>33217731</v>
      </c>
      <c r="I6" s="30" t="n">
        <v>32507576</v>
      </c>
      <c r="J6" s="30" t="n">
        <v>35482614</v>
      </c>
      <c r="K6" s="30" t="n">
        <v>32929364</v>
      </c>
      <c r="L6" s="30" t="n">
        <v>63136698</v>
      </c>
      <c r="M6" s="31">
        <f>'③前提'!$C$5</f>
        <v/>
      </c>
      <c r="N6" s="31">
        <f>'③前提'!$C$6</f>
        <v/>
      </c>
      <c r="O6" s="8">
        <f>SUM(C6:N6)</f>
        <v/>
      </c>
    </row>
    <row r="7">
      <c r="B7" s="9" t="inlineStr">
        <is>
          <t xml:space="preserve">　＋私募（現物出資分）※売上計上なし</t>
        </is>
      </c>
      <c r="C7" s="30" t="n">
        <v>0</v>
      </c>
      <c r="D7" s="30" t="n">
        <v>0</v>
      </c>
      <c r="E7" s="30" t="n">
        <v>0</v>
      </c>
      <c r="F7" s="30" t="n">
        <v>0</v>
      </c>
      <c r="G7" s="30" t="n">
        <v>0</v>
      </c>
      <c r="H7" s="30" t="n">
        <v>0</v>
      </c>
      <c r="I7" s="30" t="n">
        <v>0</v>
      </c>
      <c r="J7" s="30" t="n">
        <v>0</v>
      </c>
      <c r="K7" s="30" t="n">
        <v>0</v>
      </c>
      <c r="L7" s="30" t="n">
        <v>0</v>
      </c>
      <c r="M7" s="31" t="n">
        <v>0</v>
      </c>
      <c r="N7" s="31">
        <f>'③前提'!$C$20</f>
        <v/>
      </c>
      <c r="O7" s="8">
        <f>SUM(C7:N7)</f>
        <v/>
      </c>
    </row>
    <row r="8">
      <c r="B8" s="9" t="inlineStr">
        <is>
          <t xml:space="preserve">　＋私募（売上計上分）</t>
        </is>
      </c>
      <c r="C8" s="30" t="n">
        <v>0</v>
      </c>
      <c r="D8" s="30" t="n">
        <v>0</v>
      </c>
      <c r="E8" s="30" t="n">
        <v>0</v>
      </c>
      <c r="F8" s="30" t="n">
        <v>0</v>
      </c>
      <c r="G8" s="30" t="n">
        <v>0</v>
      </c>
      <c r="H8" s="30" t="n">
        <v>0</v>
      </c>
      <c r="I8" s="30" t="n">
        <v>0</v>
      </c>
      <c r="J8" s="30" t="n">
        <v>0</v>
      </c>
      <c r="K8" s="30" t="n">
        <v>0</v>
      </c>
      <c r="L8" s="30" t="n">
        <v>0</v>
      </c>
      <c r="M8" s="31" t="n">
        <v>0</v>
      </c>
      <c r="N8" s="31">
        <f>'③前提'!$C$21</f>
        <v/>
      </c>
      <c r="O8" s="8">
        <f>SUM(C8:N8)</f>
        <v/>
      </c>
    </row>
    <row r="9">
      <c r="B9" s="9" t="inlineStr">
        <is>
          <t xml:space="preserve">　＋M&amp;A仲介</t>
        </is>
      </c>
      <c r="C9" s="30" t="n">
        <v>0</v>
      </c>
      <c r="D9" s="30" t="n">
        <v>0</v>
      </c>
      <c r="E9" s="30" t="n">
        <v>0</v>
      </c>
      <c r="F9" s="30" t="n">
        <v>0</v>
      </c>
      <c r="G9" s="30" t="n">
        <v>0</v>
      </c>
      <c r="H9" s="30" t="n">
        <v>0</v>
      </c>
      <c r="I9" s="30" t="n">
        <v>0</v>
      </c>
      <c r="J9" s="30" t="n">
        <v>0</v>
      </c>
      <c r="K9" s="30" t="n">
        <v>0</v>
      </c>
      <c r="L9" s="30" t="n">
        <v>0</v>
      </c>
      <c r="M9" s="31" t="n">
        <v>0</v>
      </c>
      <c r="N9" s="31">
        <f>'③前提'!$C$22</f>
        <v/>
      </c>
      <c r="O9" s="8">
        <f>SUM(C9:N9)</f>
        <v/>
      </c>
    </row>
    <row r="10">
      <c r="B10" s="9" t="inlineStr">
        <is>
          <t xml:space="preserve">　＋コンサルティング料</t>
        </is>
      </c>
      <c r="C10" s="30" t="n">
        <v>0</v>
      </c>
      <c r="D10" s="30" t="n">
        <v>0</v>
      </c>
      <c r="E10" s="30" t="n">
        <v>0</v>
      </c>
      <c r="F10" s="30" t="n">
        <v>0</v>
      </c>
      <c r="G10" s="30" t="n">
        <v>0</v>
      </c>
      <c r="H10" s="30" t="n">
        <v>0</v>
      </c>
      <c r="I10" s="30" t="n">
        <v>0</v>
      </c>
      <c r="J10" s="30" t="n">
        <v>0</v>
      </c>
      <c r="K10" s="30" t="n">
        <v>0</v>
      </c>
      <c r="L10" s="30" t="n">
        <v>0</v>
      </c>
      <c r="M10" s="31" t="n">
        <v>0</v>
      </c>
      <c r="N10" s="31">
        <f>'③前提'!$C$23</f>
        <v/>
      </c>
      <c r="O10" s="8">
        <f>SUM(C10:N10)</f>
        <v/>
      </c>
    </row>
    <row r="11">
      <c r="B11" s="32" t="inlineStr">
        <is>
          <t>売上高 合計</t>
        </is>
      </c>
      <c r="C11" s="33">
        <f>SUM(C6:C10)</f>
        <v/>
      </c>
      <c r="D11" s="33">
        <f>SUM(D6:D10)</f>
        <v/>
      </c>
      <c r="E11" s="33">
        <f>SUM(E6:E10)</f>
        <v/>
      </c>
      <c r="F11" s="33">
        <f>SUM(F6:F10)</f>
        <v/>
      </c>
      <c r="G11" s="33">
        <f>SUM(G6:G10)</f>
        <v/>
      </c>
      <c r="H11" s="33">
        <f>SUM(H6:H10)</f>
        <v/>
      </c>
      <c r="I11" s="33">
        <f>SUM(I6:I10)</f>
        <v/>
      </c>
      <c r="J11" s="33">
        <f>SUM(J6:J10)</f>
        <v/>
      </c>
      <c r="K11" s="33">
        <f>SUM(K6:K10)</f>
        <v/>
      </c>
      <c r="L11" s="33">
        <f>SUM(L6:L10)</f>
        <v/>
      </c>
      <c r="M11" s="33">
        <f>SUM(M6:M10)</f>
        <v/>
      </c>
      <c r="N11" s="33">
        <f>SUM(N6:N10)</f>
        <v/>
      </c>
      <c r="O11" s="33">
        <f>SUM(C11:N11)</f>
        <v/>
      </c>
    </row>
    <row r="12">
      <c r="B12" s="28" t="inlineStr">
        <is>
          <t>【売上原価】</t>
        </is>
      </c>
      <c r="C12" s="29" t="n"/>
      <c r="D12" s="29" t="n"/>
      <c r="E12" s="29" t="n"/>
      <c r="F12" s="29" t="n"/>
      <c r="G12" s="29" t="n"/>
      <c r="H12" s="29" t="n"/>
      <c r="I12" s="29" t="n"/>
      <c r="J12" s="29" t="n"/>
      <c r="K12" s="29" t="n"/>
      <c r="L12" s="29" t="n"/>
      <c r="M12" s="29" t="n"/>
      <c r="N12" s="29" t="n"/>
      <c r="O12" s="29" t="n"/>
    </row>
    <row r="13">
      <c r="B13" s="9" t="inlineStr">
        <is>
          <t>既存事業 売上原価</t>
        </is>
      </c>
      <c r="C13" s="30" t="n">
        <v>18502877</v>
      </c>
      <c r="D13" s="30" t="n">
        <v>69212121</v>
      </c>
      <c r="E13" s="30" t="n">
        <v>21085289</v>
      </c>
      <c r="F13" s="30" t="n">
        <v>16521949</v>
      </c>
      <c r="G13" s="30" t="n">
        <v>21070367</v>
      </c>
      <c r="H13" s="30" t="n">
        <v>18454664</v>
      </c>
      <c r="I13" s="30" t="n">
        <v>16184238</v>
      </c>
      <c r="J13" s="30" t="n">
        <v>17021856</v>
      </c>
      <c r="K13" s="30" t="n">
        <v>15172640</v>
      </c>
      <c r="L13" s="30" t="n">
        <v>39686578</v>
      </c>
      <c r="M13" s="31">
        <f>'③前提'!$C$5-'③前提'!$C$7</f>
        <v/>
      </c>
      <c r="N13" s="31">
        <f>'③前提'!$C$6-'③前提'!$C$8</f>
        <v/>
      </c>
      <c r="O13" s="8">
        <f>SUM(C13:N13)</f>
        <v/>
      </c>
    </row>
    <row r="14">
      <c r="B14" s="9" t="inlineStr">
        <is>
          <t xml:space="preserve">　＋上乗せ案件 原価（売上計上分）</t>
        </is>
      </c>
      <c r="C14" s="30" t="n">
        <v>0</v>
      </c>
      <c r="D14" s="30" t="n">
        <v>0</v>
      </c>
      <c r="E14" s="30" t="n">
        <v>0</v>
      </c>
      <c r="F14" s="30" t="n">
        <v>0</v>
      </c>
      <c r="G14" s="30" t="n">
        <v>0</v>
      </c>
      <c r="H14" s="30" t="n">
        <v>0</v>
      </c>
      <c r="I14" s="30" t="n">
        <v>0</v>
      </c>
      <c r="J14" s="30" t="n">
        <v>0</v>
      </c>
      <c r="K14" s="30" t="n">
        <v>0</v>
      </c>
      <c r="L14" s="30" t="n">
        <v>0</v>
      </c>
      <c r="M14" s="31" t="n">
        <v>0</v>
      </c>
      <c r="N14" s="31">
        <f>SUM('③前提'!$C$21,'③前提'!$C$22,'③前提'!$C$23)-SUM('③前提'!$D$21,'③前提'!$D$22,'③前提'!$D$23)</f>
        <v/>
      </c>
      <c r="O14" s="8">
        <f>SUM(C14:N14)</f>
        <v/>
      </c>
    </row>
    <row r="15">
      <c r="B15" s="9" t="inlineStr">
        <is>
          <t xml:space="preserve">　＋現物出資 評価差額（原価のマイナス）</t>
        </is>
      </c>
      <c r="C15" s="30" t="n">
        <v>0</v>
      </c>
      <c r="D15" s="30" t="n">
        <v>0</v>
      </c>
      <c r="E15" s="30" t="n">
        <v>0</v>
      </c>
      <c r="F15" s="30" t="n">
        <v>0</v>
      </c>
      <c r="G15" s="30" t="n">
        <v>0</v>
      </c>
      <c r="H15" s="30" t="n">
        <v>0</v>
      </c>
      <c r="I15" s="30" t="n">
        <v>0</v>
      </c>
      <c r="J15" s="30" t="n">
        <v>0</v>
      </c>
      <c r="K15" s="30" t="n">
        <v>0</v>
      </c>
      <c r="L15" s="30" t="n">
        <v>0</v>
      </c>
      <c r="M15" s="31" t="n">
        <v>0</v>
      </c>
      <c r="N15" s="31">
        <f>-'③前提'!$D$20</f>
        <v/>
      </c>
      <c r="O15" s="8">
        <f>SUM(C15:N15)</f>
        <v/>
      </c>
    </row>
    <row r="16">
      <c r="B16" s="32" t="inlineStr">
        <is>
          <t>売上原価 合計</t>
        </is>
      </c>
      <c r="C16" s="33">
        <f>C13+C14+C15</f>
        <v/>
      </c>
      <c r="D16" s="33">
        <f>D13+D14+D15</f>
        <v/>
      </c>
      <c r="E16" s="33">
        <f>E13+E14+E15</f>
        <v/>
      </c>
      <c r="F16" s="33">
        <f>F13+F14+F15</f>
        <v/>
      </c>
      <c r="G16" s="33">
        <f>G13+G14+G15</f>
        <v/>
      </c>
      <c r="H16" s="33">
        <f>H13+H14+H15</f>
        <v/>
      </c>
      <c r="I16" s="33">
        <f>I13+I14+I15</f>
        <v/>
      </c>
      <c r="J16" s="33">
        <f>J13+J14+J15</f>
        <v/>
      </c>
      <c r="K16" s="33">
        <f>K13+K14+K15</f>
        <v/>
      </c>
      <c r="L16" s="33">
        <f>L13+L14+L15</f>
        <v/>
      </c>
      <c r="M16" s="33">
        <f>M13+M14+M15</f>
        <v/>
      </c>
      <c r="N16" s="33">
        <f>N13+N14+N15</f>
        <v/>
      </c>
      <c r="O16" s="33">
        <f>SUM(C16:N16)</f>
        <v/>
      </c>
    </row>
    <row r="17">
      <c r="B17" s="11" t="inlineStr">
        <is>
          <t>売上総利益</t>
        </is>
      </c>
      <c r="C17" s="21">
        <f>C11-C16</f>
        <v/>
      </c>
      <c r="D17" s="21">
        <f>D11-D16</f>
        <v/>
      </c>
      <c r="E17" s="21">
        <f>E11-E16</f>
        <v/>
      </c>
      <c r="F17" s="21">
        <f>F11-F16</f>
        <v/>
      </c>
      <c r="G17" s="21">
        <f>G11-G16</f>
        <v/>
      </c>
      <c r="H17" s="21">
        <f>H11-H16</f>
        <v/>
      </c>
      <c r="I17" s="21">
        <f>I11-I16</f>
        <v/>
      </c>
      <c r="J17" s="21">
        <f>J11-J16</f>
        <v/>
      </c>
      <c r="K17" s="21">
        <f>K11-K16</f>
        <v/>
      </c>
      <c r="L17" s="21">
        <f>L11-L16</f>
        <v/>
      </c>
      <c r="M17" s="21">
        <f>M11-M16</f>
        <v/>
      </c>
      <c r="N17" s="21">
        <f>N11-N16</f>
        <v/>
      </c>
      <c r="O17" s="21">
        <f>SUM(C17:N17)</f>
        <v/>
      </c>
    </row>
    <row r="18">
      <c r="B18" s="9" t="inlineStr">
        <is>
          <t xml:space="preserve">　粗利率</t>
        </is>
      </c>
      <c r="C18" s="17">
        <f>IF(C11=0,0,C17/C11)</f>
        <v/>
      </c>
      <c r="D18" s="17">
        <f>IF(D11=0,0,D17/D11)</f>
        <v/>
      </c>
      <c r="E18" s="17">
        <f>IF(E11=0,0,E17/E11)</f>
        <v/>
      </c>
      <c r="F18" s="17">
        <f>IF(F11=0,0,F17/F11)</f>
        <v/>
      </c>
      <c r="G18" s="17">
        <f>IF(G11=0,0,G17/G11)</f>
        <v/>
      </c>
      <c r="H18" s="17">
        <f>IF(H11=0,0,H17/H11)</f>
        <v/>
      </c>
      <c r="I18" s="17">
        <f>IF(I11=0,0,I17/I11)</f>
        <v/>
      </c>
      <c r="J18" s="17">
        <f>IF(J11=0,0,J17/J11)</f>
        <v/>
      </c>
      <c r="K18" s="17">
        <f>IF(K11=0,0,K17/K11)</f>
        <v/>
      </c>
      <c r="L18" s="17">
        <f>IF(L11=0,0,L17/L11)</f>
        <v/>
      </c>
      <c r="M18" s="17">
        <f>IF(M11=0,0,M17/M11)</f>
        <v/>
      </c>
      <c r="N18" s="17">
        <f>IF(N11=0,0,N17/N11)</f>
        <v/>
      </c>
      <c r="O18" s="34">
        <f>O17/O11</f>
        <v/>
      </c>
    </row>
    <row r="19">
      <c r="B19" s="28" t="inlineStr">
        <is>
          <t>【販売費及び一般管理費】</t>
        </is>
      </c>
      <c r="C19" s="29" t="n"/>
      <c r="D19" s="29" t="n"/>
      <c r="E19" s="29" t="n"/>
      <c r="F19" s="29" t="n"/>
      <c r="G19" s="29" t="n"/>
      <c r="H19" s="29" t="n"/>
      <c r="I19" s="29" t="n"/>
      <c r="J19" s="29" t="n"/>
      <c r="K19" s="29" t="n"/>
      <c r="L19" s="29" t="n"/>
      <c r="M19" s="29" t="n"/>
      <c r="N19" s="29" t="n"/>
      <c r="O19" s="29" t="n"/>
    </row>
    <row r="20">
      <c r="B20" s="9" t="inlineStr">
        <is>
          <t>販管費</t>
        </is>
      </c>
      <c r="C20" s="30" t="n">
        <v>25364892</v>
      </c>
      <c r="D20" s="30" t="n">
        <v>30953282</v>
      </c>
      <c r="E20" s="30" t="n">
        <v>38562456</v>
      </c>
      <c r="F20" s="30" t="n">
        <v>33751779</v>
      </c>
      <c r="G20" s="30" t="n">
        <v>34123901</v>
      </c>
      <c r="H20" s="30" t="n">
        <v>38727868</v>
      </c>
      <c r="I20" s="30" t="n">
        <v>26296530</v>
      </c>
      <c r="J20" s="30" t="n">
        <v>25207614</v>
      </c>
      <c r="K20" s="30" t="n">
        <v>26797697</v>
      </c>
      <c r="L20" s="30" t="n">
        <v>24196173</v>
      </c>
      <c r="M20" s="31">
        <f>'③前提'!$C$7</f>
        <v/>
      </c>
      <c r="N20" s="31">
        <f>'③前提'!$C$8</f>
        <v/>
      </c>
      <c r="O20" s="8">
        <f>SUM(C20:N20)</f>
        <v/>
      </c>
    </row>
    <row r="21">
      <c r="B21" s="9" t="inlineStr">
        <is>
          <t xml:space="preserve">　7月末までの修正（戻し）</t>
        </is>
      </c>
      <c r="C21" s="30" t="n">
        <v>0</v>
      </c>
      <c r="D21" s="30" t="n">
        <v>0</v>
      </c>
      <c r="E21" s="30" t="n">
        <v>0</v>
      </c>
      <c r="F21" s="30" t="n">
        <v>0</v>
      </c>
      <c r="G21" s="30" t="n">
        <v>0</v>
      </c>
      <c r="H21" s="30" t="n">
        <v>0</v>
      </c>
      <c r="I21" s="30" t="n">
        <v>0</v>
      </c>
      <c r="J21" s="30" t="n">
        <v>0</v>
      </c>
      <c r="K21" s="30" t="n">
        <v>0</v>
      </c>
      <c r="L21" s="30" t="n">
        <v>0</v>
      </c>
      <c r="M21" s="31">
        <f>-IF('③前提'!$C$16=8,'③前提'!$C$15,0)</f>
        <v/>
      </c>
      <c r="N21" s="31">
        <f>-IF('③前提'!$C$16=9,'③前提'!$C$15,0)</f>
        <v/>
      </c>
      <c r="O21" s="8">
        <f>SUM(C21:N21)</f>
        <v/>
      </c>
    </row>
    <row r="22">
      <c r="B22" s="32" t="inlineStr">
        <is>
          <t>販管費 計</t>
        </is>
      </c>
      <c r="C22" s="33">
        <f>C20+C21</f>
        <v/>
      </c>
      <c r="D22" s="33">
        <f>D20+D21</f>
        <v/>
      </c>
      <c r="E22" s="33">
        <f>E20+E21</f>
        <v/>
      </c>
      <c r="F22" s="33">
        <f>F20+F21</f>
        <v/>
      </c>
      <c r="G22" s="33">
        <f>G20+G21</f>
        <v/>
      </c>
      <c r="H22" s="33">
        <f>H20+H21</f>
        <v/>
      </c>
      <c r="I22" s="33">
        <f>I20+I21</f>
        <v/>
      </c>
      <c r="J22" s="33">
        <f>J20+J21</f>
        <v/>
      </c>
      <c r="K22" s="33">
        <f>K20+K21</f>
        <v/>
      </c>
      <c r="L22" s="33">
        <f>L20+L21</f>
        <v/>
      </c>
      <c r="M22" s="33">
        <f>M20+M21</f>
        <v/>
      </c>
      <c r="N22" s="33">
        <f>N20+N21</f>
        <v/>
      </c>
      <c r="O22" s="33">
        <f>SUM(C22:N22)</f>
        <v/>
      </c>
    </row>
    <row r="23">
      <c r="B23" s="19" t="inlineStr">
        <is>
          <t>営業利益</t>
        </is>
      </c>
      <c r="C23" s="13">
        <f>C17-C22</f>
        <v/>
      </c>
      <c r="D23" s="13">
        <f>D17-D22</f>
        <v/>
      </c>
      <c r="E23" s="13">
        <f>E17-E22</f>
        <v/>
      </c>
      <c r="F23" s="13">
        <f>F17-F22</f>
        <v/>
      </c>
      <c r="G23" s="13">
        <f>G17-G22</f>
        <v/>
      </c>
      <c r="H23" s="13">
        <f>H17-H22</f>
        <v/>
      </c>
      <c r="I23" s="13">
        <f>I17-I22</f>
        <v/>
      </c>
      <c r="J23" s="13">
        <f>J17-J22</f>
        <v/>
      </c>
      <c r="K23" s="13">
        <f>K17-K22</f>
        <v/>
      </c>
      <c r="L23" s="13">
        <f>L17-L22</f>
        <v/>
      </c>
      <c r="M23" s="13">
        <f>M17-M22</f>
        <v/>
      </c>
      <c r="N23" s="13">
        <f>N17-N22</f>
        <v/>
      </c>
      <c r="O23" s="13">
        <f>SUM(C23:N23)</f>
        <v/>
      </c>
    </row>
    <row r="24">
      <c r="B24" s="9" t="inlineStr">
        <is>
          <t>営業外収益</t>
        </is>
      </c>
      <c r="C24" s="30" t="n">
        <v>240000</v>
      </c>
      <c r="D24" s="30" t="n">
        <v>0</v>
      </c>
      <c r="E24" s="30" t="n">
        <v>74699</v>
      </c>
      <c r="F24" s="30" t="n">
        <v>978</v>
      </c>
      <c r="G24" s="30" t="n">
        <v>41468</v>
      </c>
      <c r="H24" s="30" t="n">
        <v>0</v>
      </c>
      <c r="I24" s="30" t="n">
        <v>0</v>
      </c>
      <c r="J24" s="30" t="n">
        <v>0</v>
      </c>
      <c r="K24" s="30" t="n">
        <v>0</v>
      </c>
      <c r="L24" s="30" t="n">
        <v>0</v>
      </c>
      <c r="M24" s="31" t="n">
        <v>0</v>
      </c>
      <c r="N24" s="31" t="n">
        <v>0</v>
      </c>
      <c r="O24" s="8">
        <f>SUM(C24:N24)</f>
        <v/>
      </c>
    </row>
    <row r="25">
      <c r="B25" s="9" t="inlineStr">
        <is>
          <t>営業外費用</t>
        </is>
      </c>
      <c r="C25" s="30" t="n">
        <v>666707</v>
      </c>
      <c r="D25" s="30" t="n">
        <v>638316</v>
      </c>
      <c r="E25" s="30" t="n">
        <v>671047</v>
      </c>
      <c r="F25" s="30" t="n">
        <v>561216</v>
      </c>
      <c r="G25" s="30" t="n">
        <v>1440650</v>
      </c>
      <c r="H25" s="30" t="n">
        <v>1060679</v>
      </c>
      <c r="I25" s="30" t="n">
        <v>1243705</v>
      </c>
      <c r="J25" s="30" t="n">
        <v>989178</v>
      </c>
      <c r="K25" s="30" t="n">
        <v>1686733</v>
      </c>
      <c r="L25" s="30" t="n">
        <v>1373329</v>
      </c>
      <c r="M25" s="31">
        <f>'③前提'!$C$9</f>
        <v/>
      </c>
      <c r="N25" s="31">
        <f>'③前提'!$C$10</f>
        <v/>
      </c>
      <c r="O25" s="8">
        <f>SUM(C25:N25)</f>
        <v/>
      </c>
    </row>
    <row r="26">
      <c r="B26" s="19" t="inlineStr">
        <is>
          <t>経常利益</t>
        </is>
      </c>
      <c r="C26" s="13">
        <f>C23+C24-C25</f>
        <v/>
      </c>
      <c r="D26" s="13">
        <f>D23+D24-D25</f>
        <v/>
      </c>
      <c r="E26" s="13">
        <f>E23+E24-E25</f>
        <v/>
      </c>
      <c r="F26" s="13">
        <f>F23+F24-F25</f>
        <v/>
      </c>
      <c r="G26" s="13">
        <f>G23+G24-G25</f>
        <v/>
      </c>
      <c r="H26" s="13">
        <f>H23+H24-H25</f>
        <v/>
      </c>
      <c r="I26" s="13">
        <f>I23+I24-I25</f>
        <v/>
      </c>
      <c r="J26" s="13">
        <f>J23+J24-J25</f>
        <v/>
      </c>
      <c r="K26" s="13">
        <f>K23+K24-K25</f>
        <v/>
      </c>
      <c r="L26" s="13">
        <f>L23+L24-L25</f>
        <v/>
      </c>
      <c r="M26" s="13">
        <f>M23+M24-M25</f>
        <v/>
      </c>
      <c r="N26" s="13">
        <f>N23+N24-N25</f>
        <v/>
      </c>
      <c r="O26" s="13">
        <f>SUM(C26:N26)</f>
        <v/>
      </c>
    </row>
    <row r="28">
      <c r="B28" s="6" t="inlineStr">
        <is>
          <t>営業利益 累計</t>
        </is>
      </c>
      <c r="C28" s="35">
        <f>C23</f>
        <v/>
      </c>
      <c r="D28" s="35">
        <f>C28+D23</f>
        <v/>
      </c>
      <c r="E28" s="35">
        <f>D28+E23</f>
        <v/>
      </c>
      <c r="F28" s="35">
        <f>E28+F23</f>
        <v/>
      </c>
      <c r="G28" s="35">
        <f>F28+G23</f>
        <v/>
      </c>
      <c r="H28" s="35">
        <f>G28+H23</f>
        <v/>
      </c>
      <c r="I28" s="35">
        <f>H28+I23</f>
        <v/>
      </c>
      <c r="J28" s="35">
        <f>I28+J23</f>
        <v/>
      </c>
      <c r="K28" s="35">
        <f>J28+K23</f>
        <v/>
      </c>
      <c r="L28" s="35">
        <f>K28+L23</f>
        <v/>
      </c>
      <c r="M28" s="35">
        <f>L28+M23</f>
        <v/>
      </c>
      <c r="N28" s="35">
        <f>M28+N23</f>
        <v/>
      </c>
    </row>
    <row r="29">
      <c r="B29" s="6" t="inlineStr">
        <is>
          <t>経常利益 累計</t>
        </is>
      </c>
      <c r="C29" s="35">
        <f>C26</f>
        <v/>
      </c>
      <c r="D29" s="35">
        <f>C29+D26</f>
        <v/>
      </c>
      <c r="E29" s="35">
        <f>D29+E26</f>
        <v/>
      </c>
      <c r="F29" s="35">
        <f>E29+F26</f>
        <v/>
      </c>
      <c r="G29" s="35">
        <f>F29+G26</f>
        <v/>
      </c>
      <c r="H29" s="35">
        <f>G29+H26</f>
        <v/>
      </c>
      <c r="I29" s="35">
        <f>H29+I26</f>
        <v/>
      </c>
      <c r="J29" s="35">
        <f>I29+J26</f>
        <v/>
      </c>
      <c r="K29" s="35">
        <f>J29+K26</f>
        <v/>
      </c>
      <c r="L29" s="35">
        <f>K29+L26</f>
        <v/>
      </c>
      <c r="M29" s="35">
        <f>L29+M26</f>
        <v/>
      </c>
      <c r="N29" s="35">
        <f>M29+N26</f>
        <v/>
      </c>
    </row>
    <row r="31">
      <c r="B31" s="14" t="inlineStr">
        <is>
          <t>※2026/08-09の売上原価は「営業利益トントン」の前提から逆算（売上総利益＝販管費）。</t>
        </is>
      </c>
    </row>
    <row r="32">
      <c r="B32" s="14" t="inlineStr">
        <is>
          <t>※上乗せ4件はすべて2026/09に計上。売上330,000,000円・原価225,000,000円・粗利105,000,000円。</t>
        </is>
      </c>
    </row>
    <row r="33">
      <c r="B33" s="14" t="inlineStr">
        <is>
          <t>※「7月末までの修正（戻し）」は販管費の減少として2026年8月に計上（貴社ご指定）。</t>
        </is>
      </c>
    </row>
    <row r="34">
      <c r="B34" s="14" t="inlineStr">
        <is>
          <t>※私募のうち3億円は現物出資のため売上を計上せず、粗利30,000,000円を売上原価のマイナスとして計上しています。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
  <sheetViews>
    <sheetView showGridLines="0" workbookViewId="0">
      <selection activeCell="A1" sqref="A1"/>
    </sheetView>
  </sheetViews>
  <sheetFormatPr baseColWidth="8" defaultRowHeight="15"/>
  <cols>
    <col width="3" customWidth="1" min="1" max="1"/>
    <col width="32" customWidth="1" min="2" max="2"/>
    <col width="18" customWidth="1" min="3" max="3"/>
    <col width="18" customWidth="1" min="4" max="4"/>
    <col width="18" customWidth="1" min="5" max="5"/>
    <col width="18" customWidth="1" min="6" max="6"/>
    <col width="3" customWidth="1" min="7" max="7"/>
  </cols>
  <sheetData>
    <row r="1">
      <c r="B1" s="1" t="inlineStr">
        <is>
          <t>8月・9月の既存事業 売上レンジ別の着地</t>
        </is>
      </c>
    </row>
    <row r="2">
      <c r="B2" s="14" t="inlineStr">
        <is>
          <t>営業利益トントンの前提のため、売上が変わっても営業利益・経常利益は変わりません。</t>
        </is>
      </c>
    </row>
    <row r="4">
      <c r="B4" s="3" t="inlineStr">
        <is>
          <t>【1】売上レンジ別</t>
        </is>
      </c>
      <c r="C4" s="4" t="n"/>
      <c r="D4" s="4" t="n"/>
      <c r="E4" s="4" t="n"/>
    </row>
    <row r="5">
      <c r="B5" s="5" t="inlineStr">
        <is>
          <t>8-9月 既存売上</t>
        </is>
      </c>
      <c r="C5" s="5" t="inlineStr">
        <is>
          <t>通期 売上高</t>
        </is>
      </c>
      <c r="D5" s="5" t="inlineStr">
        <is>
          <t>通期 粗利率</t>
        </is>
      </c>
      <c r="E5" s="5" t="inlineStr">
        <is>
          <t>通期 営業利益</t>
        </is>
      </c>
      <c r="F5" s="5" t="inlineStr">
        <is>
          <t>通期 経常利益</t>
        </is>
      </c>
    </row>
    <row r="6">
      <c r="B6" s="18" t="n">
        <v>110000000</v>
      </c>
      <c r="C6" s="7">
        <f>SUM('②月次推移表'!C11:L11)+B6+'③前提'!$C$20+'③前提'!$C$21+'③前提'!$C$22+'③前提'!$C$23</f>
        <v/>
      </c>
      <c r="D6" s="17">
        <f>(SUM('②月次推移表'!C17:L17)+'③前提'!$C$7+'③前提'!$C$8+'③前提'!$D$24)/C6</f>
        <v/>
      </c>
      <c r="E6" s="7">
        <f>'①着地予想'!E17</f>
        <v/>
      </c>
      <c r="F6" s="7">
        <f>'①着地予想'!E20</f>
        <v/>
      </c>
    </row>
    <row r="7">
      <c r="B7" s="36" t="n">
        <v>115000000</v>
      </c>
      <c r="C7" s="21">
        <f>SUM('②月次推移表'!C11:L11)+B7+'③前提'!$C$20+'③前提'!$C$21+'③前提'!$C$22+'③前提'!$C$23</f>
        <v/>
      </c>
      <c r="D7" s="37">
        <f>(SUM('②月次推移表'!C17:L17)+'③前提'!$C$7+'③前提'!$C$8+'③前提'!$D$24)/C7</f>
        <v/>
      </c>
      <c r="E7" s="21">
        <f>'①着地予想'!E17</f>
        <v/>
      </c>
      <c r="F7" s="21">
        <f>'①着地予想'!E20</f>
        <v/>
      </c>
    </row>
    <row r="8">
      <c r="B8" s="18" t="n">
        <v>120000000</v>
      </c>
      <c r="C8" s="7">
        <f>SUM('②月次推移表'!C11:L11)+B8+'③前提'!$C$20+'③前提'!$C$21+'③前提'!$C$22+'③前提'!$C$23</f>
        <v/>
      </c>
      <c r="D8" s="17">
        <f>(SUM('②月次推移表'!C17:L17)+'③前提'!$C$7+'③前提'!$C$8+'③前提'!$D$24)/C8</f>
        <v/>
      </c>
      <c r="E8" s="7">
        <f>'①着地予想'!E17</f>
        <v/>
      </c>
      <c r="F8" s="7">
        <f>'①着地予想'!E20</f>
        <v/>
      </c>
    </row>
    <row r="10">
      <c r="B10" s="2" t="inlineStr">
        <is>
          <t>※中央値115百万円が②月次推移表の設定値です（8月・9月に折半）。</t>
        </is>
      </c>
    </row>
    <row r="11">
      <c r="B11" s="14" t="inlineStr">
        <is>
          <t>※営業利益・経常利益が一定なのは、粗利＝販管費とする「トントン」前提の必然です。売上が伸びれば粗利率が下がる形で調整されます。</t>
        </is>
      </c>
    </row>
    <row r="12">
      <c r="B12" s="14" t="inlineStr">
        <is>
          <t>※8-9月に営業利益を出せる見込みがあれば、その分だけ着地は上振れします。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39"/>
  <sheetViews>
    <sheetView showGridLines="0" workbookViewId="0">
      <selection activeCell="A1" sqref="A1"/>
    </sheetView>
  </sheetViews>
  <sheetFormatPr baseColWidth="8" defaultRowHeight="15"/>
  <cols>
    <col width="3" customWidth="1" min="1" max="1"/>
    <col width="44" customWidth="1" min="2" max="2"/>
    <col width="20" customWidth="1" min="3" max="3"/>
    <col width="20" customWidth="1" min="4" max="4"/>
    <col width="58" customWidth="1" min="5" max="5"/>
    <col width="2" customWidth="1" min="6" max="6"/>
  </cols>
  <sheetData>
    <row r="1">
      <c r="B1" s="1" t="inlineStr">
        <is>
          <t>添付ファイル（損益計算書 月次推移 2025/10-2026/07）の検証</t>
        </is>
      </c>
    </row>
    <row r="2">
      <c r="B2" s="2" t="inlineStr">
        <is>
          <t>合計欄と月次の積み上げ、各月の内部整合、棚卸高の連続性を確認しました。</t>
        </is>
      </c>
    </row>
    <row r="4">
      <c r="B4" s="3" t="inlineStr">
        <is>
          <t>【1】合計欄と月次積み上げの照合</t>
        </is>
      </c>
      <c r="C4" s="4" t="n"/>
      <c r="D4" s="4" t="n"/>
      <c r="E4" s="4" t="n"/>
    </row>
    <row r="5">
      <c r="B5" s="5" t="inlineStr">
        <is>
          <t>項目</t>
        </is>
      </c>
      <c r="C5" s="5" t="inlineStr">
        <is>
          <t>月次の積み上げ</t>
        </is>
      </c>
      <c r="D5" s="5" t="inlineStr">
        <is>
          <t>報告書の合計欄</t>
        </is>
      </c>
      <c r="E5" s="5" t="inlineStr">
        <is>
          <t>判定</t>
        </is>
      </c>
    </row>
    <row r="6">
      <c r="B6" s="9" t="inlineStr">
        <is>
          <t>売上高</t>
        </is>
      </c>
      <c r="C6" s="10" t="n">
        <v>444914185</v>
      </c>
      <c r="D6" s="10" t="n">
        <v>444914185</v>
      </c>
      <c r="E6" s="6">
        <f>IF(C6=D6,"一致","差異 "&amp;TEXT(C6-D6,"#,##0"))</f>
        <v/>
      </c>
    </row>
    <row r="7">
      <c r="B7" s="9" t="inlineStr">
        <is>
          <t>売上原価</t>
        </is>
      </c>
      <c r="C7" s="10" t="n">
        <v>252912579</v>
      </c>
      <c r="D7" s="10" t="n">
        <v>252912579</v>
      </c>
      <c r="E7" s="6">
        <f>IF(C7=D7,"一致","差異 "&amp;TEXT(C7-D7,"#,##0"))</f>
        <v/>
      </c>
    </row>
    <row r="8">
      <c r="B8" s="9" t="inlineStr">
        <is>
          <t>売上総利益</t>
        </is>
      </c>
      <c r="C8" s="10" t="n">
        <v>192001606</v>
      </c>
      <c r="D8" s="10" t="n">
        <v>192001606</v>
      </c>
      <c r="E8" s="6">
        <f>IF(C8=D8,"一致","差異 "&amp;TEXT(C8-D8,"#,##0"))</f>
        <v/>
      </c>
    </row>
    <row r="9">
      <c r="B9" s="9" t="inlineStr">
        <is>
          <t>販管費</t>
        </is>
      </c>
      <c r="C9" s="10" t="n">
        <v>303982192</v>
      </c>
      <c r="D9" s="10" t="n">
        <v>303982192</v>
      </c>
      <c r="E9" s="6">
        <f>IF(C9=D9,"一致","差異 "&amp;TEXT(C9-D9,"#,##0"))</f>
        <v/>
      </c>
    </row>
    <row r="10">
      <c r="B10" s="9" t="inlineStr">
        <is>
          <t>営業利益</t>
        </is>
      </c>
      <c r="C10" s="10" t="n">
        <v>-111980586</v>
      </c>
      <c r="D10" s="10" t="n">
        <v>-111980586</v>
      </c>
      <c r="E10" s="6">
        <f>IF(C10=D10,"一致","差異 "&amp;TEXT(C10-D10,"#,##0"))</f>
        <v/>
      </c>
    </row>
    <row r="11">
      <c r="B11" s="9" t="inlineStr">
        <is>
          <t>営業外収益</t>
        </is>
      </c>
      <c r="C11" s="10" t="n">
        <v>357145</v>
      </c>
      <c r="D11" s="10" t="n">
        <v>357145</v>
      </c>
      <c r="E11" s="6">
        <f>IF(C11=D11,"一致","差異 "&amp;TEXT(C11-D11,"#,##0"))</f>
        <v/>
      </c>
    </row>
    <row r="12">
      <c r="B12" s="9" t="inlineStr">
        <is>
          <t>営業外費用</t>
        </is>
      </c>
      <c r="C12" s="10" t="n">
        <v>10331560</v>
      </c>
      <c r="D12" s="10" t="n">
        <v>10331560</v>
      </c>
      <c r="E12" s="6">
        <f>IF(C12=D12,"一致","差異 "&amp;TEXT(C12-D12,"#,##0"))</f>
        <v/>
      </c>
    </row>
    <row r="13">
      <c r="B13" s="9" t="inlineStr">
        <is>
          <t>経常利益</t>
        </is>
      </c>
      <c r="C13" s="10" t="n">
        <v>-121955001</v>
      </c>
      <c r="D13" s="10" t="n">
        <v>-121955001</v>
      </c>
      <c r="E13" s="6">
        <f>IF(C13=D13,"一致","差異 "&amp;TEXT(C13-D13,"#,##0"))</f>
        <v/>
      </c>
    </row>
    <row r="14">
      <c r="B14" s="9" t="inlineStr">
        <is>
          <t>商品仕入高</t>
        </is>
      </c>
      <c r="C14" s="10" t="n">
        <v>469514545</v>
      </c>
      <c r="D14" s="10" t="n">
        <v>469514545</v>
      </c>
      <c r="E14" s="6">
        <f>IF(C14=D14,"一致","差異 "&amp;TEXT(C14-D14,"#,##0"))</f>
        <v/>
      </c>
    </row>
    <row r="15">
      <c r="B15" s="9" t="inlineStr">
        <is>
          <t>賄費戻り金</t>
        </is>
      </c>
      <c r="C15" s="10" t="n">
        <v>-417040</v>
      </c>
      <c r="D15" s="10" t="n">
        <v>-417040</v>
      </c>
      <c r="E15" s="6">
        <f>IF(C15=D15,"一致","差異 "&amp;TEXT(C15-D15,"#,##0"))</f>
        <v/>
      </c>
    </row>
    <row r="17">
      <c r="B17" s="3" t="inlineStr">
        <is>
          <t>【2】各月の内部整合（全10か月）</t>
        </is>
      </c>
      <c r="C17" s="4" t="n"/>
      <c r="D17" s="4" t="n"/>
      <c r="E17" s="4" t="n"/>
    </row>
    <row r="18">
      <c r="B18" s="9" t="inlineStr">
        <is>
          <t>売上総利益 ＝ 売上高 − 売上原価</t>
        </is>
      </c>
      <c r="C18" s="6" t="inlineStr">
        <is>
          <t>全10か月で一致</t>
        </is>
      </c>
    </row>
    <row r="19">
      <c r="B19" s="9" t="inlineStr">
        <is>
          <t>営業利益 ＝ 売上総利益 − 販管費</t>
        </is>
      </c>
      <c r="C19" s="6" t="inlineStr">
        <is>
          <t>全10か月で一致</t>
        </is>
      </c>
    </row>
    <row r="20">
      <c r="B20" s="9" t="inlineStr">
        <is>
          <t>経常利益 ＝ 営業利益 ＋ 営業外収益 − 営業外費用</t>
        </is>
      </c>
      <c r="C20" s="6" t="inlineStr">
        <is>
          <t>全10か月で一致</t>
        </is>
      </c>
    </row>
    <row r="21">
      <c r="B21" s="9" t="inlineStr">
        <is>
          <t>売上原価 ＝ 期首棚卸 ＋ 仕入 ＋ 賄費戻り金 − 期末棚卸</t>
        </is>
      </c>
      <c r="C21" s="6" t="inlineStr">
        <is>
          <t>全10か月で一致</t>
        </is>
      </c>
    </row>
    <row r="22">
      <c r="B22" s="9" t="inlineStr">
        <is>
          <t>売上高 ＝ 内訳7科目の合計</t>
        </is>
      </c>
      <c r="C22" s="6" t="inlineStr">
        <is>
          <t>全10か月で一致</t>
        </is>
      </c>
    </row>
    <row r="23">
      <c r="B23" s="9" t="inlineStr">
        <is>
          <t>税引前 ＝ 経常利益 − 特別損失900,000（和解金）</t>
        </is>
      </c>
      <c r="C23" s="6" t="inlineStr">
        <is>
          <t>一致。特別利益は0</t>
        </is>
      </c>
    </row>
    <row r="25">
      <c r="B25" s="3" t="inlineStr">
        <is>
          <t>【3】確認が必要な点　※棚卸高の連続性</t>
        </is>
      </c>
      <c r="C25" s="4" t="n"/>
      <c r="D25" s="4" t="n"/>
      <c r="E25" s="4" t="n"/>
    </row>
    <row r="26">
      <c r="B26" s="5" t="inlineStr"/>
      <c r="C26" s="5" t="inlineStr">
        <is>
          <t>前月末 棚卸高</t>
        </is>
      </c>
      <c r="D26" s="5" t="inlineStr">
        <is>
          <t>当月首 棚卸高</t>
        </is>
      </c>
      <c r="E26" s="5" t="inlineStr">
        <is>
          <t>差異</t>
        </is>
      </c>
    </row>
    <row r="27">
      <c r="B27" s="9" t="inlineStr">
        <is>
          <t>2025/10末 → 2025/11首</t>
        </is>
      </c>
      <c r="C27" s="10" t="n">
        <v>508671841</v>
      </c>
      <c r="D27" s="10" t="n">
        <v>513186113</v>
      </c>
      <c r="E27" s="38" t="n">
        <v>4514272</v>
      </c>
    </row>
    <row r="28">
      <c r="B28" s="9" t="inlineStr">
        <is>
          <t>2026/02末 → 2026/03首</t>
        </is>
      </c>
      <c r="C28" s="10" t="n">
        <v>605126013</v>
      </c>
      <c r="D28" s="10" t="n">
        <v>604529401</v>
      </c>
      <c r="E28" s="38" t="n">
        <v>-596612</v>
      </c>
    </row>
    <row r="29">
      <c r="B29" s="15" t="inlineStr">
        <is>
          <t>純額</t>
        </is>
      </c>
      <c r="E29" s="13" t="n">
        <v>3917660</v>
      </c>
    </row>
    <row r="31">
      <c r="B31" s="14" t="inlineStr">
        <is>
          <t>※月をまたぐ棚卸高が2か所で一致していません（洗い替えと思われます）。各月の売上原価は月内で整合しているため、</t>
        </is>
      </c>
    </row>
    <row r="32">
      <c r="B32" s="14" t="inlineStr">
        <is>
          <t xml:space="preserve">　通期の売上原価252,912,579円は月次の積み上げとしては正しい数値です。</t>
        </is>
      </c>
    </row>
    <row r="33">
      <c r="B33" s="14" t="inlineStr">
        <is>
          <t>※一方、期首501,059,742円・期末721,162,328円と仕入469,514,545円から逆算すると売上原価は248,994,919円となり、</t>
        </is>
      </c>
    </row>
    <row r="34">
      <c r="B34" s="14" t="inlineStr">
        <is>
          <t xml:space="preserve">　報告値との差3,917,660円は上記2件の純額と完全に一致します。通期の在庫増減を使って検算する際はご注意ください。</t>
        </is>
      </c>
    </row>
    <row r="35">
      <c r="B35" s="14" t="inlineStr">
        <is>
          <t>※商品在庫は10か月で501.1百万円→721.2百万円と220.1百万円増えています。FY2027の期首在庫に直結する論点です。</t>
        </is>
      </c>
    </row>
    <row r="37">
      <c r="B37" s="3" t="inlineStr">
        <is>
          <t>【4】転記時に判明した点</t>
        </is>
      </c>
      <c r="C37" s="4" t="n"/>
      <c r="D37" s="4" t="n"/>
      <c r="E37" s="4" t="n"/>
    </row>
    <row r="38">
      <c r="B38" s="14" t="inlineStr">
        <is>
          <t>※2026/04の売上高を32,501,576円と読むと内訳合計および売上総利益と6,000円ずれます。32,507,576円が正しい数値です。</t>
        </is>
      </c>
    </row>
    <row r="39">
      <c r="B39" s="14" t="inlineStr">
        <is>
          <t>※和解金900,000円は特別損失であり、特別利益は0です（税引前当期純利益▲122,855,001円と整合）。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2026-09-20T09:56:07Z</dcterms:created>
  <dcterms:modified xmlns:dcterms="http://purl.org/dc/terms/" xmlns:xsi="http://www.w3.org/2001/XMLSchema-instance" xsi:type="dcterms:W3CDTF">2026-09-20T09:56:07Z</dcterms:modified>
</cp:coreProperties>
</file>