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サマリー" sheetId="1" state="visible" r:id="rId1"/>
    <sheet name="②前提" sheetId="2" state="visible" r:id="rId2"/>
    <sheet name="③月次推移表" sheetId="3" state="visible" r:id="rId3"/>
    <sheet name="④仕入・在庫計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-"/>
    <numFmt numFmtId="165" formatCode="0.0%"/>
  </numFmts>
  <fonts count="11">
    <font>
      <name val="Calibri"/>
      <family val="2"/>
      <color theme="1"/>
      <sz val="11"/>
      <scheme val="minor"/>
    </font>
    <font>
      <name val="メイリオ"/>
      <b val="1"/>
      <sz val="15"/>
    </font>
    <font>
      <name val="メイリオ"/>
      <color rgb="008C8C8C"/>
      <sz val="9"/>
    </font>
    <font>
      <name val="メイリオ"/>
      <b val="1"/>
      <color rgb="00FFFFFF"/>
    </font>
    <font>
      <name val="メイリオ"/>
    </font>
    <font>
      <name val="メイリオ"/>
      <b val="1"/>
      <color rgb="008A6A24"/>
    </font>
    <font>
      <name val="メイリオ"/>
      <b val="1"/>
    </font>
    <font>
      <name val="メイリオ"/>
      <color rgb="00333333"/>
      <sz val="9"/>
    </font>
    <font>
      <name val="メイリオ"/>
      <color rgb="00595959"/>
    </font>
    <font>
      <name val="メイリオ"/>
      <b val="1"/>
      <sz val="14"/>
    </font>
    <font>
      <name val="メイリオ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3E2"/>
      </patternFill>
    </fill>
    <fill>
      <patternFill patternType="solid">
        <fgColor rgb="00F7F6F3"/>
      </patternFill>
    </fill>
    <fill>
      <patternFill patternType="solid">
        <fgColor rgb="00F4EDDC"/>
      </patternFill>
    </fill>
    <fill>
      <patternFill patternType="solid">
        <fgColor rgb="00F2F1EE"/>
      </patternFill>
    </fill>
    <fill>
      <patternFill patternType="solid">
        <fgColor rgb="00EFEEE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>
        <color rgb="001A1A1A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0" fontId="6" fillId="4" borderId="1" pivotButton="0" quotePrefix="0" xfId="0"/>
    <xf numFmtId="164" fontId="6" fillId="4" borderId="1" pivotButton="0" quotePrefix="0" xfId="0"/>
    <xf numFmtId="0" fontId="2" fillId="4" borderId="1" pivotButton="0" quotePrefix="0" xfId="0"/>
    <xf numFmtId="165" fontId="4" fillId="0" borderId="0" pivotButton="0" quotePrefix="0" xfId="0"/>
    <xf numFmtId="0" fontId="6" fillId="5" borderId="1" pivotButton="0" quotePrefix="0" xfId="0"/>
    <xf numFmtId="164" fontId="6" fillId="5" borderId="1" pivotButton="0" quotePrefix="0" xfId="0"/>
    <xf numFmtId="0" fontId="2" fillId="5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center"/>
    </xf>
    <xf numFmtId="164" fontId="5" fillId="3" borderId="0" pivotButton="0" quotePrefix="0" xfId="0"/>
    <xf numFmtId="164" fontId="6" fillId="4" borderId="0" pivotButton="0" quotePrefix="0" xfId="0"/>
    <xf numFmtId="0" fontId="6" fillId="0" borderId="0" pivotButton="0" quotePrefix="0" xfId="0"/>
    <xf numFmtId="164" fontId="6" fillId="5" borderId="0" pivotButton="0" quotePrefix="0" xfId="0"/>
    <xf numFmtId="0" fontId="7" fillId="0" borderId="0" pivotButton="0" quotePrefix="0" xfId="0"/>
    <xf numFmtId="1" fontId="5" fillId="3" borderId="0" pivotButton="0" quotePrefix="0" xfId="0"/>
    <xf numFmtId="0" fontId="6" fillId="0" borderId="1" pivotButton="0" quotePrefix="0" xfId="0"/>
    <xf numFmtId="0" fontId="7" fillId="0" borderId="0" applyAlignment="1" pivotButton="0" quotePrefix="0" xfId="0">
      <alignment vertical="top" wrapText="1"/>
    </xf>
    <xf numFmtId="164" fontId="8" fillId="0" borderId="0" pivotButton="0" quotePrefix="0" xfId="0"/>
    <xf numFmtId="0" fontId="2" fillId="0" borderId="0" applyAlignment="1" pivotButton="0" quotePrefix="0" xfId="0">
      <alignment vertical="top" wrapText="1"/>
    </xf>
    <xf numFmtId="165" fontId="5" fillId="3" borderId="0" pivotButton="0" quotePrefix="0" xfId="0"/>
    <xf numFmtId="0" fontId="9" fillId="0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6" fillId="7" borderId="0" pivotButton="0" quotePrefix="0" xfId="0"/>
    <xf numFmtId="0" fontId="0" fillId="7" borderId="0" pivotButton="0" quotePrefix="0" xfId="0"/>
    <xf numFmtId="164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9" customWidth="1" min="3" max="3"/>
    <col width="19" customWidth="1" min="4" max="4"/>
    <col width="19" customWidth="1" min="5" max="5"/>
    <col width="48" customWidth="1" min="6" max="6"/>
    <col width="2" customWidth="1" min="7" max="7"/>
  </cols>
  <sheetData>
    <row r="1">
      <c r="B1" s="1" t="inlineStr">
        <is>
          <t>FY2027（2027年9月期）事業計画</t>
        </is>
      </c>
    </row>
    <row r="2">
      <c r="B2" s="2" t="inlineStr">
        <is>
          <t>ベース：2026年4-7月の実績月平均（不採算3店舗の撤退後）。単位：円（税別）</t>
        </is>
      </c>
    </row>
    <row r="4" ht="42" customHeight="1">
      <c r="B4" s="3" t="inlineStr">
        <is>
          <t>科目</t>
        </is>
      </c>
      <c r="C4" s="3" t="inlineStr">
        <is>
          <t>横ばい実力値
（参考）</t>
        </is>
      </c>
      <c r="D4" s="3" t="inlineStr">
        <is>
          <t>プランD
メインシナリオ</t>
        </is>
      </c>
      <c r="E4" s="3" t="inlineStr">
        <is>
          <t>プランE
上振れシナリオ</t>
        </is>
      </c>
      <c r="F4" s="3" t="inlineStr">
        <is>
          <t>コメント</t>
        </is>
      </c>
    </row>
    <row r="5">
      <c r="B5" s="4" t="inlineStr">
        <is>
          <t>既存事業 売上</t>
        </is>
      </c>
      <c r="C5" s="5">
        <f>'②前提'!$D$6</f>
        <v/>
      </c>
      <c r="D5" s="5">
        <f>'②前提'!$C$29</f>
        <v/>
      </c>
      <c r="E5" s="5">
        <f>('②前提'!$C$29+'②前提'!$C$32)</f>
        <v/>
      </c>
      <c r="F5" s="2" t="inlineStr">
        <is>
          <t>Dは前期・今期の売上平均。Eは私募＋オークション300を上積み</t>
        </is>
      </c>
    </row>
    <row r="6">
      <c r="B6" s="4" t="inlineStr">
        <is>
          <t>＋上乗せ案件</t>
        </is>
      </c>
      <c r="C6" s="5" t="n">
        <v>0</v>
      </c>
      <c r="D6" s="5">
        <f>'②前提'!$C$18</f>
        <v/>
      </c>
      <c r="E6" s="5">
        <f>'②前提'!$C$18</f>
        <v/>
      </c>
      <c r="F6" s="2" t="inlineStr">
        <is>
          <t>コンサルティング料82.5＋クルーザー×ワイン事業20.0</t>
        </is>
      </c>
    </row>
    <row r="7">
      <c r="B7" s="4" t="inlineStr">
        <is>
          <t>＋現物出資 追加計上</t>
        </is>
      </c>
      <c r="C7" s="5" t="n">
        <v>0</v>
      </c>
      <c r="D7" s="5">
        <f>'②前提'!$C$22</f>
        <v/>
      </c>
      <c r="E7" s="5">
        <f>'②前提'!$C$22</f>
        <v/>
      </c>
      <c r="F7" s="2" t="inlineStr">
        <is>
          <t>売上計上しない前提のため0。粗利15.0のみ計上</t>
        </is>
      </c>
    </row>
    <row r="8">
      <c r="B8" s="6" t="inlineStr">
        <is>
          <t>売上高 合計</t>
        </is>
      </c>
      <c r="C8" s="7">
        <f>'②前提'!$D$6</f>
        <v/>
      </c>
      <c r="D8" s="7">
        <f>('②前提'!$C$29+'②前提'!$C$18+'②前提'!$C$22)</f>
        <v/>
      </c>
      <c r="E8" s="7">
        <f>('②前提'!$C$29+'②前提'!$C$32+'②前提'!$C$18+'②前提'!$C$22)</f>
        <v/>
      </c>
      <c r="F8" s="8" t="inlineStr"/>
    </row>
    <row r="9">
      <c r="B9" s="6" t="inlineStr">
        <is>
          <t>売上総利益</t>
        </is>
      </c>
      <c r="C9" s="7">
        <f>'②前提'!$D$7</f>
        <v/>
      </c>
      <c r="D9" s="7">
        <f>('②前提'!$D$7+'②前提'!$C$30*'②前提'!$C$31+'②前提'!$C$18+'②前提'!$C$23)</f>
        <v/>
      </c>
      <c r="E9" s="7">
        <f>('②前提'!$D$7+'②前提'!$C$30*'②前提'!$C$31+'②前提'!$C$18+'②前提'!$C$23+'②前提'!$C$32*'②前提'!$C$31)</f>
        <v/>
      </c>
      <c r="F9" s="8" t="inlineStr">
        <is>
          <t>差額売上・追加売上の粗利率は保守的に30%</t>
        </is>
      </c>
    </row>
    <row r="10">
      <c r="B10" s="4" t="inlineStr">
        <is>
          <t xml:space="preserve">　総合粗利率</t>
        </is>
      </c>
      <c r="C10" s="9">
        <f>C9/C8</f>
        <v/>
      </c>
      <c r="D10" s="9">
        <f>D9/D8</f>
        <v/>
      </c>
      <c r="E10" s="9">
        <f>E9/E8</f>
        <v/>
      </c>
      <c r="F10" s="2" t="inlineStr"/>
    </row>
    <row r="11">
      <c r="B11" s="4" t="inlineStr">
        <is>
          <t>販管費</t>
        </is>
      </c>
      <c r="C11" s="5">
        <f>'②前提'!$D$8</f>
        <v/>
      </c>
      <c r="D11" s="5">
        <f>'②前提'!$D$8</f>
        <v/>
      </c>
      <c r="E11" s="5">
        <f>'②前提'!$D$8</f>
        <v/>
      </c>
      <c r="F11" s="2" t="inlineStr">
        <is>
          <t>2026/04-07実績の月平均×12</t>
        </is>
      </c>
    </row>
    <row r="12">
      <c r="B12" s="10" t="inlineStr">
        <is>
          <t>営業利益</t>
        </is>
      </c>
      <c r="C12" s="11">
        <f>C9-C11</f>
        <v/>
      </c>
      <c r="D12" s="11">
        <f>D9-D11</f>
        <v/>
      </c>
      <c r="E12" s="11">
        <f>E9-E11</f>
        <v/>
      </c>
      <c r="F12" s="12" t="inlineStr"/>
    </row>
    <row r="13">
      <c r="B13" s="4" t="inlineStr">
        <is>
          <t>営業外費用</t>
        </is>
      </c>
      <c r="C13" s="5">
        <f>'②前提'!$C$35</f>
        <v/>
      </c>
      <c r="D13" s="5">
        <f>'②前提'!$C$35</f>
        <v/>
      </c>
      <c r="E13" s="5">
        <f>'②前提'!$C$35</f>
        <v/>
      </c>
      <c r="F13" s="2" t="inlineStr">
        <is>
          <t>みずほ銀行への返済により支払利息が減少</t>
        </is>
      </c>
    </row>
    <row r="14">
      <c r="B14" s="10" t="inlineStr">
        <is>
          <t>経常利益</t>
        </is>
      </c>
      <c r="C14" s="11">
        <f>C12-C13</f>
        <v/>
      </c>
      <c r="D14" s="11">
        <f>D12-D13</f>
        <v/>
      </c>
      <c r="E14" s="11">
        <f>E12-E13</f>
        <v/>
      </c>
      <c r="F14" s="12" t="inlineStr"/>
    </row>
    <row r="15">
      <c r="B15" s="4" t="inlineStr">
        <is>
          <t>法人税等</t>
        </is>
      </c>
      <c r="C15" s="5" t="n">
        <v>0</v>
      </c>
      <c r="D15" s="5">
        <f>MAX(0,D14-'②前提'!$C$36)*'②前提'!$C$37</f>
        <v/>
      </c>
      <c r="E15" s="5">
        <f>MAX(0,E14-'②前提'!$C$36)*'②前提'!$C$37</f>
        <v/>
      </c>
      <c r="F15" s="2" t="inlineStr">
        <is>
          <t>繰越欠損金139.9百万円を超える所得に課税</t>
        </is>
      </c>
    </row>
    <row r="16">
      <c r="B16" s="6" t="inlineStr">
        <is>
          <t>当期純利益</t>
        </is>
      </c>
      <c r="C16" s="7">
        <f>C14-C15</f>
        <v/>
      </c>
      <c r="D16" s="7">
        <f>D14-D15</f>
        <v/>
      </c>
      <c r="E16" s="7">
        <f>E14-E15</f>
        <v/>
      </c>
      <c r="F16" s="8" t="inlineStr"/>
    </row>
    <row r="18">
      <c r="B18" s="13" t="inlineStr">
        <is>
          <t>【判定】</t>
        </is>
      </c>
      <c r="C18" s="14" t="n"/>
      <c r="D18" s="14" t="n"/>
      <c r="E18" s="14" t="n"/>
      <c r="F18" s="14" t="n"/>
    </row>
    <row r="19">
      <c r="B19" s="15" t="inlineStr">
        <is>
          <t>横ばい実力値：2026年4-7月の実績をそのまま延ばすと営業利益▲79.5・経常利益▲91.5百万円。</t>
        </is>
      </c>
    </row>
    <row r="20">
      <c r="B20" s="15" t="inlineStr">
        <is>
          <t>プランD：既存事業を前期・今期の売上平均656.4百万円に戻し、契約ベースの上乗せ案件102.5百万円と</t>
        </is>
      </c>
    </row>
    <row r="21">
      <c r="B21" s="15" t="inlineStr">
        <is>
          <t xml:space="preserve">　　現物出資の追加粗利15.0百万円を加算。売上758.9・営業＋87.2・経常＋75.2百万円。</t>
        </is>
      </c>
    </row>
    <row r="22">
      <c r="B22" s="15" t="inlineStr">
        <is>
          <t>プランE：Dに私募ファンド＋オークションで300百万円（粗利率30%）を上積み。</t>
        </is>
      </c>
    </row>
    <row r="23">
      <c r="B23" s="15" t="inlineStr">
        <is>
          <t xml:space="preserve">　　売上1,058.9・営業＋177.2・経常＋165.2百万円。繰越欠損金超過分に法人税8.6百万円。</t>
        </is>
      </c>
    </row>
    <row r="24">
      <c r="B24" s="15" t="inlineStr"/>
    </row>
    <row r="25">
      <c r="B25" s="15" t="inlineStr">
        <is>
          <t>※FY2026の着地は営業利益＋1.0・経常▲11.6百万円。ここからの改善幅はDで＋86.2百万円。</t>
        </is>
      </c>
    </row>
    <row r="26">
      <c r="B26" s="15" t="inlineStr">
        <is>
          <t>※アピシウスM&amp;A仲介20.0とコンサルティング料10.0の計30.0百万円はFY2026に前倒し計上済みのため、</t>
        </is>
      </c>
    </row>
    <row r="27">
      <c r="B27" s="15" t="inlineStr">
        <is>
          <t xml:space="preserve">　　今期の上乗せ案件は132.5→102.5百万円に減っています。</t>
        </is>
      </c>
    </row>
    <row r="28">
      <c r="B28" s="15" t="inlineStr">
        <is>
          <t>※期首の商品在庫は187.4百万円（従来モデルの420百万円から大幅減）。仕入計画は④をご参照ください。</t>
        </is>
      </c>
    </row>
    <row r="29">
      <c r="B29" s="15" t="inlineStr">
        <is>
          <t>※期首現預金は仮に30百万円。2026/09末の着地値への差し替えが必要です。</t>
        </is>
      </c>
    </row>
  </sheetData>
  <mergeCells count="11">
    <mergeCell ref="B21:F21"/>
    <mergeCell ref="B29:F29"/>
    <mergeCell ref="B24:F24"/>
    <mergeCell ref="B20:F20"/>
    <mergeCell ref="B25:F25"/>
    <mergeCell ref="B28:F28"/>
    <mergeCell ref="B19:F19"/>
    <mergeCell ref="B23:F23"/>
    <mergeCell ref="B22:F22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6" customWidth="1" min="4" max="4"/>
    <col width="62" customWidth="1" min="5" max="5"/>
    <col width="2" customWidth="1" min="6" max="6"/>
    <col width="2" customWidth="1" min="7" max="7"/>
  </cols>
  <sheetData>
    <row r="1">
      <c r="B1" s="1" t="inlineStr">
        <is>
          <t>FY2027（2027年9月期）事業計画　前提条件</t>
        </is>
      </c>
    </row>
    <row r="2">
      <c r="B2" s="2" t="inlineStr">
        <is>
          <t>黄色＝入力セル。ベースは2026年4-7月の実績月平均（不採算3店舗の撤退後）。単位：円（税別）</t>
        </is>
      </c>
    </row>
    <row r="4">
      <c r="B4" s="13" t="inlineStr">
        <is>
          <t>【1】ベース：再編後の実力値（2026/04-07 実績の月平均）</t>
        </is>
      </c>
      <c r="C4" s="14" t="n"/>
      <c r="D4" s="14" t="n"/>
      <c r="E4" s="14" t="n"/>
    </row>
    <row r="5">
      <c r="B5" s="16" t="inlineStr">
        <is>
          <t>項目</t>
        </is>
      </c>
      <c r="C5" s="16" t="inlineStr">
        <is>
          <t>月次平均</t>
        </is>
      </c>
      <c r="D5" s="16" t="inlineStr">
        <is>
          <t>年換算</t>
        </is>
      </c>
    </row>
    <row r="6">
      <c r="B6" s="4" t="inlineStr">
        <is>
          <t>売上</t>
        </is>
      </c>
      <c r="C6" s="17" t="n">
        <v>41014063</v>
      </c>
      <c r="D6" s="18">
        <f>C6*12</f>
        <v/>
      </c>
      <c r="E6" s="2" t="inlineStr">
        <is>
          <t>4月32.5／5月35.5／6月32.9／7月63.1百万円の平均</t>
        </is>
      </c>
    </row>
    <row r="7">
      <c r="B7" s="4" t="inlineStr">
        <is>
          <t>売上総利益</t>
        </is>
      </c>
      <c r="C7" s="17" t="n">
        <v>18997735</v>
      </c>
      <c r="D7" s="18">
        <f>C7*12</f>
        <v/>
      </c>
      <c r="E7" s="2" t="inlineStr">
        <is>
          <t>同4か月の平均。粗利率46.3%</t>
        </is>
      </c>
    </row>
    <row r="8">
      <c r="B8" s="4" t="inlineStr">
        <is>
          <t>販管費</t>
        </is>
      </c>
      <c r="C8" s="17" t="n">
        <v>25624504</v>
      </c>
      <c r="D8" s="18">
        <f>C8*12</f>
        <v/>
      </c>
      <c r="E8" s="2" t="inlineStr">
        <is>
          <t>同4か月の平均。2026/03以前は撤退3店舗を含むため除外</t>
        </is>
      </c>
    </row>
    <row r="9">
      <c r="B9" s="4" t="inlineStr">
        <is>
          <t>売上総利益率</t>
        </is>
      </c>
      <c r="C9" s="9">
        <f>C7/C6</f>
        <v/>
      </c>
    </row>
    <row r="10">
      <c r="B10" s="19" t="inlineStr">
        <is>
          <t>横ばい延伸時の営業利益（年）</t>
        </is>
      </c>
      <c r="D10" s="20">
        <f>D7-D8</f>
        <v/>
      </c>
      <c r="E10" s="21" t="inlineStr">
        <is>
          <t>何もしなければこの水準。ここからの積み上げが計画です。</t>
        </is>
      </c>
    </row>
    <row r="12">
      <c r="B12" s="13" t="inlineStr">
        <is>
          <t>【2】上乗せ案件（FY2027）</t>
        </is>
      </c>
      <c r="C12" s="14" t="n"/>
      <c r="D12" s="14" t="n"/>
      <c r="E12" s="14" t="n"/>
    </row>
    <row r="13">
      <c r="B13" s="16" t="inlineStr">
        <is>
          <t>案件</t>
        </is>
      </c>
      <c r="C13" s="16" t="inlineStr">
        <is>
          <t>金額</t>
        </is>
      </c>
      <c r="D13" s="16" t="inlineStr">
        <is>
          <t>計上月</t>
        </is>
      </c>
    </row>
    <row r="14">
      <c r="B14" s="4" t="inlineStr">
        <is>
          <t>コンサルティング料　間接グループ5社</t>
        </is>
      </c>
      <c r="C14" s="17" t="n">
        <v>80000000</v>
      </c>
      <c r="D14" s="22" t="n">
        <v>0</v>
      </c>
      <c r="E14" s="2" t="inlineStr">
        <is>
          <t>12か月按分。中野出資のグループ会社5社</t>
        </is>
      </c>
    </row>
    <row r="15">
      <c r="B15" s="4" t="inlineStr">
        <is>
          <t>コンサルティング料　Thierry Marx</t>
        </is>
      </c>
      <c r="C15" s="17" t="n">
        <v>2500000</v>
      </c>
      <c r="D15" s="22" t="n">
        <v>0</v>
      </c>
      <c r="E15" s="2" t="inlineStr">
        <is>
          <t>12か月按分。2026年4月開業</t>
        </is>
      </c>
    </row>
    <row r="16">
      <c r="B16" s="4" t="inlineStr">
        <is>
          <t>クルーザー×ワイン事業　1回目</t>
        </is>
      </c>
      <c r="C16" s="17" t="n">
        <v>10000000</v>
      </c>
      <c r="D16" s="22" t="n">
        <v>6</v>
      </c>
      <c r="E16" s="2" t="inlineStr">
        <is>
          <t>6＝2027年3月</t>
        </is>
      </c>
    </row>
    <row r="17">
      <c r="B17" s="4" t="inlineStr">
        <is>
          <t>クルーザー×ワイン事業　2回目</t>
        </is>
      </c>
      <c r="C17" s="17" t="n">
        <v>10000000</v>
      </c>
      <c r="D17" s="22" t="n">
        <v>12</v>
      </c>
      <c r="E17" s="2" t="inlineStr">
        <is>
          <t>12＝2027年9月</t>
        </is>
      </c>
    </row>
    <row r="18" ht="30" customHeight="1">
      <c r="B18" s="23" t="inlineStr">
        <is>
          <t>合計</t>
        </is>
      </c>
      <c r="C18" s="11">
        <f>SUM(C14:C17)</f>
        <v/>
      </c>
      <c r="E18" s="24" t="inlineStr">
        <is>
          <t>★アピシウスM&amp;A仲介20.0とコンサルティング料10.0の計30.0百万円はFY2026に前倒し計上済みのため、今期は計上しません。</t>
        </is>
      </c>
    </row>
    <row r="19">
      <c r="B19" s="4" t="inlineStr">
        <is>
          <t>（参考）前回計画の上乗せ案件</t>
        </is>
      </c>
      <c r="C19" s="25" t="n">
        <v>132500000</v>
      </c>
      <c r="E19" s="2" t="inlineStr">
        <is>
          <t>132.5 → 102.5百万円。差30.0百万円が前倒し分です。</t>
        </is>
      </c>
    </row>
    <row r="21">
      <c r="B21" s="13" t="inlineStr">
        <is>
          <t>【3】私募ファンド 現物出資分の追加計上</t>
        </is>
      </c>
      <c r="C21" s="14" t="n"/>
      <c r="D21" s="14" t="n"/>
      <c r="E21" s="14" t="n"/>
    </row>
    <row r="22" ht="30" customHeight="1">
      <c r="B22" s="4" t="inlineStr">
        <is>
          <t>追加計上する売上</t>
        </is>
      </c>
      <c r="C22" s="17" t="n">
        <v>0</v>
      </c>
      <c r="E22" s="24" t="inlineStr">
        <is>
          <t>★FY2026と同じ建て付け（売上計上せず）とする場合は0。売上を計上する場合は300,000,000を入力してください。</t>
        </is>
      </c>
    </row>
    <row r="23">
      <c r="B23" s="4" t="inlineStr">
        <is>
          <t>追加計上する粗利</t>
        </is>
      </c>
      <c r="C23" s="17" t="n">
        <v>15000000</v>
      </c>
      <c r="E23" s="2" t="inlineStr">
        <is>
          <t>現物出資3億円に対する追加5%。FY2026の10%（30百万円）とあわせて計15%</t>
        </is>
      </c>
    </row>
    <row r="24">
      <c r="B24" s="4" t="inlineStr">
        <is>
          <t>計上月（1〜12）</t>
        </is>
      </c>
      <c r="C24" s="22" t="n">
        <v>12</v>
      </c>
      <c r="E24" s="2" t="inlineStr">
        <is>
          <t>12＝2027年9月</t>
        </is>
      </c>
    </row>
    <row r="26">
      <c r="B26" s="13" t="inlineStr">
        <is>
          <t>【4】プランD・Eの前提</t>
        </is>
      </c>
      <c r="C26" s="14" t="n"/>
      <c r="D26" s="14" t="n"/>
      <c r="E26" s="14" t="n"/>
    </row>
    <row r="27">
      <c r="B27" s="4" t="inlineStr">
        <is>
          <t>FY2025 売上高（実績）</t>
        </is>
      </c>
      <c r="C27" s="17" t="n">
        <v>752864901</v>
      </c>
      <c r="E27" s="26" t="inlineStr">
        <is>
          <t>決算報告書 第54期</t>
        </is>
      </c>
    </row>
    <row r="28">
      <c r="B28" s="4" t="inlineStr">
        <is>
          <t>FY2026 既存事業 売上高（着地）</t>
        </is>
      </c>
      <c r="C28" s="17" t="n">
        <v>559914185</v>
      </c>
      <c r="E28" s="26" t="inlineStr">
        <is>
          <t>10か月実績444.9＋8-9月115.0百万円。私募600・前倒し30は一過性のため除外</t>
        </is>
      </c>
    </row>
    <row r="29">
      <c r="B29" s="4" t="inlineStr">
        <is>
          <t>前期・今期の売上平均</t>
        </is>
      </c>
      <c r="C29" s="20">
        <f>(C27+C28)/2</f>
        <v/>
      </c>
      <c r="E29" s="26" t="inlineStr">
        <is>
          <t>プランDの既存事業売上。新たな成長を前提にしていません</t>
        </is>
      </c>
    </row>
    <row r="30">
      <c r="B30" s="4" t="inlineStr">
        <is>
          <t>差額売上（横ばいからの上積み）</t>
        </is>
      </c>
      <c r="C30" s="20">
        <f>C29-D6</f>
        <v/>
      </c>
      <c r="E30" s="26" t="inlineStr">
        <is>
          <t>売上平均−横ばい年換算</t>
        </is>
      </c>
    </row>
    <row r="31">
      <c r="B31" s="4" t="inlineStr">
        <is>
          <t>差額売上の粗利率</t>
        </is>
      </c>
      <c r="C31" s="27" t="n">
        <v>0.3</v>
      </c>
      <c r="E31" s="26" t="inlineStr">
        <is>
          <t>FY2025 26.8%・FY2026実績を踏まえ保守的に30%</t>
        </is>
      </c>
    </row>
    <row r="32">
      <c r="B32" s="4" t="inlineStr">
        <is>
          <t>プランE 追加売上（私募＋オークション）</t>
        </is>
      </c>
      <c r="C32" s="17" t="n">
        <v>300000000</v>
      </c>
      <c r="E32" s="26" t="inlineStr">
        <is>
          <t>FY2026に私募で実際に組成した規模と同水準</t>
        </is>
      </c>
    </row>
    <row r="34">
      <c r="B34" s="13" t="inlineStr">
        <is>
          <t>【5】その他</t>
        </is>
      </c>
      <c r="C34" s="14" t="n"/>
      <c r="D34" s="14" t="n"/>
      <c r="E34" s="14" t="n"/>
    </row>
    <row r="35">
      <c r="B35" s="4" t="inlineStr">
        <is>
          <t>営業外費用（年額）</t>
        </is>
      </c>
      <c r="C35" s="17" t="n">
        <v>12000000</v>
      </c>
      <c r="E35" s="26" t="inlineStr">
        <is>
          <t>FY2026着地13.0百万円。みずほ銀行への返済により支払利息が減少</t>
        </is>
      </c>
    </row>
    <row r="36">
      <c r="B36" s="4" t="inlineStr">
        <is>
          <t>繰越欠損金 残高（期首）</t>
        </is>
      </c>
      <c r="C36" s="17" t="n">
        <v>139865685</v>
      </c>
      <c r="E36" s="26" t="inlineStr">
        <is>
          <t>FY2025 127.4＋FY2026 12.5百万円。FY2026着地予想より</t>
        </is>
      </c>
    </row>
    <row r="37">
      <c r="B37" s="4" t="inlineStr">
        <is>
          <t>法人実効税率</t>
        </is>
      </c>
      <c r="C37" s="27" t="n">
        <v>0.34</v>
      </c>
      <c r="E37" s="26" t="inlineStr">
        <is>
          <t>繰越欠損金を使い切った後の課税所得に適用</t>
        </is>
      </c>
    </row>
    <row r="38">
      <c r="B38" s="4" t="inlineStr">
        <is>
          <t>期首 現預金</t>
        </is>
      </c>
      <c r="C38" s="17" t="n">
        <v>30000000</v>
      </c>
      <c r="E38" s="24" t="inlineStr">
        <is>
          <t>★2026/09末の着地値に差し替えてください。私募3億の入金時期とみずほ返済の実行で変動します</t>
        </is>
      </c>
    </row>
    <row r="39">
      <c r="B39" s="4" t="inlineStr">
        <is>
          <t>期首 商品在庫</t>
        </is>
      </c>
      <c r="C39" s="17" t="n">
        <v>187411335</v>
      </c>
      <c r="E39" s="26" t="inlineStr">
        <is>
          <t>FY2026着地予想より。従来モデルの420百万円から大きく下がっています</t>
        </is>
      </c>
    </row>
    <row r="40">
      <c r="B40" s="4" t="inlineStr">
        <is>
          <t>年間 ワイン仕入</t>
        </is>
      </c>
      <c r="C40" s="17" t="n">
        <v>450000000</v>
      </c>
      <c r="E40" s="24" t="inlineStr">
        <is>
          <t>★仕入方針。割当維持のため落とさない前提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>
      <c r="B1" s="28" t="inlineStr">
        <is>
          <t>FY2027 月次推移表　－　プランD</t>
        </is>
      </c>
    </row>
    <row r="2">
      <c r="B2" s="2" t="inlineStr">
        <is>
          <t>既存事業は均等按分。上乗せ案件は②前提で指定した月に計上（計上月0＝12か月按分）。単位：円（税別）</t>
        </is>
      </c>
    </row>
    <row r="4">
      <c r="B4" s="29" t="inlineStr">
        <is>
          <t>科目</t>
        </is>
      </c>
      <c r="C4" s="30" t="inlineStr">
        <is>
          <t>2026/10</t>
        </is>
      </c>
      <c r="D4" s="30" t="inlineStr">
        <is>
          <t>2026/11</t>
        </is>
      </c>
      <c r="E4" s="30" t="inlineStr">
        <is>
          <t>2026/12</t>
        </is>
      </c>
      <c r="F4" s="30" t="inlineStr">
        <is>
          <t>2027/01</t>
        </is>
      </c>
      <c r="G4" s="30" t="inlineStr">
        <is>
          <t>2027/02</t>
        </is>
      </c>
      <c r="H4" s="30" t="inlineStr">
        <is>
          <t>2027/03</t>
        </is>
      </c>
      <c r="I4" s="30" t="inlineStr">
        <is>
          <t>2027/04</t>
        </is>
      </c>
      <c r="J4" s="30" t="inlineStr">
        <is>
          <t>2027/05</t>
        </is>
      </c>
      <c r="K4" s="30" t="inlineStr">
        <is>
          <t>2027/06</t>
        </is>
      </c>
      <c r="L4" s="30" t="inlineStr">
        <is>
          <t>2027/07</t>
        </is>
      </c>
      <c r="M4" s="30" t="inlineStr">
        <is>
          <t>2027/08</t>
        </is>
      </c>
      <c r="N4" s="30" t="inlineStr">
        <is>
          <t>2027/09</t>
        </is>
      </c>
      <c r="O4" s="30" t="inlineStr">
        <is>
          <t>通期</t>
        </is>
      </c>
    </row>
    <row r="5">
      <c r="B5" s="31" t="inlineStr">
        <is>
          <t>【売上高】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r="6">
      <c r="B6" s="4" t="inlineStr">
        <is>
          <t>既存事業 売上</t>
        </is>
      </c>
      <c r="C6" s="5">
        <f>'②前提'!$C$29/12</f>
        <v/>
      </c>
      <c r="D6" s="5">
        <f>'②前提'!$C$29/12</f>
        <v/>
      </c>
      <c r="E6" s="5">
        <f>'②前提'!$C$29/12</f>
        <v/>
      </c>
      <c r="F6" s="5">
        <f>'②前提'!$C$29/12</f>
        <v/>
      </c>
      <c r="G6" s="5">
        <f>'②前提'!$C$29/12</f>
        <v/>
      </c>
      <c r="H6" s="5">
        <f>'②前提'!$C$29/12</f>
        <v/>
      </c>
      <c r="I6" s="5">
        <f>'②前提'!$C$29/12</f>
        <v/>
      </c>
      <c r="J6" s="5">
        <f>'②前提'!$C$29/12</f>
        <v/>
      </c>
      <c r="K6" s="5">
        <f>'②前提'!$C$29/12</f>
        <v/>
      </c>
      <c r="L6" s="5">
        <f>'②前提'!$C$29/12</f>
        <v/>
      </c>
      <c r="M6" s="5">
        <f>'②前提'!$C$29/12</f>
        <v/>
      </c>
      <c r="N6" s="5">
        <f>'②前提'!$C$29/12</f>
        <v/>
      </c>
      <c r="O6" s="18">
        <f>SUM(C6:N6)</f>
        <v/>
      </c>
    </row>
    <row r="7">
      <c r="B7" s="4" t="inlineStr">
        <is>
          <t xml:space="preserve">　＋上乗せ案件</t>
        </is>
      </c>
      <c r="C7" s="5">
        <f>IF('②前提'!$C$14=0,0,IF('②前提'!$D$14=0,'②前提'!$C$14/12,IF('②前提'!$D$14=1,'②前提'!$C$14,0)))+IF('②前提'!$C$15=0,0,IF('②前提'!$D$15=0,'②前提'!$C$15/12,IF('②前提'!$D$15=1,'②前提'!$C$15,0)))+IF('②前提'!$C$16=0,0,IF('②前提'!$D$16=0,'②前提'!$C$16/12,IF('②前提'!$D$16=1,'②前提'!$C$16,0)))+IF('②前提'!$C$17=0,0,IF('②前提'!$D$17=0,'②前提'!$C$17/12,IF('②前提'!$D$17=1,'②前提'!$C$17,0)))</f>
        <v/>
      </c>
      <c r="D7" s="5">
        <f>IF('②前提'!$C$14=0,0,IF('②前提'!$D$14=0,'②前提'!$C$14/12,IF('②前提'!$D$14=2,'②前提'!$C$14,0)))+IF('②前提'!$C$15=0,0,IF('②前提'!$D$15=0,'②前提'!$C$15/12,IF('②前提'!$D$15=2,'②前提'!$C$15,0)))+IF('②前提'!$C$16=0,0,IF('②前提'!$D$16=0,'②前提'!$C$16/12,IF('②前提'!$D$16=2,'②前提'!$C$16,0)))+IF('②前提'!$C$17=0,0,IF('②前提'!$D$17=0,'②前提'!$C$17/12,IF('②前提'!$D$17=2,'②前提'!$C$17,0)))</f>
        <v/>
      </c>
      <c r="E7" s="5">
        <f>IF('②前提'!$C$14=0,0,IF('②前提'!$D$14=0,'②前提'!$C$14/12,IF('②前提'!$D$14=3,'②前提'!$C$14,0)))+IF('②前提'!$C$15=0,0,IF('②前提'!$D$15=0,'②前提'!$C$15/12,IF('②前提'!$D$15=3,'②前提'!$C$15,0)))+IF('②前提'!$C$16=0,0,IF('②前提'!$D$16=0,'②前提'!$C$16/12,IF('②前提'!$D$16=3,'②前提'!$C$16,0)))+IF('②前提'!$C$17=0,0,IF('②前提'!$D$17=0,'②前提'!$C$17/12,IF('②前提'!$D$17=3,'②前提'!$C$17,0)))</f>
        <v/>
      </c>
      <c r="F7" s="5">
        <f>IF('②前提'!$C$14=0,0,IF('②前提'!$D$14=0,'②前提'!$C$14/12,IF('②前提'!$D$14=4,'②前提'!$C$14,0)))+IF('②前提'!$C$15=0,0,IF('②前提'!$D$15=0,'②前提'!$C$15/12,IF('②前提'!$D$15=4,'②前提'!$C$15,0)))+IF('②前提'!$C$16=0,0,IF('②前提'!$D$16=0,'②前提'!$C$16/12,IF('②前提'!$D$16=4,'②前提'!$C$16,0)))+IF('②前提'!$C$17=0,0,IF('②前提'!$D$17=0,'②前提'!$C$17/12,IF('②前提'!$D$17=4,'②前提'!$C$17,0)))</f>
        <v/>
      </c>
      <c r="G7" s="5">
        <f>IF('②前提'!$C$14=0,0,IF('②前提'!$D$14=0,'②前提'!$C$14/12,IF('②前提'!$D$14=5,'②前提'!$C$14,0)))+IF('②前提'!$C$15=0,0,IF('②前提'!$D$15=0,'②前提'!$C$15/12,IF('②前提'!$D$15=5,'②前提'!$C$15,0)))+IF('②前提'!$C$16=0,0,IF('②前提'!$D$16=0,'②前提'!$C$16/12,IF('②前提'!$D$16=5,'②前提'!$C$16,0)))+IF('②前提'!$C$17=0,0,IF('②前提'!$D$17=0,'②前提'!$C$17/12,IF('②前提'!$D$17=5,'②前提'!$C$17,0)))</f>
        <v/>
      </c>
      <c r="H7" s="5">
        <f>IF('②前提'!$C$14=0,0,IF('②前提'!$D$14=0,'②前提'!$C$14/12,IF('②前提'!$D$14=6,'②前提'!$C$14,0)))+IF('②前提'!$C$15=0,0,IF('②前提'!$D$15=0,'②前提'!$C$15/12,IF('②前提'!$D$15=6,'②前提'!$C$15,0)))+IF('②前提'!$C$16=0,0,IF('②前提'!$D$16=0,'②前提'!$C$16/12,IF('②前提'!$D$16=6,'②前提'!$C$16,0)))+IF('②前提'!$C$17=0,0,IF('②前提'!$D$17=0,'②前提'!$C$17/12,IF('②前提'!$D$17=6,'②前提'!$C$17,0)))</f>
        <v/>
      </c>
      <c r="I7" s="5">
        <f>IF('②前提'!$C$14=0,0,IF('②前提'!$D$14=0,'②前提'!$C$14/12,IF('②前提'!$D$14=7,'②前提'!$C$14,0)))+IF('②前提'!$C$15=0,0,IF('②前提'!$D$15=0,'②前提'!$C$15/12,IF('②前提'!$D$15=7,'②前提'!$C$15,0)))+IF('②前提'!$C$16=0,0,IF('②前提'!$D$16=0,'②前提'!$C$16/12,IF('②前提'!$D$16=7,'②前提'!$C$16,0)))+IF('②前提'!$C$17=0,0,IF('②前提'!$D$17=0,'②前提'!$C$17/12,IF('②前提'!$D$17=7,'②前提'!$C$17,0)))</f>
        <v/>
      </c>
      <c r="J7" s="5">
        <f>IF('②前提'!$C$14=0,0,IF('②前提'!$D$14=0,'②前提'!$C$14/12,IF('②前提'!$D$14=8,'②前提'!$C$14,0)))+IF('②前提'!$C$15=0,0,IF('②前提'!$D$15=0,'②前提'!$C$15/12,IF('②前提'!$D$15=8,'②前提'!$C$15,0)))+IF('②前提'!$C$16=0,0,IF('②前提'!$D$16=0,'②前提'!$C$16/12,IF('②前提'!$D$16=8,'②前提'!$C$16,0)))+IF('②前提'!$C$17=0,0,IF('②前提'!$D$17=0,'②前提'!$C$17/12,IF('②前提'!$D$17=8,'②前提'!$C$17,0)))</f>
        <v/>
      </c>
      <c r="K7" s="5">
        <f>IF('②前提'!$C$14=0,0,IF('②前提'!$D$14=0,'②前提'!$C$14/12,IF('②前提'!$D$14=9,'②前提'!$C$14,0)))+IF('②前提'!$C$15=0,0,IF('②前提'!$D$15=0,'②前提'!$C$15/12,IF('②前提'!$D$15=9,'②前提'!$C$15,0)))+IF('②前提'!$C$16=0,0,IF('②前提'!$D$16=0,'②前提'!$C$16/12,IF('②前提'!$D$16=9,'②前提'!$C$16,0)))+IF('②前提'!$C$17=0,0,IF('②前提'!$D$17=0,'②前提'!$C$17/12,IF('②前提'!$D$17=9,'②前提'!$C$17,0)))</f>
        <v/>
      </c>
      <c r="L7" s="5">
        <f>IF('②前提'!$C$14=0,0,IF('②前提'!$D$14=0,'②前提'!$C$14/12,IF('②前提'!$D$14=10,'②前提'!$C$14,0)))+IF('②前提'!$C$15=0,0,IF('②前提'!$D$15=0,'②前提'!$C$15/12,IF('②前提'!$D$15=10,'②前提'!$C$15,0)))+IF('②前提'!$C$16=0,0,IF('②前提'!$D$16=0,'②前提'!$C$16/12,IF('②前提'!$D$16=10,'②前提'!$C$16,0)))+IF('②前提'!$C$17=0,0,IF('②前提'!$D$17=0,'②前提'!$C$17/12,IF('②前提'!$D$17=10,'②前提'!$C$17,0)))</f>
        <v/>
      </c>
      <c r="M7" s="5">
        <f>IF('②前提'!$C$14=0,0,IF('②前提'!$D$14=0,'②前提'!$C$14/12,IF('②前提'!$D$14=11,'②前提'!$C$14,0)))+IF('②前提'!$C$15=0,0,IF('②前提'!$D$15=0,'②前提'!$C$15/12,IF('②前提'!$D$15=11,'②前提'!$C$15,0)))+IF('②前提'!$C$16=0,0,IF('②前提'!$D$16=0,'②前提'!$C$16/12,IF('②前提'!$D$16=11,'②前提'!$C$16,0)))+IF('②前提'!$C$17=0,0,IF('②前提'!$D$17=0,'②前提'!$C$17/12,IF('②前提'!$D$17=11,'②前提'!$C$17,0)))</f>
        <v/>
      </c>
      <c r="N7" s="5">
        <f>IF('②前提'!$C$14=0,0,IF('②前提'!$D$14=0,'②前提'!$C$14/12,IF('②前提'!$D$14=12,'②前提'!$C$14,0)))+IF('②前提'!$C$15=0,0,IF('②前提'!$D$15=0,'②前提'!$C$15/12,IF('②前提'!$D$15=12,'②前提'!$C$15,0)))+IF('②前提'!$C$16=0,0,IF('②前提'!$D$16=0,'②前提'!$C$16/12,IF('②前提'!$D$16=12,'②前提'!$C$16,0)))+IF('②前提'!$C$17=0,0,IF('②前提'!$D$17=0,'②前提'!$C$17/12,IF('②前提'!$D$17=12,'②前提'!$C$17,0)))</f>
        <v/>
      </c>
      <c r="O7" s="18">
        <f>SUM(C7:N7)</f>
        <v/>
      </c>
    </row>
    <row r="8">
      <c r="B8" s="4" t="inlineStr">
        <is>
          <t xml:space="preserve">　＋現物出資 追加分</t>
        </is>
      </c>
      <c r="C8" s="5">
        <f>IF('②前提'!$C$24=1,'②前提'!$C$22,0)</f>
        <v/>
      </c>
      <c r="D8" s="5">
        <f>IF('②前提'!$C$24=2,'②前提'!$C$22,0)</f>
        <v/>
      </c>
      <c r="E8" s="5">
        <f>IF('②前提'!$C$24=3,'②前提'!$C$22,0)</f>
        <v/>
      </c>
      <c r="F8" s="5">
        <f>IF('②前提'!$C$24=4,'②前提'!$C$22,0)</f>
        <v/>
      </c>
      <c r="G8" s="5">
        <f>IF('②前提'!$C$24=5,'②前提'!$C$22,0)</f>
        <v/>
      </c>
      <c r="H8" s="5">
        <f>IF('②前提'!$C$24=6,'②前提'!$C$22,0)</f>
        <v/>
      </c>
      <c r="I8" s="5">
        <f>IF('②前提'!$C$24=7,'②前提'!$C$22,0)</f>
        <v/>
      </c>
      <c r="J8" s="5">
        <f>IF('②前提'!$C$24=8,'②前提'!$C$22,0)</f>
        <v/>
      </c>
      <c r="K8" s="5">
        <f>IF('②前提'!$C$24=9,'②前提'!$C$22,0)</f>
        <v/>
      </c>
      <c r="L8" s="5">
        <f>IF('②前提'!$C$24=10,'②前提'!$C$22,0)</f>
        <v/>
      </c>
      <c r="M8" s="5">
        <f>IF('②前提'!$C$24=11,'②前提'!$C$22,0)</f>
        <v/>
      </c>
      <c r="N8" s="5">
        <f>IF('②前提'!$C$24=12,'②前提'!$C$22,0)</f>
        <v/>
      </c>
      <c r="O8" s="18">
        <f>SUM(C8:N8)</f>
        <v/>
      </c>
    </row>
    <row r="9">
      <c r="B9" s="6" t="inlineStr">
        <is>
          <t>売上高 合計</t>
        </is>
      </c>
      <c r="C9" s="7">
        <f>SUM(C6:C8)</f>
        <v/>
      </c>
      <c r="D9" s="7">
        <f>SUM(D6:D8)</f>
        <v/>
      </c>
      <c r="E9" s="7">
        <f>SUM(E6:E8)</f>
        <v/>
      </c>
      <c r="F9" s="7">
        <f>SUM(F6:F8)</f>
        <v/>
      </c>
      <c r="G9" s="7">
        <f>SUM(G6:G8)</f>
        <v/>
      </c>
      <c r="H9" s="7">
        <f>SUM(H6:H8)</f>
        <v/>
      </c>
      <c r="I9" s="7">
        <f>SUM(I6:I8)</f>
        <v/>
      </c>
      <c r="J9" s="7">
        <f>SUM(J6:J8)</f>
        <v/>
      </c>
      <c r="K9" s="7">
        <f>SUM(K6:K8)</f>
        <v/>
      </c>
      <c r="L9" s="7">
        <f>SUM(L6:L8)</f>
        <v/>
      </c>
      <c r="M9" s="7">
        <f>SUM(M6:M8)</f>
        <v/>
      </c>
      <c r="N9" s="7">
        <f>SUM(N6:N8)</f>
        <v/>
      </c>
      <c r="O9" s="7">
        <f>SUM(C9:N9)</f>
        <v/>
      </c>
    </row>
    <row r="10">
      <c r="B10" s="31" t="inlineStr">
        <is>
          <t>【売上総利益】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</row>
    <row r="11">
      <c r="B11" s="4" t="inlineStr">
        <is>
          <t>既存事業 粗利（横ばい分）</t>
        </is>
      </c>
      <c r="C11" s="5">
        <f>'②前提'!$C$7</f>
        <v/>
      </c>
      <c r="D11" s="5">
        <f>'②前提'!$C$7</f>
        <v/>
      </c>
      <c r="E11" s="5">
        <f>'②前提'!$C$7</f>
        <v/>
      </c>
      <c r="F11" s="5">
        <f>'②前提'!$C$7</f>
        <v/>
      </c>
      <c r="G11" s="5">
        <f>'②前提'!$C$7</f>
        <v/>
      </c>
      <c r="H11" s="5">
        <f>'②前提'!$C$7</f>
        <v/>
      </c>
      <c r="I11" s="5">
        <f>'②前提'!$C$7</f>
        <v/>
      </c>
      <c r="J11" s="5">
        <f>'②前提'!$C$7</f>
        <v/>
      </c>
      <c r="K11" s="5">
        <f>'②前提'!$C$7</f>
        <v/>
      </c>
      <c r="L11" s="5">
        <f>'②前提'!$C$7</f>
        <v/>
      </c>
      <c r="M11" s="5">
        <f>'②前提'!$C$7</f>
        <v/>
      </c>
      <c r="N11" s="5">
        <f>'②前提'!$C$7</f>
        <v/>
      </c>
      <c r="O11" s="18">
        <f>SUM(C11:N11)</f>
        <v/>
      </c>
    </row>
    <row r="12">
      <c r="B12" s="4" t="inlineStr">
        <is>
          <t xml:space="preserve">　＋差額売上の粗利</t>
        </is>
      </c>
      <c r="C12" s="5">
        <f>'②前提'!$C$30*'②前提'!$C$31/12</f>
        <v/>
      </c>
      <c r="D12" s="5">
        <f>'②前提'!$C$30*'②前提'!$C$31/12</f>
        <v/>
      </c>
      <c r="E12" s="5">
        <f>'②前提'!$C$30*'②前提'!$C$31/12</f>
        <v/>
      </c>
      <c r="F12" s="5">
        <f>'②前提'!$C$30*'②前提'!$C$31/12</f>
        <v/>
      </c>
      <c r="G12" s="5">
        <f>'②前提'!$C$30*'②前提'!$C$31/12</f>
        <v/>
      </c>
      <c r="H12" s="5">
        <f>'②前提'!$C$30*'②前提'!$C$31/12</f>
        <v/>
      </c>
      <c r="I12" s="5">
        <f>'②前提'!$C$30*'②前提'!$C$31/12</f>
        <v/>
      </c>
      <c r="J12" s="5">
        <f>'②前提'!$C$30*'②前提'!$C$31/12</f>
        <v/>
      </c>
      <c r="K12" s="5">
        <f>'②前提'!$C$30*'②前提'!$C$31/12</f>
        <v/>
      </c>
      <c r="L12" s="5">
        <f>'②前提'!$C$30*'②前提'!$C$31/12</f>
        <v/>
      </c>
      <c r="M12" s="5">
        <f>'②前提'!$C$30*'②前提'!$C$31/12</f>
        <v/>
      </c>
      <c r="N12" s="5">
        <f>'②前提'!$C$30*'②前提'!$C$31/12</f>
        <v/>
      </c>
      <c r="O12" s="18">
        <f>SUM(C12:N12)</f>
        <v/>
      </c>
    </row>
    <row r="13">
      <c r="B13" s="4" t="inlineStr">
        <is>
          <t xml:space="preserve">　＋上乗せ案件（原価なし）</t>
        </is>
      </c>
      <c r="C13" s="5">
        <f>C7</f>
        <v/>
      </c>
      <c r="D13" s="5">
        <f>D7</f>
        <v/>
      </c>
      <c r="E13" s="5">
        <f>E7</f>
        <v/>
      </c>
      <c r="F13" s="5">
        <f>F7</f>
        <v/>
      </c>
      <c r="G13" s="5">
        <f>G7</f>
        <v/>
      </c>
      <c r="H13" s="5">
        <f>H7</f>
        <v/>
      </c>
      <c r="I13" s="5">
        <f>I7</f>
        <v/>
      </c>
      <c r="J13" s="5">
        <f>J7</f>
        <v/>
      </c>
      <c r="K13" s="5">
        <f>K7</f>
        <v/>
      </c>
      <c r="L13" s="5">
        <f>L7</f>
        <v/>
      </c>
      <c r="M13" s="5">
        <f>M7</f>
        <v/>
      </c>
      <c r="N13" s="5">
        <f>N7</f>
        <v/>
      </c>
      <c r="O13" s="18">
        <f>SUM(C13:N13)</f>
        <v/>
      </c>
    </row>
    <row r="14">
      <c r="B14" s="4" t="inlineStr">
        <is>
          <t xml:space="preserve">　＋現物出資 追加粗利</t>
        </is>
      </c>
      <c r="C14" s="5">
        <f>IF('②前提'!$C$24=1,'②前提'!$C$23,0)</f>
        <v/>
      </c>
      <c r="D14" s="5">
        <f>IF('②前提'!$C$24=2,'②前提'!$C$23,0)</f>
        <v/>
      </c>
      <c r="E14" s="5">
        <f>IF('②前提'!$C$24=3,'②前提'!$C$23,0)</f>
        <v/>
      </c>
      <c r="F14" s="5">
        <f>IF('②前提'!$C$24=4,'②前提'!$C$23,0)</f>
        <v/>
      </c>
      <c r="G14" s="5">
        <f>IF('②前提'!$C$24=5,'②前提'!$C$23,0)</f>
        <v/>
      </c>
      <c r="H14" s="5">
        <f>IF('②前提'!$C$24=6,'②前提'!$C$23,0)</f>
        <v/>
      </c>
      <c r="I14" s="5">
        <f>IF('②前提'!$C$24=7,'②前提'!$C$23,0)</f>
        <v/>
      </c>
      <c r="J14" s="5">
        <f>IF('②前提'!$C$24=8,'②前提'!$C$23,0)</f>
        <v/>
      </c>
      <c r="K14" s="5">
        <f>IF('②前提'!$C$24=9,'②前提'!$C$23,0)</f>
        <v/>
      </c>
      <c r="L14" s="5">
        <f>IF('②前提'!$C$24=10,'②前提'!$C$23,0)</f>
        <v/>
      </c>
      <c r="M14" s="5">
        <f>IF('②前提'!$C$24=11,'②前提'!$C$23,0)</f>
        <v/>
      </c>
      <c r="N14" s="5">
        <f>IF('②前提'!$C$24=12,'②前提'!$C$23,0)</f>
        <v/>
      </c>
      <c r="O14" s="18">
        <f>SUM(C14:N14)</f>
        <v/>
      </c>
    </row>
    <row r="15">
      <c r="B15" s="10" t="inlineStr">
        <is>
          <t>売上総利益 合計</t>
        </is>
      </c>
      <c r="C15" s="11">
        <f>SUM(C11:C14)</f>
        <v/>
      </c>
      <c r="D15" s="11">
        <f>SUM(D11:D14)</f>
        <v/>
      </c>
      <c r="E15" s="11">
        <f>SUM(E11:E14)</f>
        <v/>
      </c>
      <c r="F15" s="11">
        <f>SUM(F11:F14)</f>
        <v/>
      </c>
      <c r="G15" s="11">
        <f>SUM(G11:G14)</f>
        <v/>
      </c>
      <c r="H15" s="11">
        <f>SUM(H11:H14)</f>
        <v/>
      </c>
      <c r="I15" s="11">
        <f>SUM(I11:I14)</f>
        <v/>
      </c>
      <c r="J15" s="11">
        <f>SUM(J11:J14)</f>
        <v/>
      </c>
      <c r="K15" s="11">
        <f>SUM(K11:K14)</f>
        <v/>
      </c>
      <c r="L15" s="11">
        <f>SUM(L11:L14)</f>
        <v/>
      </c>
      <c r="M15" s="11">
        <f>SUM(M11:M14)</f>
        <v/>
      </c>
      <c r="N15" s="11">
        <f>SUM(N11:N14)</f>
        <v/>
      </c>
      <c r="O15" s="11">
        <f>SUM(C15:N15)</f>
        <v/>
      </c>
    </row>
    <row r="16">
      <c r="B16" s="4" t="inlineStr">
        <is>
          <t xml:space="preserve">　（参考）売上原価</t>
        </is>
      </c>
      <c r="C16" s="5">
        <f>C9-C15</f>
        <v/>
      </c>
      <c r="D16" s="5">
        <f>D9-D15</f>
        <v/>
      </c>
      <c r="E16" s="5">
        <f>E9-E15</f>
        <v/>
      </c>
      <c r="F16" s="5">
        <f>F9-F15</f>
        <v/>
      </c>
      <c r="G16" s="5">
        <f>G9-G15</f>
        <v/>
      </c>
      <c r="H16" s="5">
        <f>H9-H15</f>
        <v/>
      </c>
      <c r="I16" s="5">
        <f>I9-I15</f>
        <v/>
      </c>
      <c r="J16" s="5">
        <f>J9-J15</f>
        <v/>
      </c>
      <c r="K16" s="5">
        <f>K9-K15</f>
        <v/>
      </c>
      <c r="L16" s="5">
        <f>L9-L15</f>
        <v/>
      </c>
      <c r="M16" s="5">
        <f>M9-M15</f>
        <v/>
      </c>
      <c r="N16" s="5">
        <f>N9-N15</f>
        <v/>
      </c>
      <c r="O16" s="18">
        <f>SUM(C16:N16)</f>
        <v/>
      </c>
    </row>
    <row r="17">
      <c r="B17" s="31" t="inlineStr">
        <is>
          <t>【販管費・損益】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</row>
    <row r="18">
      <c r="B18" s="4" t="inlineStr">
        <is>
          <t>販管費</t>
        </is>
      </c>
      <c r="C18" s="5">
        <f>'②前提'!$C$8</f>
        <v/>
      </c>
      <c r="D18" s="5">
        <f>'②前提'!$C$8</f>
        <v/>
      </c>
      <c r="E18" s="5">
        <f>'②前提'!$C$8</f>
        <v/>
      </c>
      <c r="F18" s="5">
        <f>'②前提'!$C$8</f>
        <v/>
      </c>
      <c r="G18" s="5">
        <f>'②前提'!$C$8</f>
        <v/>
      </c>
      <c r="H18" s="5">
        <f>'②前提'!$C$8</f>
        <v/>
      </c>
      <c r="I18" s="5">
        <f>'②前提'!$C$8</f>
        <v/>
      </c>
      <c r="J18" s="5">
        <f>'②前提'!$C$8</f>
        <v/>
      </c>
      <c r="K18" s="5">
        <f>'②前提'!$C$8</f>
        <v/>
      </c>
      <c r="L18" s="5">
        <f>'②前提'!$C$8</f>
        <v/>
      </c>
      <c r="M18" s="5">
        <f>'②前提'!$C$8</f>
        <v/>
      </c>
      <c r="N18" s="5">
        <f>'②前提'!$C$8</f>
        <v/>
      </c>
      <c r="O18" s="18">
        <f>SUM(C18:N18)</f>
        <v/>
      </c>
    </row>
    <row r="19">
      <c r="B19" s="10" t="inlineStr">
        <is>
          <t>営業利益</t>
        </is>
      </c>
      <c r="C19" s="11">
        <f>C15-C18</f>
        <v/>
      </c>
      <c r="D19" s="11">
        <f>D15-D18</f>
        <v/>
      </c>
      <c r="E19" s="11">
        <f>E15-E18</f>
        <v/>
      </c>
      <c r="F19" s="11">
        <f>F15-F18</f>
        <v/>
      </c>
      <c r="G19" s="11">
        <f>G15-G18</f>
        <v/>
      </c>
      <c r="H19" s="11">
        <f>H15-H18</f>
        <v/>
      </c>
      <c r="I19" s="11">
        <f>I15-I18</f>
        <v/>
      </c>
      <c r="J19" s="11">
        <f>J15-J18</f>
        <v/>
      </c>
      <c r="K19" s="11">
        <f>K15-K18</f>
        <v/>
      </c>
      <c r="L19" s="11">
        <f>L15-L18</f>
        <v/>
      </c>
      <c r="M19" s="11">
        <f>M15-M18</f>
        <v/>
      </c>
      <c r="N19" s="11">
        <f>N15-N18</f>
        <v/>
      </c>
      <c r="O19" s="11">
        <f>SUM(C19:N19)</f>
        <v/>
      </c>
    </row>
    <row r="20">
      <c r="B20" s="4" t="inlineStr">
        <is>
          <t>営業外費用</t>
        </is>
      </c>
      <c r="C20" s="5">
        <f>'②前提'!$C$35/12</f>
        <v/>
      </c>
      <c r="D20" s="5">
        <f>'②前提'!$C$35/12</f>
        <v/>
      </c>
      <c r="E20" s="5">
        <f>'②前提'!$C$35/12</f>
        <v/>
      </c>
      <c r="F20" s="5">
        <f>'②前提'!$C$35/12</f>
        <v/>
      </c>
      <c r="G20" s="5">
        <f>'②前提'!$C$35/12</f>
        <v/>
      </c>
      <c r="H20" s="5">
        <f>'②前提'!$C$35/12</f>
        <v/>
      </c>
      <c r="I20" s="5">
        <f>'②前提'!$C$35/12</f>
        <v/>
      </c>
      <c r="J20" s="5">
        <f>'②前提'!$C$35/12</f>
        <v/>
      </c>
      <c r="K20" s="5">
        <f>'②前提'!$C$35/12</f>
        <v/>
      </c>
      <c r="L20" s="5">
        <f>'②前提'!$C$35/12</f>
        <v/>
      </c>
      <c r="M20" s="5">
        <f>'②前提'!$C$35/12</f>
        <v/>
      </c>
      <c r="N20" s="5">
        <f>'②前提'!$C$35/12</f>
        <v/>
      </c>
      <c r="O20" s="18">
        <f>SUM(C20:N20)</f>
        <v/>
      </c>
    </row>
    <row r="21">
      <c r="B21" s="10" t="inlineStr">
        <is>
          <t>経常利益</t>
        </is>
      </c>
      <c r="C21" s="11">
        <f>C19-C20</f>
        <v/>
      </c>
      <c r="D21" s="11">
        <f>D19-D20</f>
        <v/>
      </c>
      <c r="E21" s="11">
        <f>E19-E20</f>
        <v/>
      </c>
      <c r="F21" s="11">
        <f>F19-F20</f>
        <v/>
      </c>
      <c r="G21" s="11">
        <f>G19-G20</f>
        <v/>
      </c>
      <c r="H21" s="11">
        <f>H19-H20</f>
        <v/>
      </c>
      <c r="I21" s="11">
        <f>I19-I20</f>
        <v/>
      </c>
      <c r="J21" s="11">
        <f>J19-J20</f>
        <v/>
      </c>
      <c r="K21" s="11">
        <f>K19-K20</f>
        <v/>
      </c>
      <c r="L21" s="11">
        <f>L19-L20</f>
        <v/>
      </c>
      <c r="M21" s="11">
        <f>M19-M20</f>
        <v/>
      </c>
      <c r="N21" s="11">
        <f>N19-N20</f>
        <v/>
      </c>
      <c r="O21" s="11">
        <f>SUM(C21:N21)</f>
        <v/>
      </c>
    </row>
    <row r="23">
      <c r="B23" s="19" t="inlineStr">
        <is>
          <t>営業利益 累計</t>
        </is>
      </c>
      <c r="C23" s="33">
        <f>C19</f>
        <v/>
      </c>
      <c r="D23" s="33">
        <f>C23+D19</f>
        <v/>
      </c>
      <c r="E23" s="33">
        <f>D23+E19</f>
        <v/>
      </c>
      <c r="F23" s="33">
        <f>E23+F19</f>
        <v/>
      </c>
      <c r="G23" s="33">
        <f>F23+G19</f>
        <v/>
      </c>
      <c r="H23" s="33">
        <f>G23+H19</f>
        <v/>
      </c>
      <c r="I23" s="33">
        <f>H23+I19</f>
        <v/>
      </c>
      <c r="J23" s="33">
        <f>I23+J19</f>
        <v/>
      </c>
      <c r="K23" s="33">
        <f>J23+K19</f>
        <v/>
      </c>
      <c r="L23" s="33">
        <f>K23+L19</f>
        <v/>
      </c>
      <c r="M23" s="33">
        <f>L23+M19</f>
        <v/>
      </c>
      <c r="N23" s="33">
        <f>M23+N19</f>
        <v/>
      </c>
    </row>
    <row r="24">
      <c r="B24" s="19" t="inlineStr">
        <is>
          <t>経常利益 累計</t>
        </is>
      </c>
      <c r="C24" s="33">
        <f>C21</f>
        <v/>
      </c>
      <c r="D24" s="33">
        <f>C24+D21</f>
        <v/>
      </c>
      <c r="E24" s="33">
        <f>D24+E21</f>
        <v/>
      </c>
      <c r="F24" s="33">
        <f>E24+F21</f>
        <v/>
      </c>
      <c r="G24" s="33">
        <f>F24+G21</f>
        <v/>
      </c>
      <c r="H24" s="33">
        <f>G24+H21</f>
        <v/>
      </c>
      <c r="I24" s="33">
        <f>H24+I21</f>
        <v/>
      </c>
      <c r="J24" s="33">
        <f>I24+J21</f>
        <v/>
      </c>
      <c r="K24" s="33">
        <f>J24+K21</f>
        <v/>
      </c>
      <c r="L24" s="33">
        <f>K24+L21</f>
        <v/>
      </c>
      <c r="M24" s="33">
        <f>L24+M21</f>
        <v/>
      </c>
      <c r="N24" s="33">
        <f>M24+N21</f>
        <v/>
      </c>
    </row>
    <row r="26">
      <c r="B26" s="21" t="inlineStr">
        <is>
          <t>※既存事業の売上は前期・今期の売上平均を12か月で均等按分。季節変動は織り込んでいません。</t>
        </is>
      </c>
    </row>
    <row r="27">
      <c r="B27" s="21" t="inlineStr">
        <is>
          <t>※差額売上の粗利は、横ばい実力値から売上平均までの差額164.2百万円に粗利率30%を乗じたもの。</t>
        </is>
      </c>
    </row>
    <row r="28">
      <c r="B28" s="21" t="inlineStr">
        <is>
          <t>※上乗せ案件は原価なし。アピシウスM&amp;A仲介20.0とコンサルティング料10.0はFY2026に前倒し計上済みです。</t>
        </is>
      </c>
    </row>
    <row r="29">
      <c r="B29" s="21" t="inlineStr">
        <is>
          <t>※現物出資の追加計上は、②前提で売上0・粗利15.0百万円としています（FY2026と同じ建て付け）。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58" customWidth="1" min="5" max="5"/>
    <col width="2" customWidth="1" min="6" max="6"/>
  </cols>
  <sheetData>
    <row r="1">
      <c r="B1" s="1" t="inlineStr">
        <is>
          <t>ワイン仕入・在庫計画（FY2027）</t>
        </is>
      </c>
    </row>
    <row r="2">
      <c r="B2" s="21" t="inlineStr">
        <is>
          <t>期首在庫が187.4百万円まで下がるため、売上を作るには仕入が必要です。単位：円</t>
        </is>
      </c>
    </row>
    <row r="4">
      <c r="B4" s="13" t="inlineStr">
        <is>
          <t>【1】在庫の推移</t>
        </is>
      </c>
      <c r="C4" s="14" t="n"/>
      <c r="D4" s="14" t="n"/>
      <c r="E4" s="14" t="n"/>
    </row>
    <row r="5">
      <c r="B5" s="16" t="inlineStr">
        <is>
          <t>項目</t>
        </is>
      </c>
      <c r="C5" s="16" t="inlineStr">
        <is>
          <t>プランD</t>
        </is>
      </c>
      <c r="D5" s="16" t="inlineStr">
        <is>
          <t>プランE</t>
        </is>
      </c>
    </row>
    <row r="6">
      <c r="B6" s="4" t="inlineStr">
        <is>
          <t>期首在庫（2026/09末）</t>
        </is>
      </c>
      <c r="C6" s="5">
        <f>'②前提'!$C$39</f>
        <v/>
      </c>
      <c r="D6" s="5">
        <f>'②前提'!$C$39</f>
        <v/>
      </c>
      <c r="E6" s="2" t="inlineStr">
        <is>
          <t>FY2026着地予想より</t>
        </is>
      </c>
    </row>
    <row r="7">
      <c r="B7" s="4" t="inlineStr">
        <is>
          <t>＋ 年間仕入</t>
        </is>
      </c>
      <c r="C7" s="5">
        <f>'②前提'!$C$40</f>
        <v/>
      </c>
      <c r="D7" s="5">
        <f>'②前提'!$C$40</f>
        <v/>
      </c>
      <c r="E7" s="2" t="inlineStr">
        <is>
          <t>②前提の入力値。割当維持のため落とさない前提</t>
        </is>
      </c>
    </row>
    <row r="8">
      <c r="B8" s="4" t="inlineStr">
        <is>
          <t>− 売上原価（出庫）</t>
        </is>
      </c>
      <c r="C8" s="5">
        <f>-('①サマリー'!D8-'①サマリー'!D9)</f>
        <v/>
      </c>
      <c r="D8" s="5">
        <f>-('①サマリー'!E8-'①サマリー'!E9)</f>
        <v/>
      </c>
      <c r="E8" s="2" t="inlineStr">
        <is>
          <t>売上高−売上総利益。上乗せ案件・現物出資は原価なし</t>
        </is>
      </c>
    </row>
    <row r="9">
      <c r="B9" s="10" t="inlineStr">
        <is>
          <t>期末在庫</t>
        </is>
      </c>
      <c r="C9" s="11">
        <f>SUM(C6:C8)</f>
        <v/>
      </c>
      <c r="D9" s="11">
        <f>SUM(D6:D8)</f>
        <v/>
      </c>
      <c r="E9" s="2" t="inlineStr"/>
    </row>
    <row r="11">
      <c r="B11" s="13" t="inlineStr">
        <is>
          <t>【2】留意点</t>
        </is>
      </c>
      <c r="C11" s="14" t="n"/>
      <c r="D11" s="14" t="n"/>
      <c r="E11" s="14" t="n"/>
    </row>
    <row r="12">
      <c r="B12" s="21" t="inlineStr">
        <is>
          <t>※期首在庫は、2026/09に私募ファンドの売上計上分（原価255百万円）と現物出資分（簿価270百万円）が抜けた後の残高です。</t>
        </is>
      </c>
    </row>
    <row r="13">
      <c r="B13" s="21" t="inlineStr">
        <is>
          <t>※プランEは売上原価が589.2百万円に増えるため、仕入450百万円では期末在庫が48.3百万円まで枯渇します。</t>
        </is>
      </c>
    </row>
    <row r="14">
      <c r="B14" s="21" t="inlineStr">
        <is>
          <t xml:space="preserve">　　上振れを取りにいく場合は仕入も積み増す必要があり、その分の運転資金が追加で要ります。</t>
        </is>
      </c>
    </row>
    <row r="15">
      <c r="B15" s="21" t="inlineStr">
        <is>
          <t>※在庫を一定水準（例：期末300百万円）に保つなら、プランDで約491.7百万円、プランEで約701.7百万円の仕入が必要です。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2026-10-01T03:22:07Z</dcterms:created>
  <dcterms:modified xsi:type="dcterms:W3CDTF">2026-10-01T03:22:07Z</dcterms:modified>
</cp:coreProperties>
</file>