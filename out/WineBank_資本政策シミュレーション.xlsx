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①現状の資本構成" sheetId="1" state="visible" r:id="rId1"/>
    <sheet xmlns:r="http://schemas.openxmlformats.org/officeDocument/2006/relationships" name="②希薄化余地" sheetId="2" state="visible" r:id="rId2"/>
    <sheet xmlns:r="http://schemas.openxmlformats.org/officeDocument/2006/relationships" name="③トランシェ比較" sheetId="3" state="visible" r:id="rId3"/>
    <sheet xmlns:r="http://schemas.openxmlformats.org/officeDocument/2006/relationships" name="④2社への割付" sheetId="4" state="visible" r:id="rId4"/>
    <sheet xmlns:r="http://schemas.openxmlformats.org/officeDocument/2006/relationships" name="⑤事前に潰す論点" sheetId="5" state="visible" r:id="rId5"/>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9">
    <font>
      <name val="Calibri"/>
      <family val="2"/>
      <color theme="1"/>
      <sz val="11"/>
      <scheme val="minor"/>
    </font>
    <font>
      <name val="メイリオ"/>
      <b val="1"/>
      <sz val="15"/>
    </font>
    <font>
      <name val="メイリオ"/>
      <color rgb="008C8C8C"/>
      <sz val="9"/>
    </font>
    <font>
      <name val="メイリオ"/>
      <b val="1"/>
      <color rgb="00FFFFFF"/>
    </font>
    <font>
      <name val="メイリオ"/>
    </font>
    <font>
      <name val="メイリオ"/>
      <b val="1"/>
    </font>
    <font>
      <name val="メイリオ"/>
      <color rgb="00333333"/>
      <sz val="9"/>
    </font>
    <font>
      <name val="メイリオ"/>
      <b val="1"/>
      <color rgb="008A6A24"/>
    </font>
    <font>
      <name val="メイリオ"/>
      <color rgb="00595959"/>
    </font>
  </fonts>
  <fills count="6">
    <fill>
      <patternFill/>
    </fill>
    <fill>
      <patternFill patternType="gray125"/>
    </fill>
    <fill>
      <patternFill patternType="solid">
        <fgColor rgb="001A1A1A"/>
      </patternFill>
    </fill>
    <fill>
      <patternFill patternType="solid">
        <fgColor rgb="00F7F6F3"/>
      </patternFill>
    </fill>
    <fill>
      <patternFill patternType="solid">
        <fgColor rgb="00F4EDDC"/>
      </patternFill>
    </fill>
    <fill>
      <patternFill patternType="solid">
        <fgColor rgb="00FAF3E2"/>
      </patternFill>
    </fill>
  </fills>
  <borders count="2">
    <border>
      <left/>
      <right/>
      <top/>
      <bottom/>
      <diagonal/>
    </border>
    <border>
      <top style="thin">
        <color rgb="001A1A1A"/>
      </top>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3" fillId="2" borderId="0" applyAlignment="1" pivotButton="0" quotePrefix="0" xfId="0">
      <alignment horizontal="center"/>
    </xf>
    <xf numFmtId="0" fontId="4" fillId="3" borderId="0" pivotButton="0" quotePrefix="0" xfId="0"/>
    <xf numFmtId="164" fontId="4" fillId="3" borderId="0" pivotButton="0" quotePrefix="0" xfId="0"/>
    <xf numFmtId="165" fontId="4" fillId="3" borderId="0" pivotButton="0" quotePrefix="0" xfId="0"/>
    <xf numFmtId="0" fontId="2" fillId="3" borderId="0" pivotButton="0" quotePrefix="0" xfId="0"/>
    <xf numFmtId="0" fontId="4" fillId="0" borderId="0" pivotButton="0" quotePrefix="0" xfId="0"/>
    <xf numFmtId="164" fontId="4" fillId="0" borderId="0" pivotButton="0" quotePrefix="0" xfId="0"/>
    <xf numFmtId="165" fontId="4" fillId="0" borderId="0" pivotButton="0" quotePrefix="0" xfId="0"/>
    <xf numFmtId="0" fontId="5" fillId="3" borderId="1" pivotButton="0" quotePrefix="0" xfId="0"/>
    <xf numFmtId="164" fontId="5" fillId="3" borderId="1" pivotButton="0" quotePrefix="0" xfId="0"/>
    <xf numFmtId="165" fontId="5" fillId="3" borderId="1" pivotButton="0" quotePrefix="0" xfId="0"/>
    <xf numFmtId="0" fontId="0" fillId="3" borderId="1" pivotButton="0" quotePrefix="0" xfId="0"/>
    <xf numFmtId="0" fontId="5" fillId="4" borderId="0" pivotButton="0" quotePrefix="0" xfId="0"/>
    <xf numFmtId="164" fontId="5" fillId="4" borderId="0" pivotButton="0" quotePrefix="0" xfId="0"/>
    <xf numFmtId="165" fontId="5" fillId="4" borderId="0" pivotButton="0" quotePrefix="0" xfId="0"/>
    <xf numFmtId="0" fontId="6" fillId="0" borderId="0" pivotButton="0" quotePrefix="0" xfId="0"/>
    <xf numFmtId="0" fontId="5" fillId="0" borderId="0" pivotButton="0" quotePrefix="0" xfId="0"/>
    <xf numFmtId="164" fontId="5" fillId="3" borderId="0" pivotButton="0" quotePrefix="0" xfId="0"/>
    <xf numFmtId="165" fontId="5" fillId="3" borderId="0" pivotButton="0" quotePrefix="0" xfId="0"/>
    <xf numFmtId="166" fontId="7" fillId="5" borderId="0" pivotButton="0" quotePrefix="0" xfId="0"/>
    <xf numFmtId="166" fontId="5" fillId="3" borderId="0" pivotButton="0" quotePrefix="0" xfId="0"/>
    <xf numFmtId="164" fontId="8" fillId="3" borderId="0" pivotButton="0" quotePrefix="0" xfId="0"/>
    <xf numFmtId="164" fontId="7" fillId="5" borderId="0" pivotButton="0" quotePrefix="0" xfId="0"/>
    <xf numFmtId="165" fontId="7" fillId="5" borderId="0" pivotButton="0" quotePrefix="0" xfId="0"/>
    <xf numFmtId="166" fontId="8" fillId="3" borderId="0" pivotButton="0" quotePrefix="0" xfId="0"/>
    <xf numFmtId="0" fontId="3" fillId="2" borderId="0" applyAlignment="1" pivotButton="0" quotePrefix="0" xfId="0">
      <alignment horizontal="center" vertical="center" wrapText="1"/>
    </xf>
    <xf numFmtId="165" fontId="5" fillId="0" borderId="0" pivotButton="0" quotePrefix="0" xfId="0"/>
    <xf numFmtId="164" fontId="7" fillId="4" borderId="0" pivotButton="0" quotePrefix="0" xfId="0"/>
    <xf numFmtId="165" fontId="4" fillId="4" borderId="0" pivotButton="0" quotePrefix="0" xfId="0"/>
    <xf numFmtId="164" fontId="4" fillId="4" borderId="0" pivotButton="0" quotePrefix="0" xfId="0"/>
    <xf numFmtId="166" fontId="5" fillId="4" borderId="0" pivotButton="0" quotePrefix="0" xfId="0"/>
    <xf numFmtId="164" fontId="5" fillId="0" borderId="0" pivotButton="0" quotePrefix="0" xfId="0"/>
    <xf numFmtId="165" fontId="0" fillId="0" borderId="0" pivotButton="0" quotePrefix="0" xfId="0"/>
    <xf numFmtId="0" fontId="5" fillId="3"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28"/>
  <sheetViews>
    <sheetView showGridLines="0" workbookViewId="0">
      <selection activeCell="A1" sqref="A1"/>
    </sheetView>
  </sheetViews>
  <sheetFormatPr baseColWidth="8" defaultRowHeight="15"/>
  <cols>
    <col width="3" customWidth="1" min="1" max="1"/>
    <col width="40" customWidth="1" min="2" max="2"/>
    <col width="13" customWidth="1" min="3" max="3"/>
    <col width="11" customWidth="1" min="4" max="4"/>
    <col width="13" customWidth="1" min="5" max="5"/>
    <col width="11" customWidth="1" min="6" max="6"/>
    <col width="46" customWidth="1" min="7" max="7"/>
    <col width="2" customWidth="1" min="8" max="8"/>
  </cols>
  <sheetData>
    <row r="1">
      <c r="B1" s="1" t="inlineStr">
        <is>
          <t>WineBank 資本構成（2026年1月末 割当後）</t>
        </is>
      </c>
    </row>
    <row r="2">
      <c r="B2" s="2" t="inlineStr">
        <is>
          <t>出典：202602 資本政策案。FD＝潜在株式（ストックオプション）考慮後。単位：株</t>
        </is>
      </c>
    </row>
    <row r="4">
      <c r="B4" s="3" t="inlineStr">
        <is>
          <t>【1】株主構成</t>
        </is>
      </c>
      <c r="C4" s="4" t="n"/>
      <c r="D4" s="4" t="n"/>
      <c r="E4" s="4" t="n"/>
      <c r="F4" s="4" t="n"/>
      <c r="G4" s="4" t="n"/>
    </row>
    <row r="5">
      <c r="B5" s="5" t="inlineStr">
        <is>
          <t>株主</t>
        </is>
      </c>
      <c r="C5" s="5" t="inlineStr">
        <is>
          <t>発行済 株数</t>
        </is>
      </c>
      <c r="D5" s="5" t="inlineStr">
        <is>
          <t>比率</t>
        </is>
      </c>
      <c r="E5" s="5" t="inlineStr">
        <is>
          <t>FD 株数</t>
        </is>
      </c>
      <c r="F5" s="5" t="inlineStr">
        <is>
          <t>FD 比率</t>
        </is>
      </c>
      <c r="G5" s="5" t="inlineStr">
        <is>
          <t>区分</t>
        </is>
      </c>
    </row>
    <row r="6">
      <c r="B6" s="6" t="inlineStr">
        <is>
          <t>中野邦人</t>
        </is>
      </c>
      <c r="C6" s="7" t="n">
        <v>3413</v>
      </c>
      <c r="D6" s="8">
        <f>C6/$C$18</f>
        <v/>
      </c>
      <c r="E6" s="7" t="n">
        <v>3413</v>
      </c>
      <c r="F6" s="8">
        <f>E6/$E$18</f>
        <v/>
      </c>
      <c r="G6" s="9" t="inlineStr">
        <is>
          <t>中野ブロック</t>
        </is>
      </c>
    </row>
    <row r="7">
      <c r="B7" s="6" t="inlineStr">
        <is>
          <t>中野邦人 SO相当分</t>
        </is>
      </c>
      <c r="C7" s="7" t="n">
        <v>0</v>
      </c>
      <c r="D7" s="8">
        <f>C7/$C$18</f>
        <v/>
      </c>
      <c r="E7" s="7" t="n">
        <v>170</v>
      </c>
      <c r="F7" s="8">
        <f>E7/$E$18</f>
        <v/>
      </c>
      <c r="G7" s="9" t="inlineStr">
        <is>
          <t>中野ブロック</t>
        </is>
      </c>
    </row>
    <row r="8">
      <c r="B8" s="6" t="inlineStr">
        <is>
          <t>Crown Jewel box LLC SO相当分</t>
        </is>
      </c>
      <c r="C8" s="7" t="n">
        <v>0</v>
      </c>
      <c r="D8" s="8">
        <f>C8/$C$18</f>
        <v/>
      </c>
      <c r="E8" s="7" t="n">
        <v>287</v>
      </c>
      <c r="F8" s="8">
        <f>E8/$E$18</f>
        <v/>
      </c>
      <c r="G8" s="9" t="inlineStr">
        <is>
          <t>中野ブロック</t>
        </is>
      </c>
    </row>
    <row r="9">
      <c r="B9" s="6" t="inlineStr">
        <is>
          <t>株式会社スペースバンク</t>
        </is>
      </c>
      <c r="C9" s="7" t="n">
        <v>45</v>
      </c>
      <c r="D9" s="8">
        <f>C9/$C$18</f>
        <v/>
      </c>
      <c r="E9" s="7" t="n">
        <v>91</v>
      </c>
      <c r="F9" s="8">
        <f>E9/$E$18</f>
        <v/>
      </c>
      <c r="G9" s="9" t="inlineStr">
        <is>
          <t>中野ブロック</t>
        </is>
      </c>
    </row>
    <row r="10">
      <c r="B10" s="10" t="inlineStr">
        <is>
          <t>マネーフォワードベンチャーズ（Hirac Fund 2号）</t>
        </is>
      </c>
      <c r="C10" s="11" t="n">
        <v>749</v>
      </c>
      <c r="D10" s="12">
        <f>C10/$C$18</f>
        <v/>
      </c>
      <c r="E10" s="11" t="n">
        <v>749</v>
      </c>
      <c r="F10" s="12">
        <f>E10/$E$18</f>
        <v/>
      </c>
      <c r="G10" s="2" t="inlineStr">
        <is>
          <t>外部</t>
        </is>
      </c>
    </row>
    <row r="11">
      <c r="B11" s="10" t="inlineStr">
        <is>
          <t>株式会社Private BANK</t>
        </is>
      </c>
      <c r="C11" s="11" t="n">
        <v>375</v>
      </c>
      <c r="D11" s="12">
        <f>C11/$C$18</f>
        <v/>
      </c>
      <c r="E11" s="11" t="n">
        <v>375</v>
      </c>
      <c r="F11" s="12">
        <f>E11/$E$18</f>
        <v/>
      </c>
      <c r="G11" s="2" t="inlineStr">
        <is>
          <t>外部</t>
        </is>
      </c>
    </row>
    <row r="12">
      <c r="B12" s="10" t="inlineStr">
        <is>
          <t>戸高薫 SO相当分</t>
        </is>
      </c>
      <c r="C12" s="11" t="n">
        <v>0</v>
      </c>
      <c r="D12" s="12">
        <f>C12/$C$18</f>
        <v/>
      </c>
      <c r="E12" s="11" t="n">
        <v>200</v>
      </c>
      <c r="F12" s="12">
        <f>E12/$E$18</f>
        <v/>
      </c>
      <c r="G12" s="2" t="inlineStr">
        <is>
          <t>外部</t>
        </is>
      </c>
    </row>
    <row r="13">
      <c r="B13" s="10" t="inlineStr">
        <is>
          <t>小田垣栄司</t>
        </is>
      </c>
      <c r="C13" s="11" t="n">
        <v>200</v>
      </c>
      <c r="D13" s="12">
        <f>C13/$C$18</f>
        <v/>
      </c>
      <c r="E13" s="11" t="n">
        <v>200</v>
      </c>
      <c r="F13" s="12">
        <f>E13/$E$18</f>
        <v/>
      </c>
      <c r="G13" s="2" t="inlineStr">
        <is>
          <t>外部</t>
        </is>
      </c>
    </row>
    <row r="14">
      <c r="B14" s="10" t="inlineStr">
        <is>
          <t>株式会社ベクトル</t>
        </is>
      </c>
      <c r="C14" s="11" t="n">
        <v>157</v>
      </c>
      <c r="D14" s="12">
        <f>C14/$C$18</f>
        <v/>
      </c>
      <c r="E14" s="11" t="n">
        <v>157</v>
      </c>
      <c r="F14" s="12">
        <f>E14/$E$18</f>
        <v/>
      </c>
      <c r="G14" s="2" t="inlineStr">
        <is>
          <t>外部</t>
        </is>
      </c>
    </row>
    <row r="15">
      <c r="B15" s="10" t="inlineStr">
        <is>
          <t>個人投資家様</t>
        </is>
      </c>
      <c r="C15" s="11" t="n">
        <v>90</v>
      </c>
      <c r="D15" s="12">
        <f>C15/$C$18</f>
        <v/>
      </c>
      <c r="E15" s="11" t="n">
        <v>90</v>
      </c>
      <c r="F15" s="12">
        <f>E15/$E$18</f>
        <v/>
      </c>
      <c r="G15" s="2" t="inlineStr">
        <is>
          <t>外部</t>
        </is>
      </c>
    </row>
    <row r="16">
      <c r="B16" s="10" t="inlineStr">
        <is>
          <t>寺田倉庫株式会社</t>
        </is>
      </c>
      <c r="C16" s="11" t="n">
        <v>52</v>
      </c>
      <c r="D16" s="12">
        <f>C16/$C$18</f>
        <v/>
      </c>
      <c r="E16" s="11" t="n">
        <v>52</v>
      </c>
      <c r="F16" s="12">
        <f>E16/$E$18</f>
        <v/>
      </c>
      <c r="G16" s="2" t="inlineStr">
        <is>
          <t>外部</t>
        </is>
      </c>
    </row>
    <row r="17">
      <c r="B17" s="10" t="inlineStr">
        <is>
          <t>執行役員・従業員・その他関係者等</t>
        </is>
      </c>
      <c r="C17" s="11" t="n">
        <v>0</v>
      </c>
      <c r="D17" s="12">
        <f>C17/$C$18</f>
        <v/>
      </c>
      <c r="E17" s="11" t="n">
        <v>6</v>
      </c>
      <c r="F17" s="12">
        <f>E17/$E$18</f>
        <v/>
      </c>
      <c r="G17" s="2" t="inlineStr">
        <is>
          <t>外部</t>
        </is>
      </c>
    </row>
    <row r="18">
      <c r="B18" s="13" t="inlineStr">
        <is>
          <t>合計</t>
        </is>
      </c>
      <c r="C18" s="14">
        <f>SUM(C6:C17)</f>
        <v/>
      </c>
      <c r="D18" s="15" t="n">
        <v>1</v>
      </c>
      <c r="E18" s="14">
        <f>SUM(E6:E17)</f>
        <v/>
      </c>
      <c r="F18" s="15" t="n">
        <v>1</v>
      </c>
      <c r="G18" s="16" t="n"/>
    </row>
    <row r="20">
      <c r="B20" s="17" t="inlineStr">
        <is>
          <t>中野ブロック 小計</t>
        </is>
      </c>
      <c r="C20" s="18">
        <f>SUM(C6:C9)</f>
        <v/>
      </c>
      <c r="D20" s="19">
        <f>C20/C18</f>
        <v/>
      </c>
      <c r="E20" s="18">
        <f>SUM(E6:E9)</f>
        <v/>
      </c>
      <c r="F20" s="19">
        <f>E20/E18</f>
        <v/>
      </c>
      <c r="G20" s="20" t="inlineStr">
        <is>
          <t>中野邦人＋100%保有法人（Crown Jewel box・スペースバンク）</t>
        </is>
      </c>
    </row>
    <row r="21">
      <c r="B21" s="21" t="inlineStr">
        <is>
          <t>外部株主 小計</t>
        </is>
      </c>
      <c r="C21" s="22">
        <f>C18-C20</f>
        <v/>
      </c>
      <c r="D21" s="23">
        <f>C21/C18</f>
        <v/>
      </c>
      <c r="E21" s="22">
        <f>E18-E20</f>
        <v/>
      </c>
      <c r="F21" s="23">
        <f>E21/E18</f>
        <v/>
      </c>
    </row>
    <row r="23">
      <c r="B23" s="3" t="inlineStr">
        <is>
          <t>【2】直近ラウンドの条件</t>
        </is>
      </c>
      <c r="C23" s="4" t="n"/>
      <c r="D23" s="4" t="n"/>
      <c r="E23" s="4" t="n"/>
      <c r="F23" s="4" t="n"/>
      <c r="G23" s="4" t="n"/>
    </row>
    <row r="24">
      <c r="B24" s="10" t="inlineStr">
        <is>
          <t>直近発行価額（2026年1月ラウンド）</t>
        </is>
      </c>
      <c r="C24" s="24" t="n">
        <v>450000</v>
      </c>
      <c r="G24" s="2" t="inlineStr">
        <is>
          <t>第三者割当 357株・調達160,650千円</t>
        </is>
      </c>
    </row>
    <row r="25">
      <c r="B25" s="10" t="inlineStr">
        <is>
          <t>ポストマネー評価額</t>
        </is>
      </c>
      <c r="C25" s="25">
        <f>E18*C24</f>
        <v/>
      </c>
      <c r="G25" s="2" t="inlineStr">
        <is>
          <t>FD株数 × 発行価額</t>
        </is>
      </c>
    </row>
    <row r="26">
      <c r="B26" s="10" t="inlineStr">
        <is>
          <t>中野ブロックの持分価値</t>
        </is>
      </c>
      <c r="C26" s="25">
        <f>E20*C24</f>
        <v/>
      </c>
      <c r="G26" s="2" t="inlineStr">
        <is>
          <t>FD株数 × 発行価額</t>
        </is>
      </c>
    </row>
    <row r="28">
      <c r="B28" s="20" t="inlineStr">
        <is>
          <t>※Crown Jewel box は資本政策表上「Clown Jewel box LLC」と表記。上場審査資料では登記名との一致が必要です。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G25"/>
  <sheetViews>
    <sheetView showGridLines="0" workbookViewId="0">
      <selection activeCell="A1" sqref="A1"/>
    </sheetView>
  </sheetViews>
  <sheetFormatPr baseColWidth="8" defaultRowHeight="15"/>
  <cols>
    <col width="3" customWidth="1" min="1" max="1"/>
    <col width="42" customWidth="1" min="2" max="2"/>
    <col width="15" customWidth="1" min="3" max="3"/>
    <col width="15" customWidth="1" min="4" max="4"/>
    <col width="15" customWidth="1" min="5" max="5"/>
    <col width="15" customWidth="1" min="6" max="6"/>
    <col width="44" customWidth="1" min="7" max="7"/>
    <col width="2" customWidth="1" min="8" max="8"/>
  </cols>
  <sheetData>
    <row r="1">
      <c r="B1" s="1" t="inlineStr">
        <is>
          <t>「中野ブロック50%」をどこで測るか</t>
        </is>
      </c>
    </row>
    <row r="2">
      <c r="B2" s="20" t="inlineStr">
        <is>
          <t>戦略ラウンドの直後で50%にすると、上場時の公募増資でさらに希薄化し50%を割ります。</t>
        </is>
      </c>
    </row>
    <row r="4">
      <c r="B4" s="3" t="inlineStr">
        <is>
          <t>【1】前提</t>
        </is>
      </c>
      <c r="C4" s="4" t="n"/>
      <c r="D4" s="4" t="n"/>
      <c r="E4" s="4" t="n"/>
      <c r="F4" s="4" t="n"/>
      <c r="G4" s="4" t="n"/>
    </row>
    <row r="5">
      <c r="B5" s="10" t="inlineStr">
        <is>
          <t>現在のFD株数</t>
        </is>
      </c>
      <c r="C5" s="26">
        <f>'①現状の資本構成'!E18</f>
        <v/>
      </c>
      <c r="G5" s="2" t="inlineStr">
        <is>
          <t>①現状の資本構成から参照</t>
        </is>
      </c>
    </row>
    <row r="6">
      <c r="B6" s="10" t="inlineStr">
        <is>
          <t>中野ブロック FD株数</t>
        </is>
      </c>
      <c r="C6" s="26">
        <f>'①現状の資本構成'!E20</f>
        <v/>
      </c>
      <c r="G6" s="2" t="inlineStr">
        <is>
          <t>①現状の資本構成から参照</t>
        </is>
      </c>
    </row>
    <row r="7">
      <c r="B7" s="10" t="inlineStr">
        <is>
          <t>中野ブロック 現在比率</t>
        </is>
      </c>
      <c r="C7" s="19">
        <f>C6/C5</f>
        <v/>
      </c>
      <c r="G7" s="2" t="inlineStr"/>
    </row>
    <row r="8">
      <c r="B8" s="10" t="inlineStr">
        <is>
          <t>流通株式適格（既存外部・10%未満かつ非役員）</t>
        </is>
      </c>
      <c r="C8" s="27" t="n">
        <v>1423</v>
      </c>
      <c r="G8" s="2" t="inlineStr">
        <is>
          <t>MFV749＋Private BANK375＋ベクトル157＋寺田52＋個人90</t>
        </is>
      </c>
    </row>
    <row r="9">
      <c r="B9" s="10" t="inlineStr">
        <is>
          <t>上場時 流通株式比率の要件</t>
        </is>
      </c>
      <c r="C9" s="28" t="n">
        <v>0.25</v>
      </c>
      <c r="G9" s="2" t="inlineStr">
        <is>
          <t>東証グロース。10%以上の株主・役員等の保有分は流通株式から除外</t>
        </is>
      </c>
    </row>
    <row r="10">
      <c r="B10" s="10" t="inlineStr">
        <is>
          <t>直近発行価額</t>
        </is>
      </c>
      <c r="C10" s="29">
        <f>'①現状の資本構成'!C24</f>
        <v/>
      </c>
      <c r="G10" s="2" t="inlineStr">
        <is>
          <t>①現状の資本構成から参照</t>
        </is>
      </c>
    </row>
    <row r="12">
      <c r="B12" s="3" t="inlineStr">
        <is>
          <t>【2】戦略ラウンドの規模別シミュレーション　※上場時に流通25%を満たす最小公募を置いた場合</t>
        </is>
      </c>
      <c r="C12" s="4" t="n"/>
      <c r="D12" s="4" t="n"/>
      <c r="E12" s="4" t="n"/>
      <c r="F12" s="4" t="n"/>
      <c r="G12" s="4" t="n"/>
    </row>
    <row r="13" ht="40" customHeight="1">
      <c r="B13" s="30" t="inlineStr">
        <is>
          <t>戦略ラウンド 発行株数</t>
        </is>
      </c>
      <c r="C13" s="30" t="inlineStr">
        <is>
          <t>ラウンド直後の
新株主比率</t>
        </is>
      </c>
      <c r="D13" s="30" t="inlineStr">
        <is>
          <t>ラウンド直後の
中野ブロック</t>
        </is>
      </c>
      <c r="E13" s="30" t="inlineStr">
        <is>
          <t>上場時に必要な
公募株数</t>
        </is>
      </c>
      <c r="F13" s="30" t="inlineStr">
        <is>
          <t>上場時の
中野ブロック</t>
        </is>
      </c>
    </row>
    <row r="14">
      <c r="B14" s="27" t="n">
        <v>0</v>
      </c>
      <c r="C14" s="12">
        <f>B14/($C$5+B14)</f>
        <v/>
      </c>
      <c r="D14" s="12">
        <f>$C$6/($C$5+B14)</f>
        <v/>
      </c>
      <c r="E14" s="11">
        <f>MAX(0,ROUNDUP((($C$9*($C$5+B14))-$C$8)/(1-$C$9),0))</f>
        <v/>
      </c>
      <c r="F14" s="31">
        <f>$C$6/($C$5+B14+E14)</f>
        <v/>
      </c>
    </row>
    <row r="15">
      <c r="B15" s="27" t="n">
        <v>600</v>
      </c>
      <c r="C15" s="12">
        <f>B15/($C$5+B15)</f>
        <v/>
      </c>
      <c r="D15" s="12">
        <f>$C$6/($C$5+B15)</f>
        <v/>
      </c>
      <c r="E15" s="11">
        <f>MAX(0,ROUNDUP((($C$9*($C$5+B15))-$C$8)/(1-$C$9),0))</f>
        <v/>
      </c>
      <c r="F15" s="31">
        <f>$C$6/($C$5+B15+E15)</f>
        <v/>
      </c>
    </row>
    <row r="16">
      <c r="B16" s="27" t="n">
        <v>900</v>
      </c>
      <c r="C16" s="12">
        <f>B16/($C$5+B16)</f>
        <v/>
      </c>
      <c r="D16" s="12">
        <f>$C$6/($C$5+B16)</f>
        <v/>
      </c>
      <c r="E16" s="11">
        <f>MAX(0,ROUNDUP((($C$9*($C$5+B16))-$C$8)/(1-$C$9),0))</f>
        <v/>
      </c>
      <c r="F16" s="31">
        <f>$C$6/($C$5+B16+E16)</f>
        <v/>
      </c>
    </row>
    <row r="17">
      <c r="B17" s="27" t="n">
        <v>1200</v>
      </c>
      <c r="C17" s="12">
        <f>B17/($C$5+B17)</f>
        <v/>
      </c>
      <c r="D17" s="12">
        <f>$C$6/($C$5+B17)</f>
        <v/>
      </c>
      <c r="E17" s="11">
        <f>MAX(0,ROUNDUP((($C$9*($C$5+B17))-$C$8)/(1-$C$9),0))</f>
        <v/>
      </c>
      <c r="F17" s="31">
        <f>$C$6/($C$5+B17+E17)</f>
        <v/>
      </c>
    </row>
    <row r="18">
      <c r="B18" s="32" t="n">
        <v>1500</v>
      </c>
      <c r="C18" s="33">
        <f>B18/($C$5+B18)</f>
        <v/>
      </c>
      <c r="D18" s="33">
        <f>$C$6/($C$5+B18)</f>
        <v/>
      </c>
      <c r="E18" s="34">
        <f>MAX(0,ROUNDUP((($C$9*($C$5+B18))-$C$8)/(1-$C$9),0))</f>
        <v/>
      </c>
      <c r="F18" s="19">
        <f>$C$6/($C$5+B18+E18)</f>
        <v/>
      </c>
      <c r="G18" s="20" t="inlineStr">
        <is>
          <t>★上場時に中野ブロック50%超を維持できる上限</t>
        </is>
      </c>
    </row>
    <row r="19">
      <c r="B19" s="27" t="n">
        <v>1600</v>
      </c>
      <c r="C19" s="12">
        <f>B19/($C$5+B19)</f>
        <v/>
      </c>
      <c r="D19" s="12">
        <f>$C$6/($C$5+B19)</f>
        <v/>
      </c>
      <c r="E19" s="11">
        <f>MAX(0,ROUNDUP((($C$9*($C$5+B19))-$C$8)/(1-$C$9),0))</f>
        <v/>
      </c>
      <c r="F19" s="31">
        <f>$C$6/($C$5+B19+E19)</f>
        <v/>
      </c>
    </row>
    <row r="20">
      <c r="B20" s="27" t="n">
        <v>1800</v>
      </c>
      <c r="C20" s="12">
        <f>B20/($C$5+B20)</f>
        <v/>
      </c>
      <c r="D20" s="12">
        <f>$C$6/($C$5+B20)</f>
        <v/>
      </c>
      <c r="E20" s="11">
        <f>MAX(0,ROUNDUP((($C$9*($C$5+B20))-$C$8)/(1-$C$9),0))</f>
        <v/>
      </c>
      <c r="F20" s="31">
        <f>$C$6/($C$5+B20+E20)</f>
        <v/>
      </c>
    </row>
    <row r="21">
      <c r="B21" s="27" t="n">
        <v>2132</v>
      </c>
      <c r="C21" s="12">
        <f>B21/($C$5+B21)</f>
        <v/>
      </c>
      <c r="D21" s="12">
        <f>$C$6/($C$5+B21)</f>
        <v/>
      </c>
      <c r="E21" s="11">
        <f>MAX(0,ROUNDUP((($C$9*($C$5+B21))-$C$8)/(1-$C$9),0))</f>
        <v/>
      </c>
      <c r="F21" s="31">
        <f>$C$6/($C$5+B21+E21)</f>
        <v/>
      </c>
    </row>
    <row r="23">
      <c r="B23" s="2" t="inlineStr">
        <is>
          <t>※黄色セル（発行株数）を変えると全列が再計算されます。</t>
        </is>
      </c>
    </row>
    <row r="24">
      <c r="B24" s="20" t="inlineStr">
        <is>
          <t>※上場時の中野ブロックは、戦略ラウンドと公募増資の二段階の希薄化を反映した値です。</t>
        </is>
      </c>
    </row>
    <row r="25">
      <c r="B25" s="2" t="inlineStr">
        <is>
          <t>※戦略株主が各10%超で保有する前提。10%未満に抑えれば流通株式に算入され、必要公募株数は減ります。</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G20"/>
  <sheetViews>
    <sheetView showGridLines="0" workbookViewId="0">
      <selection activeCell="A1" sqref="A1"/>
    </sheetView>
  </sheetViews>
  <sheetFormatPr baseColWidth="8" defaultRowHeight="15"/>
  <cols>
    <col width="3" customWidth="1" min="1" max="1"/>
    <col width="34" customWidth="1" min="2" max="2"/>
    <col width="16" customWidth="1" min="3" max="3"/>
    <col width="16" customWidth="1" min="4" max="4"/>
    <col width="16" customWidth="1" min="5" max="5"/>
    <col width="16" customWidth="1" min="6" max="6"/>
    <col width="40" customWidth="1" min="7" max="7"/>
    <col width="2" customWidth="1" min="8" max="8"/>
  </cols>
  <sheetData>
    <row r="1">
      <c r="B1" s="1" t="inlineStr">
        <is>
          <t>同じ希薄化で、いくら調達できるか</t>
        </is>
      </c>
    </row>
    <row r="2">
      <c r="B2" s="20" t="inlineStr">
        <is>
          <t>戦略ラウンドを2回に分けると、着地の持分を変えずに調達額を約1.4倍にできます。</t>
        </is>
      </c>
    </row>
    <row r="4">
      <c r="B4" s="3" t="inlineStr">
        <is>
          <t>【1】比較</t>
        </is>
      </c>
      <c r="C4" s="4" t="n"/>
      <c r="D4" s="4" t="n"/>
      <c r="E4" s="4" t="n"/>
      <c r="F4" s="4" t="n"/>
      <c r="G4" s="4" t="n"/>
    </row>
    <row r="5">
      <c r="B5" s="5" t="inlineStr"/>
      <c r="C5" s="5" t="inlineStr">
        <is>
          <t>案A：一括</t>
        </is>
      </c>
      <c r="D5" s="5" t="inlineStr">
        <is>
          <t>案B：2トランシェ</t>
        </is>
      </c>
      <c r="E5" s="5" t="inlineStr">
        <is>
          <t>差 B−A</t>
        </is>
      </c>
    </row>
    <row r="6">
      <c r="B6" s="10" t="inlineStr">
        <is>
          <t>第1トランシェ 株数</t>
        </is>
      </c>
      <c r="C6" s="27" t="n">
        <v>1500</v>
      </c>
      <c r="D6" s="27" t="n">
        <v>900</v>
      </c>
    </row>
    <row r="7">
      <c r="B7" s="10" t="inlineStr">
        <is>
          <t>第1トランシェ 発行価額</t>
        </is>
      </c>
      <c r="C7" s="24" t="n">
        <v>450000</v>
      </c>
      <c r="D7" s="24" t="n">
        <v>450000</v>
      </c>
    </row>
    <row r="8">
      <c r="B8" s="10" t="inlineStr">
        <is>
          <t>第1トランシェ 調達額</t>
        </is>
      </c>
      <c r="C8" s="25">
        <f>C6*C7</f>
        <v/>
      </c>
      <c r="D8" s="25">
        <f>D6*D7</f>
        <v/>
      </c>
    </row>
    <row r="9">
      <c r="B9" s="10" t="inlineStr">
        <is>
          <t>第2トランシェ 株数</t>
        </is>
      </c>
      <c r="C9" s="27" t="n">
        <v>0</v>
      </c>
      <c r="D9" s="27" t="n">
        <v>600</v>
      </c>
    </row>
    <row r="10">
      <c r="B10" s="10" t="inlineStr">
        <is>
          <t>第2トランシェ 発行価額</t>
        </is>
      </c>
      <c r="C10" s="24" t="n">
        <v>0</v>
      </c>
      <c r="D10" s="24" t="n">
        <v>900000</v>
      </c>
    </row>
    <row r="11">
      <c r="B11" s="10" t="inlineStr">
        <is>
          <t>第2トランシェ 調達額</t>
        </is>
      </c>
      <c r="C11" s="25">
        <f>C9*C10</f>
        <v/>
      </c>
      <c r="D11" s="25">
        <f>D9*D10</f>
        <v/>
      </c>
    </row>
    <row r="12">
      <c r="B12" s="21" t="inlineStr">
        <is>
          <t>調達額 合計</t>
        </is>
      </c>
      <c r="C12" s="35">
        <f>C8+C11</f>
        <v/>
      </c>
      <c r="D12" s="35">
        <f>D8+D11</f>
        <v/>
      </c>
      <c r="E12" s="25">
        <f>D12-C12</f>
        <v/>
      </c>
    </row>
    <row r="13">
      <c r="B13" s="21" t="inlineStr">
        <is>
          <t>戦略株主 合計株数</t>
        </is>
      </c>
      <c r="C13" s="22">
        <f>C6+C9</f>
        <v/>
      </c>
      <c r="D13" s="22">
        <f>D6+D9</f>
        <v/>
      </c>
    </row>
    <row r="14">
      <c r="B14" s="10" t="inlineStr">
        <is>
          <t>上場前 総株数（FD）</t>
        </is>
      </c>
      <c r="C14" s="22">
        <f>'②希薄化余地'!$C$5+C13</f>
        <v/>
      </c>
      <c r="D14" s="22">
        <f>'②希薄化余地'!$C$5+D13</f>
        <v/>
      </c>
    </row>
    <row r="15">
      <c r="B15" s="10" t="inlineStr">
        <is>
          <t>上場時に必要な公募株数</t>
        </is>
      </c>
      <c r="C15" s="22">
        <f>MAX(0,ROUNDUP((('②希薄化余地'!$C$9*C14)-'②希薄化余地'!$C$8)/(1-'②希薄化余地'!$C$9),0))</f>
        <v/>
      </c>
      <c r="D15" s="22">
        <f>MAX(0,ROUNDUP((('②希薄化余地'!$C$9*D14)-'②希薄化余地'!$C$8)/(1-'②希薄化余地'!$C$9),0))</f>
        <v/>
      </c>
    </row>
    <row r="16">
      <c r="B16" s="10" t="inlineStr">
        <is>
          <t>上場時 総株数</t>
        </is>
      </c>
      <c r="C16" s="22">
        <f>C14+C15</f>
        <v/>
      </c>
      <c r="D16" s="22">
        <f>D14+D15</f>
        <v/>
      </c>
    </row>
    <row r="17">
      <c r="B17" s="21" t="inlineStr">
        <is>
          <t>上場時 中野ブロック比率</t>
        </is>
      </c>
      <c r="C17" s="19">
        <f>'②希薄化余地'!$C$6/C16</f>
        <v/>
      </c>
      <c r="D17" s="19">
        <f>'②希薄化余地'!$C$6/D16</f>
        <v/>
      </c>
      <c r="E17" s="23">
        <f>D17-C17</f>
        <v/>
      </c>
    </row>
    <row r="19">
      <c r="B19" s="20" t="inlineStr">
        <is>
          <t>※案Bの第2トランシェ価額90万円は、プランD（経常＋120.4百万円）を実現した後のステップアップを想定した仮置きです。</t>
        </is>
      </c>
    </row>
    <row r="20">
      <c r="B20" s="20" t="inlineStr">
        <is>
          <t>※FY2026の着地（経常▲124.8百万円）で全量を price すると、最も不利な時点で希薄化を確定させることになります。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G14"/>
  <sheetViews>
    <sheetView showGridLines="0" workbookViewId="0">
      <selection activeCell="A1" sqref="A1"/>
    </sheetView>
  </sheetViews>
  <sheetFormatPr baseColWidth="8" defaultRowHeight="15"/>
  <cols>
    <col width="3" customWidth="1" min="1" max="1"/>
    <col width="34" customWidth="1" min="2" max="2"/>
    <col width="14" customWidth="1" min="3" max="3"/>
    <col width="14" customWidth="1" min="4" max="4"/>
    <col width="14" customWidth="1" min="5" max="5"/>
    <col width="14" customWidth="1" min="6" max="6"/>
    <col width="44" customWidth="1" min="7" max="7"/>
    <col width="2" customWidth="1" min="8" max="8"/>
  </cols>
  <sheetData>
    <row r="1">
      <c r="B1" s="1" t="inlineStr">
        <is>
          <t>戦略パートナー2社への割付案（案B・合計1,500株）</t>
        </is>
      </c>
    </row>
    <row r="2">
      <c r="B2" s="2" t="inlineStr">
        <is>
          <t>各社を15%未満に抑え、持分法適用（相手側の損益取込み）を回避します。</t>
        </is>
      </c>
    </row>
    <row r="4">
      <c r="B4" s="3" t="inlineStr">
        <is>
          <t>【1】割付</t>
        </is>
      </c>
      <c r="C4" s="4" t="n"/>
      <c r="D4" s="4" t="n"/>
      <c r="E4" s="4" t="n"/>
      <c r="F4" s="4" t="n"/>
      <c r="G4" s="4" t="n"/>
    </row>
    <row r="5">
      <c r="B5" s="5" t="inlineStr"/>
      <c r="C5" s="5" t="inlineStr">
        <is>
          <t>第1トランシェ</t>
        </is>
      </c>
      <c r="D5" s="5" t="inlineStr">
        <is>
          <t>第2トランシェ</t>
        </is>
      </c>
      <c r="E5" s="5" t="inlineStr">
        <is>
          <t>合計 株数</t>
        </is>
      </c>
      <c r="F5" s="5" t="inlineStr">
        <is>
          <t>上場前 比率</t>
        </is>
      </c>
      <c r="G5" s="5" t="inlineStr">
        <is>
          <t>上場時 比率</t>
        </is>
      </c>
    </row>
    <row r="6">
      <c r="B6" s="10" t="inlineStr">
        <is>
          <t>金融・資本市場パートナー</t>
        </is>
      </c>
      <c r="C6" s="27" t="n">
        <v>450</v>
      </c>
      <c r="D6" s="27" t="n">
        <v>300</v>
      </c>
      <c r="E6" s="36">
        <f>C6+D6</f>
        <v/>
      </c>
      <c r="F6" s="37">
        <f>E6/'③トランシェ比較'!$D$14</f>
        <v/>
      </c>
      <c r="G6" s="37">
        <f>E6/'③トランシェ比較'!$D$16</f>
        <v/>
      </c>
    </row>
    <row r="7">
      <c r="B7" s="10" t="inlineStr">
        <is>
          <t>富裕層・二次流通パートナー</t>
        </is>
      </c>
      <c r="C7" s="27" t="n">
        <v>450</v>
      </c>
      <c r="D7" s="27" t="n">
        <v>300</v>
      </c>
      <c r="E7" s="36">
        <f>C7+D7</f>
        <v/>
      </c>
      <c r="F7" s="37">
        <f>E7/'③トランシェ比較'!$D$14</f>
        <v/>
      </c>
      <c r="G7" s="37">
        <f>E7/'③トランシェ比較'!$D$16</f>
        <v/>
      </c>
    </row>
    <row r="8">
      <c r="B8" s="13" t="inlineStr">
        <is>
          <t>合計</t>
        </is>
      </c>
      <c r="C8" s="14">
        <f>SUM(C6:C7)</f>
        <v/>
      </c>
      <c r="D8" s="14">
        <f>SUM(D6:D7)</f>
        <v/>
      </c>
      <c r="E8" s="14">
        <f>SUM(E6:E7)</f>
        <v/>
      </c>
      <c r="F8" s="15">
        <f>SUM(F6:F7)</f>
        <v/>
      </c>
      <c r="G8" s="15">
        <f>SUM(G6:G7)</f>
        <v/>
      </c>
    </row>
    <row r="10">
      <c r="B10" s="3" t="inlineStr">
        <is>
          <t>【2】守るべき閾値</t>
        </is>
      </c>
      <c r="C10" s="4" t="n"/>
      <c r="D10" s="4" t="n"/>
      <c r="E10" s="4" t="n"/>
      <c r="F10" s="4" t="n"/>
      <c r="G10" s="4" t="n"/>
    </row>
    <row r="11" ht="30" customHeight="1">
      <c r="B11" s="38" t="inlineStr">
        <is>
          <t>各社 15%未満</t>
        </is>
      </c>
      <c r="C11" s="39" t="inlineStr">
        <is>
          <t>持分法適用（相手側が当社損益を取り込む）を回避。20%以上は原則適用、15〜20%も役員派遣等で適用され得る</t>
        </is>
      </c>
    </row>
    <row r="12" ht="30" customHeight="1">
      <c r="B12" s="38" t="inlineStr">
        <is>
          <t>2社合計 33.3%以下</t>
        </is>
      </c>
      <c r="C12" s="39" t="inlineStr">
        <is>
          <t>特別決議の拒否権を渡さない</t>
        </is>
      </c>
    </row>
    <row r="13" ht="30" customHeight="1">
      <c r="B13" s="38" t="inlineStr">
        <is>
          <t>上場時 中野ブロック 50%超</t>
        </is>
      </c>
      <c r="C13" s="39" t="inlineStr">
        <is>
          <t>戦略ラウンドと公募増資の二段階の希薄化を反映した後の水準で測る</t>
        </is>
      </c>
    </row>
    <row r="14" ht="30" customHeight="1">
      <c r="B14" s="38" t="inlineStr">
        <is>
          <t>流通株式比率 25%以上</t>
        </is>
      </c>
      <c r="C14" s="39" t="inlineStr">
        <is>
          <t>東証グロース。戦略株主にはロックアップと一部売出しを出資契約の時点で合意しておく</t>
        </is>
      </c>
    </row>
  </sheetData>
  <mergeCells count="4">
    <mergeCell ref="C13:G13"/>
    <mergeCell ref="C14:G14"/>
    <mergeCell ref="C12:G12"/>
    <mergeCell ref="C11:G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C18"/>
  <sheetViews>
    <sheetView showGridLines="0" workbookViewId="0">
      <selection activeCell="A1" sqref="A1"/>
    </sheetView>
  </sheetViews>
  <sheetFormatPr baseColWidth="8" defaultRowHeight="15"/>
  <cols>
    <col width="3" customWidth="1" min="1" max="1"/>
    <col width="26" customWidth="1" min="2" max="2"/>
    <col width="96" customWidth="1" min="3" max="3"/>
    <col width="2" customWidth="1" min="8" max="8"/>
  </cols>
  <sheetData>
    <row r="1">
      <c r="B1" s="1" t="inlineStr">
        <is>
          <t>パートナー打診の前に片づけておく論点</t>
        </is>
      </c>
    </row>
    <row r="2">
      <c r="B2" s="20" t="inlineStr">
        <is>
          <t>いずれもデューデリジェンスで必ず出ます。後から出ると交渉力を失います。</t>
        </is>
      </c>
    </row>
    <row r="4">
      <c r="B4" s="3" t="inlineStr">
        <is>
          <t>【1】論点</t>
        </is>
      </c>
      <c r="C4" s="4" t="n"/>
    </row>
    <row r="6" ht="46" customHeight="1">
      <c r="B6" s="17" t="inlineStr">
        <is>
          <t>関連当事者　持分</t>
        </is>
      </c>
      <c r="C6" s="39" t="inlineStr">
        <is>
          <t>Crown Jewel box LLC SO 287株（FD 5.0%）とスペースバンク 91株（同1.6%）の計378株・6.5%が中野氏100%保有法人。法人へのストックオプション付与は通常の設計ではなく、主幹事・監査法人から必ず論点化されます。</t>
        </is>
      </c>
    </row>
    <row r="8" ht="46" customHeight="1">
      <c r="B8" s="17" t="inlineStr">
        <is>
          <t>関連当事者　取引</t>
        </is>
      </c>
      <c r="C8" s="39" t="inlineStr">
        <is>
          <t>FY2027計画のコンサルティング料92.5百万円は中野出資グループからの収入。銀行向けに用意した「支払能力と対価の算定根拠」の文書化を先行させ、DDの一次資料として提出できる状態にしておく。</t>
        </is>
      </c>
    </row>
    <row r="10" ht="46" customHeight="1">
      <c r="B10" s="17" t="inlineStr">
        <is>
          <t>選択肢：取り込み</t>
        </is>
      </c>
      <c r="C10" s="39" t="inlineStr">
        <is>
          <t>スペースバンク・Crown Jewel box に実体事業があるなら、株式交換または現物出資でWineBankに取り込む案がある。①関連当事者論点が消える ②中野氏の持分が増えて戦略ラウンドの希薄化を相殺できる ③事業ストーリーが1本化される。両社の事業内容・売上・純資産の確認が先。</t>
        </is>
      </c>
    </row>
    <row r="12" ht="46" customHeight="1">
      <c r="B12" s="17" t="inlineStr">
        <is>
          <t>プロラタ権</t>
        </is>
      </c>
      <c r="C12" s="39" t="inlineStr">
        <is>
          <t>マネーフォワードベンチャーズ（FD 12.9%・最大の外部株主）の引受権・希薄化防止条項の有無を投資契約で確認。パートナー探索を勧めているのは同社なので、事前に方針をすり合わせておくのが早い。</t>
        </is>
      </c>
    </row>
    <row r="14" ht="46" customHeight="1">
      <c r="B14" s="17" t="inlineStr">
        <is>
          <t>種類株の設計</t>
        </is>
      </c>
      <c r="C14" s="39" t="inlineStr">
        <is>
          <t>2026年1月ラウンドは種類株での調達実績あり。議決権のない種類株にすれば、中野持分を薄めずに資金を入れられ、相手側も持分法適用を避けられる。取締役会オブザーバー席＋事前承諾事項で実質的な関与を担保する。</t>
        </is>
      </c>
    </row>
    <row r="16" ht="46" customHeight="1">
      <c r="B16" s="17" t="inlineStr">
        <is>
          <t>プライシングの時期</t>
        </is>
      </c>
      <c r="C16" s="39" t="inlineStr">
        <is>
          <t>FY2026着地（経常▲124.8百万円）でバリュエーション交渉に入るのは最も不利。デューデリジェンスは今すぐ着手し、価格決定はFY2027 第1〜第2四半期の実績が出た後に置く。</t>
        </is>
      </c>
    </row>
    <row r="18" ht="46" customHeight="1">
      <c r="B18" s="17" t="inlineStr">
        <is>
          <t>ワインファンドの前歴</t>
        </is>
      </c>
      <c r="C18" s="39" t="inlineStr">
        <is>
          <t>2016年のVIN-NET破綻（約36億円が償還不能）で日本のワインファンド市場は止まった経緯があり、どの相手からも必ず問われます。現物保管・所有権の明確化・第三者評価の3点で答えを用意する。規制業者である証券会社を株主に入れること自体が、この疑念への回答にな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2026-08-29T14:08:02Z</dcterms:created>
  <dcterms:modified xmlns:dcterms="http://purl.org/dc/terms/" xmlns:xsi="http://www.w3.org/2001/XMLSchema-instance" xsi:type="dcterms:W3CDTF">2026-08-29T14:08:02Z</dcterms:modified>
</cp:coreProperties>
</file>