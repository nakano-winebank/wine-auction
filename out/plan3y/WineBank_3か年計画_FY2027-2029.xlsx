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3年サマリー" sheetId="1" state="visible" r:id="rId3"/>
    <sheet name="③前提" sheetId="2" state="visible" r:id="rId4"/>
    <sheet name="④FY2026着地" sheetId="3" state="visible" r:id="rId5"/>
    <sheet name="②シナリオ比較" sheetId="4" state="visible" r:id="rId6"/>
    <sheet name="⑤部門別損益" sheetId="5" state="visible" r:id="rId7"/>
    <sheet name="⑥部門別月次_FY2027" sheetId="6" state="visible" r:id="rId8"/>
    <sheet name="⑦資金繰り・在庫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<sst xmlns="http://schemas.openxmlformats.org/spreadsheetml/2006/main" count="447" uniqueCount="235">
  <si>
    <r>
      <rPr>
        <b val="true"/>
        <sz val="15"/>
        <rFont val="メイリオ"/>
        <family val="0"/>
        <charset val="1"/>
      </rPr>
      <t xml:space="preserve">3</t>
    </r>
    <r>
      <rPr>
        <b val="true"/>
        <sz val="15"/>
        <rFont val="WenQuanYi Zen Hei"/>
        <family val="2"/>
      </rPr>
      <t xml:space="preserve">か年計画 </t>
    </r>
    <r>
      <rPr>
        <b val="true"/>
        <sz val="15"/>
        <rFont val="メイリオ"/>
        <family val="0"/>
        <charset val="1"/>
      </rPr>
      <t xml:space="preserve">FY2027</t>
    </r>
    <r>
      <rPr>
        <b val="true"/>
        <sz val="15"/>
        <rFont val="WenQuanYi Zen Hei"/>
        <family val="2"/>
      </rPr>
      <t xml:space="preserve">〜</t>
    </r>
    <r>
      <rPr>
        <b val="true"/>
        <sz val="15"/>
        <rFont val="メイリオ"/>
        <family val="0"/>
        <charset val="1"/>
      </rPr>
      <t xml:space="preserve">FY2029</t>
    </r>
    <r>
      <rPr>
        <b val="true"/>
        <sz val="15"/>
        <rFont val="WenQuanYi Zen Hei"/>
        <family val="2"/>
      </rPr>
      <t xml:space="preserve">（プラン</t>
    </r>
    <r>
      <rPr>
        <b val="true"/>
        <sz val="15"/>
        <rFont val="メイリオ"/>
        <family val="0"/>
        <charset val="1"/>
      </rPr>
      <t xml:space="preserve">D</t>
    </r>
    <r>
      <rPr>
        <b val="true"/>
        <sz val="15"/>
        <rFont val="WenQuanYi Zen Hei"/>
        <family val="2"/>
      </rPr>
      <t xml:space="preserve">）</t>
    </r>
  </si>
  <si>
    <r>
      <rPr>
        <sz val="9"/>
        <color rgb="FF8C8C8C"/>
        <rFont val="メイリオ"/>
        <family val="0"/>
        <charset val="1"/>
      </rPr>
      <t xml:space="preserve">FY2026</t>
    </r>
    <r>
      <rPr>
        <sz val="9"/>
        <color rgb="FF8C8C8C"/>
        <rFont val="WenQuanYi Zen Hei"/>
        <family val="2"/>
      </rPr>
      <t xml:space="preserve">は吉田さん作成の着地見込（</t>
    </r>
    <r>
      <rPr>
        <sz val="9"/>
        <color rgb="FF8C8C8C"/>
        <rFont val="メイリオ"/>
        <family val="0"/>
        <charset val="1"/>
      </rPr>
      <t xml:space="preserve">2026/10/13</t>
    </r>
    <r>
      <rPr>
        <sz val="9"/>
        <color rgb="FF8C8C8C"/>
        <rFont val="WenQuanYi Zen Hei"/>
        <family val="2"/>
      </rPr>
      <t xml:space="preserve">版）。</t>
    </r>
    <r>
      <rPr>
        <sz val="9"/>
        <color rgb="FF8C8C8C"/>
        <rFont val="メイリオ"/>
        <family val="0"/>
        <charset val="1"/>
      </rPr>
      <t xml:space="preserve">FY2027</t>
    </r>
    <r>
      <rPr>
        <sz val="9"/>
        <color rgb="FF8C8C8C"/>
        <rFont val="WenQuanYi Zen Hei"/>
        <family val="2"/>
      </rPr>
      <t xml:space="preserve">以降は</t>
    </r>
    <r>
      <rPr>
        <sz val="9"/>
        <color rgb="FF8C8C8C"/>
        <rFont val="メイリオ"/>
        <family val="0"/>
        <charset val="1"/>
      </rPr>
      <t xml:space="preserve">2026</t>
    </r>
    <r>
      <rPr>
        <sz val="9"/>
        <color rgb="FF8C8C8C"/>
        <rFont val="WenQuanYi Zen Hei"/>
        <family val="2"/>
      </rPr>
      <t xml:space="preserve">年</t>
    </r>
    <r>
      <rPr>
        <sz val="9"/>
        <color rgb="FF8C8C8C"/>
        <rFont val="メイリオ"/>
        <family val="0"/>
        <charset val="1"/>
      </rPr>
      <t xml:space="preserve">10</t>
    </r>
    <r>
      <rPr>
        <sz val="9"/>
        <color rgb="FF8C8C8C"/>
        <rFont val="WenQuanYi Zen Hei"/>
        <family val="2"/>
      </rPr>
      <t xml:space="preserve">月</t>
    </r>
    <r>
      <rPr>
        <sz val="9"/>
        <color rgb="FF8C8C8C"/>
        <rFont val="メイリオ"/>
        <family val="0"/>
        <charset val="1"/>
      </rPr>
      <t xml:space="preserve">20</t>
    </r>
    <r>
      <rPr>
        <sz val="9"/>
        <color rgb="FF8C8C8C"/>
        <rFont val="WenQuanYi Zen Hei"/>
        <family val="2"/>
      </rPr>
      <t xml:space="preserve">日の中野指示ベース。単位：円（税別）</t>
    </r>
  </si>
  <si>
    <t xml:space="preserve">【全社損益】</t>
  </si>
  <si>
    <t xml:space="preserve">科目</t>
  </si>
  <si>
    <r>
      <rPr>
        <b val="true"/>
        <sz val="11"/>
        <color rgb="FFFFFFFF"/>
        <rFont val="メイリオ"/>
        <family val="0"/>
        <charset val="1"/>
      </rPr>
      <t xml:space="preserve">FY2026
</t>
    </r>
    <r>
      <rPr>
        <b val="true"/>
        <sz val="11"/>
        <color rgb="FFFFFFFF"/>
        <rFont val="WenQuanYi Zen Hei"/>
        <family val="2"/>
      </rPr>
      <t xml:space="preserve">着地見込</t>
    </r>
  </si>
  <si>
    <t xml:space="preserve">FY2027</t>
  </si>
  <si>
    <t xml:space="preserve">FY2028</t>
  </si>
  <si>
    <t xml:space="preserve">FY2029</t>
  </si>
  <si>
    <t xml:space="preserve">CAGR
27→29</t>
  </si>
  <si>
    <t xml:space="preserve">コメント</t>
  </si>
  <si>
    <t xml:space="preserve">売上高</t>
  </si>
  <si>
    <r>
      <rPr>
        <sz val="9"/>
        <color rgb="FF8C8C8C"/>
        <rFont val="メイリオ"/>
        <family val="0"/>
        <charset val="1"/>
      </rPr>
      <t xml:space="preserve">FY2026</t>
    </r>
    <r>
      <rPr>
        <sz val="9"/>
        <color rgb="FF8C8C8C"/>
        <rFont val="WenQuanYi Zen Hei"/>
        <family val="2"/>
      </rPr>
      <t xml:space="preserve">は私募ファンド等</t>
    </r>
    <r>
      <rPr>
        <sz val="9"/>
        <color rgb="FF8C8C8C"/>
        <rFont val="メイリオ"/>
        <family val="0"/>
        <charset val="1"/>
      </rPr>
      <t xml:space="preserve">257.3</t>
    </r>
    <r>
      <rPr>
        <sz val="9"/>
        <color rgb="FF8C8C8C"/>
        <rFont val="WenQuanYi Zen Hei"/>
        <family val="2"/>
      </rPr>
      <t xml:space="preserve">百万円を含む</t>
    </r>
  </si>
  <si>
    <t xml:space="preserve">売上総利益</t>
  </si>
  <si>
    <t xml:space="preserve">　売上総利益率</t>
  </si>
  <si>
    <t xml:space="preserve">販管費</t>
  </si>
  <si>
    <r>
      <rPr>
        <sz val="9"/>
        <color rgb="FF8C8C8C"/>
        <rFont val="WenQuanYi Zen Hei"/>
        <family val="2"/>
      </rPr>
      <t xml:space="preserve">人件費のみ昇給</t>
    </r>
    <r>
      <rPr>
        <sz val="9"/>
        <color rgb="FF8C8C8C"/>
        <rFont val="メイリオ"/>
        <family val="0"/>
        <charset val="1"/>
      </rPr>
      <t xml:space="preserve">3%</t>
    </r>
    <r>
      <rPr>
        <sz val="9"/>
        <color rgb="FF8C8C8C"/>
        <rFont val="WenQuanYi Zen Hei"/>
        <family val="2"/>
      </rPr>
      <t xml:space="preserve">（</t>
    </r>
    <r>
      <rPr>
        <sz val="9"/>
        <color rgb="FF8C8C8C"/>
        <rFont val="メイリオ"/>
        <family val="0"/>
        <charset val="1"/>
      </rPr>
      <t xml:space="preserve">FY2028</t>
    </r>
    <r>
      <rPr>
        <sz val="9"/>
        <color rgb="FF8C8C8C"/>
        <rFont val="WenQuanYi Zen Hei"/>
        <family val="2"/>
      </rPr>
      <t xml:space="preserve">〜）</t>
    </r>
  </si>
  <si>
    <t xml:space="preserve">営業利益</t>
  </si>
  <si>
    <t xml:space="preserve">営業外費用</t>
  </si>
  <si>
    <t xml:space="preserve">借入返済に合わせ逓減</t>
  </si>
  <si>
    <t xml:space="preserve">経常利益</t>
  </si>
  <si>
    <t xml:space="preserve">法人税等</t>
  </si>
  <si>
    <t xml:space="preserve">繰越欠損金の使い切り後に課税</t>
  </si>
  <si>
    <t xml:space="preserve">当期純利益</t>
  </si>
  <si>
    <r>
      <rPr>
        <sz val="9"/>
        <color rgb="FF8C8C8C"/>
        <rFont val="メイリオ"/>
        <family val="0"/>
        <charset val="1"/>
      </rPr>
      <t xml:space="preserve">FY2026</t>
    </r>
    <r>
      <rPr>
        <sz val="9"/>
        <color rgb="FF8C8C8C"/>
        <rFont val="WenQuanYi Zen Hei"/>
        <family val="2"/>
      </rPr>
      <t xml:space="preserve">は税引前（特別損失</t>
    </r>
    <r>
      <rPr>
        <sz val="9"/>
        <color rgb="FF8C8C8C"/>
        <rFont val="メイリオ"/>
        <family val="0"/>
        <charset val="1"/>
      </rPr>
      <t xml:space="preserve">41.9</t>
    </r>
    <r>
      <rPr>
        <sz val="9"/>
        <color rgb="FF8C8C8C"/>
        <rFont val="WenQuanYi Zen Hei"/>
        <family val="2"/>
      </rPr>
      <t xml:space="preserve">百万円を含む）</t>
    </r>
  </si>
  <si>
    <t xml:space="preserve">繰越欠損金 期末残高</t>
  </si>
  <si>
    <r>
      <rPr>
        <b val="true"/>
        <sz val="11"/>
        <color rgb="FFFFFFFF"/>
        <rFont val="WenQuanYi Zen Hei"/>
        <family val="2"/>
      </rPr>
      <t xml:space="preserve">【部門別】プラン</t>
    </r>
    <r>
      <rPr>
        <b val="true"/>
        <sz val="11"/>
        <color rgb="FFFFFFFF"/>
        <rFont val="メイリオ"/>
        <family val="0"/>
        <charset val="1"/>
      </rPr>
      <t xml:space="preserve">D</t>
    </r>
  </si>
  <si>
    <t xml:space="preserve">部門</t>
  </si>
  <si>
    <t xml:space="preserve">売上</t>
  </si>
  <si>
    <t xml:space="preserve">　本部</t>
  </si>
  <si>
    <r>
      <rPr>
        <sz val="11"/>
        <rFont val="WenQuanYi Zen Hei"/>
        <family val="2"/>
      </rPr>
      <t xml:space="preserve">　</t>
    </r>
    <r>
      <rPr>
        <sz val="11"/>
        <rFont val="メイリオ"/>
        <family val="0"/>
        <charset val="1"/>
      </rPr>
      <t xml:space="preserve">EC/</t>
    </r>
    <r>
      <rPr>
        <sz val="11"/>
        <rFont val="WenQuanYi Zen Hei"/>
        <family val="2"/>
      </rPr>
      <t xml:space="preserve">酒販店卸</t>
    </r>
  </si>
  <si>
    <t xml:space="preserve">　ワインテック</t>
  </si>
  <si>
    <t xml:space="preserve">　その他</t>
  </si>
  <si>
    <t xml:space="preserve">　合計</t>
  </si>
  <si>
    <t xml:space="preserve">粗利</t>
  </si>
  <si>
    <t xml:space="preserve">部門利益（配賦前）</t>
  </si>
  <si>
    <r>
      <rPr>
        <b val="true"/>
        <sz val="11"/>
        <color rgb="FFFFFFFF"/>
        <rFont val="WenQuanYi Zen Hei"/>
        <family val="2"/>
      </rPr>
      <t xml:space="preserve">【参考】プラン</t>
    </r>
    <r>
      <rPr>
        <b val="true"/>
        <sz val="11"/>
        <color rgb="FFFFFFFF"/>
        <rFont val="メイリオ"/>
        <family val="0"/>
        <charset val="1"/>
      </rPr>
      <t xml:space="preserve">E</t>
    </r>
    <r>
      <rPr>
        <b val="true"/>
        <sz val="11"/>
        <color rgb="FFFFFFFF"/>
        <rFont val="WenQuanYi Zen Hei"/>
        <family val="2"/>
      </rPr>
      <t xml:space="preserve">（私募ファンドを上乗せ）と資金</t>
    </r>
  </si>
  <si>
    <t xml:space="preserve">項目</t>
  </si>
  <si>
    <r>
      <rPr>
        <sz val="11"/>
        <rFont val="WenQuanYi Zen Hei"/>
        <family val="2"/>
      </rPr>
      <t xml:space="preserve">プラン</t>
    </r>
    <r>
      <rPr>
        <sz val="11"/>
        <rFont val="メイリオ"/>
        <family val="0"/>
        <charset val="1"/>
      </rPr>
      <t xml:space="preserve">E </t>
    </r>
    <r>
      <rPr>
        <sz val="11"/>
        <rFont val="WenQuanYi Zen Hei"/>
        <family val="2"/>
      </rPr>
      <t xml:space="preserve">売上高</t>
    </r>
  </si>
  <si>
    <r>
      <rPr>
        <sz val="11"/>
        <rFont val="WenQuanYi Zen Hei"/>
        <family val="2"/>
      </rPr>
      <t xml:space="preserve">プラン</t>
    </r>
    <r>
      <rPr>
        <sz val="11"/>
        <rFont val="メイリオ"/>
        <family val="0"/>
        <charset val="1"/>
      </rPr>
      <t xml:space="preserve">E </t>
    </r>
    <r>
      <rPr>
        <sz val="11"/>
        <rFont val="WenQuanYi Zen Hei"/>
        <family val="2"/>
      </rPr>
      <t xml:space="preserve">経常利益</t>
    </r>
  </si>
  <si>
    <r>
      <rPr>
        <sz val="11"/>
        <rFont val="WenQuanYi Zen Hei"/>
        <family val="2"/>
      </rPr>
      <t xml:space="preserve">プラン</t>
    </r>
    <r>
      <rPr>
        <sz val="11"/>
        <rFont val="メイリオ"/>
        <family val="0"/>
        <charset val="1"/>
      </rPr>
      <t xml:space="preserve">D </t>
    </r>
    <r>
      <rPr>
        <sz val="11"/>
        <rFont val="WenQuanYi Zen Hei"/>
        <family val="2"/>
      </rPr>
      <t xml:space="preserve">期末現預金</t>
    </r>
  </si>
  <si>
    <r>
      <rPr>
        <sz val="11"/>
        <rFont val="WenQuanYi Zen Hei"/>
        <family val="2"/>
      </rPr>
      <t xml:space="preserve">プラン</t>
    </r>
    <r>
      <rPr>
        <sz val="11"/>
        <rFont val="メイリオ"/>
        <family val="0"/>
        <charset val="1"/>
      </rPr>
      <t xml:space="preserve">E </t>
    </r>
    <r>
      <rPr>
        <sz val="11"/>
        <rFont val="WenQuanYi Zen Hei"/>
        <family val="2"/>
      </rPr>
      <t xml:space="preserve">期末現預金</t>
    </r>
  </si>
  <si>
    <t xml:space="preserve">【前提と要確認】</t>
  </si>
  <si>
    <r>
      <rPr>
        <sz val="10"/>
        <rFont val="メイリオ"/>
        <family val="0"/>
        <charset val="1"/>
      </rPr>
      <t xml:space="preserve">1. FY2026</t>
    </r>
    <r>
      <rPr>
        <sz val="10"/>
        <rFont val="WenQuanYi Zen Hei"/>
        <family val="2"/>
      </rPr>
      <t xml:space="preserve">着地は吉田さんの</t>
    </r>
    <r>
      <rPr>
        <sz val="10"/>
        <rFont val="メイリオ"/>
        <family val="0"/>
        <charset val="1"/>
      </rPr>
      <t xml:space="preserve">10/13</t>
    </r>
    <r>
      <rPr>
        <sz val="10"/>
        <rFont val="WenQuanYi Zen Hei"/>
        <family val="2"/>
      </rPr>
      <t xml:space="preserve">版：営業利益＋</t>
    </r>
    <r>
      <rPr>
        <sz val="10"/>
        <rFont val="メイリオ"/>
        <family val="0"/>
        <charset val="1"/>
      </rPr>
      <t xml:space="preserve">0.9</t>
    </r>
    <r>
      <rPr>
        <sz val="10"/>
        <rFont val="WenQuanYi Zen Hei"/>
        <family val="2"/>
      </rPr>
      <t xml:space="preserve">／経常▲</t>
    </r>
    <r>
      <rPr>
        <sz val="10"/>
        <rFont val="メイリオ"/>
        <family val="0"/>
        <charset val="1"/>
      </rPr>
      <t xml:space="preserve">12.7</t>
    </r>
    <r>
      <rPr>
        <sz val="10"/>
        <rFont val="WenQuanYi Zen Hei"/>
        <family val="2"/>
      </rPr>
      <t xml:space="preserve">／税引前▲</t>
    </r>
    <r>
      <rPr>
        <sz val="10"/>
        <rFont val="メイリオ"/>
        <family val="0"/>
        <charset val="1"/>
      </rPr>
      <t xml:space="preserve">54.6</t>
    </r>
    <r>
      <rPr>
        <sz val="10"/>
        <rFont val="WenQuanYi Zen Hei"/>
        <family val="2"/>
      </rPr>
      <t xml:space="preserve">百万円（私募ファンド等の粗利</t>
    </r>
    <r>
      <rPr>
        <sz val="10"/>
        <rFont val="メイリオ"/>
        <family val="0"/>
        <charset val="1"/>
      </rPr>
      <t xml:space="preserve">105.0</t>
    </r>
    <r>
      <rPr>
        <sz val="10"/>
        <rFont val="WenQuanYi Zen Hei"/>
        <family val="2"/>
      </rPr>
      <t xml:space="preserve">、ソフトウェア特損</t>
    </r>
    <r>
      <rPr>
        <sz val="10"/>
        <rFont val="メイリオ"/>
        <family val="0"/>
        <charset val="1"/>
      </rPr>
      <t xml:space="preserve">41.0</t>
    </r>
    <r>
      <rPr>
        <sz val="10"/>
        <rFont val="WenQuanYi Zen Hei"/>
        <family val="2"/>
      </rPr>
      <t xml:space="preserve">を含む）。</t>
    </r>
  </si>
  <si>
    <r>
      <rPr>
        <sz val="10"/>
        <rFont val="メイリオ"/>
        <family val="0"/>
        <charset val="1"/>
      </rPr>
      <t xml:space="preserve">2. </t>
    </r>
    <r>
      <rPr>
        <sz val="10"/>
        <rFont val="WenQuanYi Zen Hei"/>
        <family val="2"/>
      </rPr>
      <t xml:space="preserve">経営指導料（間接グループ</t>
    </r>
    <r>
      <rPr>
        <sz val="10"/>
        <rFont val="メイリオ"/>
        <family val="0"/>
        <charset val="1"/>
      </rPr>
      <t xml:space="preserve">5</t>
    </r>
    <r>
      <rPr>
        <sz val="10"/>
        <rFont val="WenQuanYi Zen Hei"/>
        <family val="2"/>
      </rPr>
      <t xml:space="preserve">社）：</t>
    </r>
    <r>
      <rPr>
        <sz val="10"/>
        <rFont val="メイリオ"/>
        <family val="0"/>
        <charset val="1"/>
      </rPr>
      <t xml:space="preserve">FY2027</t>
    </r>
    <r>
      <rPr>
        <sz val="10"/>
        <rFont val="WenQuanYi Zen Hei"/>
        <family val="2"/>
      </rPr>
      <t xml:space="preserve">は</t>
    </r>
    <r>
      <rPr>
        <sz val="10"/>
        <rFont val="メイリオ"/>
        <family val="0"/>
        <charset val="1"/>
      </rPr>
      <t xml:space="preserve">80</t>
    </r>
    <r>
      <rPr>
        <sz val="10"/>
        <rFont val="WenQuanYi Zen Hei"/>
        <family val="2"/>
      </rPr>
      <t xml:space="preserve">百万円（本来</t>
    </r>
    <r>
      <rPr>
        <sz val="10"/>
        <rFont val="メイリオ"/>
        <family val="0"/>
        <charset val="1"/>
      </rPr>
      <t xml:space="preserve">110</t>
    </r>
    <r>
      <rPr>
        <sz val="10"/>
        <rFont val="WenQuanYi Zen Hei"/>
        <family val="2"/>
      </rPr>
      <t xml:space="preserve">百万円超のうち</t>
    </r>
    <r>
      <rPr>
        <sz val="10"/>
        <rFont val="メイリオ"/>
        <family val="0"/>
        <charset val="1"/>
      </rPr>
      <t xml:space="preserve">30</t>
    </r>
    <r>
      <rPr>
        <sz val="10"/>
        <rFont val="WenQuanYi Zen Hei"/>
        <family val="2"/>
      </rPr>
      <t xml:space="preserve">百万円を前期に前倒し）、</t>
    </r>
    <r>
      <rPr>
        <sz val="10"/>
        <rFont val="メイリオ"/>
        <family val="0"/>
        <charset val="1"/>
      </rPr>
      <t xml:space="preserve">FY2028</t>
    </r>
    <r>
      <rPr>
        <sz val="10"/>
        <rFont val="WenQuanYi Zen Hei"/>
        <family val="2"/>
      </rPr>
      <t xml:space="preserve">以降は</t>
    </r>
    <r>
      <rPr>
        <sz val="10"/>
        <rFont val="メイリオ"/>
        <family val="0"/>
        <charset val="1"/>
      </rPr>
      <t xml:space="preserve">110</t>
    </r>
    <r>
      <rPr>
        <sz val="10"/>
        <rFont val="WenQuanYi Zen Hei"/>
        <family val="2"/>
      </rPr>
      <t xml:space="preserve">百万円。</t>
    </r>
  </si>
  <si>
    <r>
      <rPr>
        <sz val="10"/>
        <rFont val="メイリオ"/>
        <family val="0"/>
        <charset val="1"/>
      </rPr>
      <t xml:space="preserve">3. M&amp;A</t>
    </r>
    <r>
      <rPr>
        <sz val="10"/>
        <rFont val="WenQuanYi Zen Hei"/>
        <family val="2"/>
      </rPr>
      <t xml:space="preserve">仲介（アピシウス）</t>
    </r>
    <r>
      <rPr>
        <sz val="10"/>
        <rFont val="メイリオ"/>
        <family val="0"/>
        <charset val="1"/>
      </rPr>
      <t xml:space="preserve">20</t>
    </r>
    <r>
      <rPr>
        <sz val="10"/>
        <rFont val="WenQuanYi Zen Hei"/>
        <family val="2"/>
      </rPr>
      <t xml:space="preserve">百万円は削除。一発だけの案件で、</t>
    </r>
    <r>
      <rPr>
        <sz val="10"/>
        <rFont val="メイリオ"/>
        <family val="0"/>
        <charset val="1"/>
      </rPr>
      <t xml:space="preserve">FY2026</t>
    </r>
    <r>
      <rPr>
        <sz val="10"/>
        <rFont val="WenQuanYi Zen Hei"/>
        <family val="2"/>
      </rPr>
      <t xml:space="preserve">に計上済み（戸髙さん版の</t>
    </r>
    <r>
      <rPr>
        <sz val="10"/>
        <rFont val="メイリオ"/>
        <family val="0"/>
        <charset val="1"/>
      </rPr>
      <t xml:space="preserve">FY2027</t>
    </r>
    <r>
      <rPr>
        <sz val="10"/>
        <rFont val="WenQuanYi Zen Hei"/>
        <family val="2"/>
      </rPr>
      <t xml:space="preserve">計上は二重計上）。</t>
    </r>
  </si>
  <si>
    <r>
      <rPr>
        <sz val="10"/>
        <rFont val="メイリオ"/>
        <family val="0"/>
        <charset val="1"/>
      </rPr>
      <t xml:space="preserve">4. </t>
    </r>
    <r>
      <rPr>
        <sz val="10"/>
        <rFont val="WenQuanYi Zen Hei"/>
        <family val="2"/>
      </rPr>
      <t xml:space="preserve">私募ファンド今期</t>
    </r>
    <r>
      <rPr>
        <sz val="10"/>
        <rFont val="メイリオ"/>
        <family val="0"/>
        <charset val="1"/>
      </rPr>
      <t xml:space="preserve">7</t>
    </r>
    <r>
      <rPr>
        <sz val="10"/>
        <rFont val="WenQuanYi Zen Hei"/>
        <family val="2"/>
      </rPr>
      <t xml:space="preserve">億円程度・</t>
    </r>
    <r>
      <rPr>
        <sz val="10"/>
        <rFont val="メイリオ"/>
        <family val="0"/>
        <charset val="1"/>
      </rPr>
      <t xml:space="preserve">FY2028</t>
    </r>
    <r>
      <rPr>
        <sz val="10"/>
        <rFont val="WenQuanYi Zen Hei"/>
        <family val="2"/>
      </rPr>
      <t xml:space="preserve">以降</t>
    </r>
    <r>
      <rPr>
        <sz val="10"/>
        <rFont val="メイリオ"/>
        <family val="0"/>
        <charset val="1"/>
      </rPr>
      <t xml:space="preserve">10</t>
    </r>
    <r>
      <rPr>
        <sz val="10"/>
        <rFont val="WenQuanYi Zen Hei"/>
        <family val="2"/>
      </rPr>
      <t xml:space="preserve">億円はプラン</t>
    </r>
    <r>
      <rPr>
        <sz val="10"/>
        <rFont val="メイリオ"/>
        <family val="0"/>
        <charset val="1"/>
      </rPr>
      <t xml:space="preserve">E</t>
    </r>
    <r>
      <rPr>
        <sz val="10"/>
        <rFont val="WenQuanYi Zen Hei"/>
        <family val="2"/>
      </rPr>
      <t xml:space="preserve">のみに計上（メインのプラン</t>
    </r>
    <r>
      <rPr>
        <sz val="10"/>
        <rFont val="メイリオ"/>
        <family val="0"/>
        <charset val="1"/>
      </rPr>
      <t xml:space="preserve">D</t>
    </r>
    <r>
      <rPr>
        <sz val="10"/>
        <rFont val="WenQuanYi Zen Hei"/>
        <family val="2"/>
      </rPr>
      <t xml:space="preserve">には含めない）。</t>
    </r>
  </si>
  <si>
    <r>
      <rPr>
        <sz val="10"/>
        <rFont val="メイリオ"/>
        <family val="0"/>
        <charset val="1"/>
      </rPr>
      <t xml:space="preserve">5. </t>
    </r>
    <r>
      <rPr>
        <sz val="10"/>
        <rFont val="WenQuanYi Zen Hei"/>
        <family val="2"/>
      </rPr>
      <t xml:space="preserve">ベースは吉田さん</t>
    </r>
    <r>
      <rPr>
        <sz val="10"/>
        <rFont val="メイリオ"/>
        <family val="0"/>
        <charset val="1"/>
      </rPr>
      <t xml:space="preserve">10/13</t>
    </r>
    <r>
      <rPr>
        <sz val="10"/>
        <rFont val="WenQuanYi Zen Hei"/>
        <family val="2"/>
      </rPr>
      <t xml:space="preserve">版の</t>
    </r>
    <r>
      <rPr>
        <sz val="10"/>
        <rFont val="メイリオ"/>
        <family val="0"/>
        <charset val="1"/>
      </rPr>
      <t xml:space="preserve">2026/04-08</t>
    </r>
    <r>
      <rPr>
        <sz val="10"/>
        <rFont val="WenQuanYi Zen Hei"/>
        <family val="2"/>
      </rPr>
      <t xml:space="preserve">実績（</t>
    </r>
    <r>
      <rPr>
        <sz val="10"/>
        <rFont val="メイリオ"/>
        <family val="0"/>
        <charset val="1"/>
      </rPr>
      <t xml:space="preserve">5</t>
    </r>
    <r>
      <rPr>
        <sz val="10"/>
        <rFont val="WenQuanYi Zen Hei"/>
        <family val="2"/>
      </rPr>
      <t xml:space="preserve">か月）。システム償却</t>
    </r>
    <r>
      <rPr>
        <sz val="10"/>
        <rFont val="メイリオ"/>
        <family val="0"/>
        <charset val="1"/>
      </rPr>
      <t xml:space="preserve">5.8</t>
    </r>
    <r>
      <rPr>
        <sz val="10"/>
        <rFont val="WenQuanYi Zen Hei"/>
        <family val="2"/>
      </rPr>
      <t xml:space="preserve">百万円</t>
    </r>
    <r>
      <rPr>
        <sz val="10"/>
        <rFont val="メイリオ"/>
        <family val="0"/>
        <charset val="1"/>
      </rPr>
      <t xml:space="preserve">/</t>
    </r>
    <r>
      <rPr>
        <sz val="10"/>
        <rFont val="WenQuanYi Zen Hei"/>
        <family val="2"/>
      </rPr>
      <t xml:space="preserve">年は特損処理後のため販管費から除外。</t>
    </r>
  </si>
  <si>
    <r>
      <rPr>
        <sz val="10"/>
        <rFont val="メイリオ"/>
        <family val="0"/>
        <charset val="1"/>
      </rPr>
      <t xml:space="preserve">6. </t>
    </r>
    <r>
      <rPr>
        <sz val="10"/>
        <rFont val="WenQuanYi Zen Hei"/>
        <family val="2"/>
      </rPr>
      <t xml:space="preserve">販管費は人件費のみ昇給</t>
    </r>
    <r>
      <rPr>
        <sz val="10"/>
        <rFont val="メイリオ"/>
        <family val="0"/>
        <charset val="1"/>
      </rPr>
      <t xml:space="preserve">3%</t>
    </r>
    <r>
      <rPr>
        <sz val="10"/>
        <rFont val="WenQuanYi Zen Hei"/>
        <family val="2"/>
      </rPr>
      <t xml:space="preserve">、他は横ばい。営業外費用は</t>
    </r>
    <r>
      <rPr>
        <sz val="10"/>
        <rFont val="メイリオ"/>
        <family val="0"/>
        <charset val="1"/>
      </rPr>
      <t xml:space="preserve">12→10→8</t>
    </r>
    <r>
      <rPr>
        <sz val="10"/>
        <rFont val="WenQuanYi Zen Hei"/>
        <family val="2"/>
      </rPr>
      <t xml:space="preserve">百万円に逓減。</t>
    </r>
  </si>
  <si>
    <r>
      <rPr>
        <sz val="10"/>
        <rFont val="メイリオ"/>
        <family val="0"/>
        <charset val="1"/>
      </rPr>
      <t xml:space="preserve">7. </t>
    </r>
    <r>
      <rPr>
        <sz val="10"/>
        <rFont val="WenQuanYi Zen Hei"/>
        <family val="2"/>
      </rPr>
      <t xml:space="preserve">期首現預金</t>
    </r>
    <r>
      <rPr>
        <sz val="10"/>
        <rFont val="メイリオ"/>
        <family val="0"/>
        <charset val="1"/>
      </rPr>
      <t xml:space="preserve">30</t>
    </r>
    <r>
      <rPr>
        <sz val="10"/>
        <rFont val="WenQuanYi Zen Hei"/>
        <family val="2"/>
      </rPr>
      <t xml:space="preserve">百万円・約定返済</t>
    </r>
    <r>
      <rPr>
        <sz val="10"/>
        <rFont val="メイリオ"/>
        <family val="0"/>
        <charset val="1"/>
      </rPr>
      <t xml:space="preserve">49</t>
    </r>
    <r>
      <rPr>
        <sz val="10"/>
        <rFont val="WenQuanYi Zen Hei"/>
        <family val="2"/>
      </rPr>
      <t xml:space="preserve">百万円</t>
    </r>
    <r>
      <rPr>
        <sz val="10"/>
        <rFont val="メイリオ"/>
        <family val="0"/>
        <charset val="1"/>
      </rPr>
      <t xml:space="preserve">/</t>
    </r>
    <r>
      <rPr>
        <sz val="10"/>
        <rFont val="WenQuanYi Zen Hei"/>
        <family val="2"/>
      </rPr>
      <t xml:space="preserve">年は暫定。返済予定表で差し替え。</t>
    </r>
  </si>
  <si>
    <r>
      <rPr>
        <b val="true"/>
        <sz val="15"/>
        <rFont val="メイリオ"/>
        <family val="0"/>
        <charset val="1"/>
      </rPr>
      <t xml:space="preserve">3</t>
    </r>
    <r>
      <rPr>
        <b val="true"/>
        <sz val="15"/>
        <rFont val="WenQuanYi Zen Hei"/>
        <family val="2"/>
      </rPr>
      <t xml:space="preserve">か年計画 </t>
    </r>
    <r>
      <rPr>
        <b val="true"/>
        <sz val="15"/>
        <rFont val="メイリオ"/>
        <family val="0"/>
        <charset val="1"/>
      </rPr>
      <t xml:space="preserve">FY2027</t>
    </r>
    <r>
      <rPr>
        <b val="true"/>
        <sz val="15"/>
        <rFont val="WenQuanYi Zen Hei"/>
        <family val="2"/>
      </rPr>
      <t xml:space="preserve">〜</t>
    </r>
    <r>
      <rPr>
        <b val="true"/>
        <sz val="15"/>
        <rFont val="メイリオ"/>
        <family val="0"/>
        <charset val="1"/>
      </rPr>
      <t xml:space="preserve">FY2029</t>
    </r>
    <r>
      <rPr>
        <b val="true"/>
        <sz val="15"/>
        <rFont val="WenQuanYi Zen Hei"/>
        <family val="2"/>
      </rPr>
      <t xml:space="preserve">　前提条件</t>
    </r>
  </si>
  <si>
    <r>
      <rPr>
        <sz val="9"/>
        <color rgb="FF8C8C8C"/>
        <rFont val="WenQuanYi Zen Hei"/>
        <family val="2"/>
      </rPr>
      <t xml:space="preserve">黄色＝入力セル（変えると全シートに反映）。</t>
    </r>
    <r>
      <rPr>
        <sz val="9"/>
        <color rgb="FF8C8C8C"/>
        <rFont val="メイリオ"/>
        <family val="0"/>
        <charset val="1"/>
      </rPr>
      <t xml:space="preserve">2026</t>
    </r>
    <r>
      <rPr>
        <sz val="9"/>
        <color rgb="FF8C8C8C"/>
        <rFont val="WenQuanYi Zen Hei"/>
        <family val="2"/>
      </rPr>
      <t xml:space="preserve">年</t>
    </r>
    <r>
      <rPr>
        <sz val="9"/>
        <color rgb="FF8C8C8C"/>
        <rFont val="メイリオ"/>
        <family val="0"/>
        <charset val="1"/>
      </rPr>
      <t xml:space="preserve">10</t>
    </r>
    <r>
      <rPr>
        <sz val="9"/>
        <color rgb="FF8C8C8C"/>
        <rFont val="WenQuanYi Zen Hei"/>
        <family val="2"/>
      </rPr>
      <t xml:space="preserve">月</t>
    </r>
    <r>
      <rPr>
        <sz val="9"/>
        <color rgb="FF8C8C8C"/>
        <rFont val="メイリオ"/>
        <family val="0"/>
        <charset val="1"/>
      </rPr>
      <t xml:space="preserve">20</t>
    </r>
    <r>
      <rPr>
        <sz val="9"/>
        <color rgb="FF8C8C8C"/>
        <rFont val="WenQuanYi Zen Hei"/>
        <family val="2"/>
      </rPr>
      <t xml:space="preserve">日の中野指示ベース。単位：円（税別）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</si>
  <si>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】</t>
    </r>
    <r>
      <rPr>
        <b val="true"/>
        <sz val="11"/>
        <color rgb="FFFFFFFF"/>
        <rFont val="メイリオ"/>
        <family val="0"/>
        <charset val="1"/>
      </rPr>
      <t xml:space="preserve">FY2026</t>
    </r>
    <r>
      <rPr>
        <b val="true"/>
        <sz val="11"/>
        <color rgb="FFFFFFFF"/>
        <rFont val="WenQuanYi Zen Hei"/>
        <family val="2"/>
      </rPr>
      <t xml:space="preserve">着地　出典：吉田さん「見込</t>
    </r>
    <r>
      <rPr>
        <b val="true"/>
        <sz val="11"/>
        <color rgb="FFFFFFFF"/>
        <rFont val="メイリオ"/>
        <family val="0"/>
        <charset val="1"/>
      </rPr>
      <t xml:space="preserve">_20261013.xlsx</t>
    </r>
    <r>
      <rPr>
        <b val="true"/>
        <sz val="11"/>
        <color rgb="FFFFFFFF"/>
        <rFont val="WenQuanYi Zen Hei"/>
        <family val="2"/>
      </rPr>
      <t xml:space="preserve">」（</t>
    </r>
    <r>
      <rPr>
        <b val="true"/>
        <sz val="11"/>
        <color rgb="FFFFFFFF"/>
        <rFont val="メイリオ"/>
        <family val="0"/>
        <charset val="1"/>
      </rPr>
      <t xml:space="preserve">10/13</t>
    </r>
    <r>
      <rPr>
        <b val="true"/>
        <sz val="11"/>
        <color rgb="FFFFFFFF"/>
        <rFont val="WenQuanYi Zen Hei"/>
        <family val="2"/>
      </rPr>
      <t xml:space="preserve">メール）</t>
    </r>
  </si>
  <si>
    <r>
      <rPr>
        <b val="true"/>
        <sz val="11"/>
        <color rgb="FFFFFFFF"/>
        <rFont val="WenQuanYi Zen Hei"/>
        <family val="2"/>
      </rPr>
      <t xml:space="preserve">実績
</t>
    </r>
    <r>
      <rPr>
        <b val="true"/>
        <sz val="11"/>
        <color rgb="FFFFFFFF"/>
        <rFont val="メイリオ"/>
        <family val="0"/>
        <charset val="1"/>
      </rPr>
      <t xml:space="preserve">2025/10-2026/08</t>
    </r>
  </si>
  <si>
    <r>
      <rPr>
        <b val="true"/>
        <sz val="11"/>
        <color rgb="FFFFFFFF"/>
        <rFont val="WenQuanYi Zen Hei"/>
        <family val="2"/>
      </rPr>
      <t xml:space="preserve">見込
</t>
    </r>
    <r>
      <rPr>
        <b val="true"/>
        <sz val="11"/>
        <color rgb="FFFFFFFF"/>
        <rFont val="メイリオ"/>
        <family val="0"/>
        <charset val="1"/>
      </rPr>
      <t xml:space="preserve">2026/09</t>
    </r>
  </si>
  <si>
    <t xml:space="preserve">私募ファンド等
（当初）</t>
  </si>
  <si>
    <r>
      <rPr>
        <b val="true"/>
        <sz val="11"/>
        <color rgb="FFFFFFFF"/>
        <rFont val="メイリオ"/>
        <family val="0"/>
        <charset val="1"/>
      </rPr>
      <t xml:space="preserve">10/13</t>
    </r>
    <r>
      <rPr>
        <b val="true"/>
        <sz val="11"/>
        <color rgb="FFFFFFFF"/>
        <rFont val="WenQuanYi Zen Hei"/>
        <family val="2"/>
      </rPr>
      <t xml:space="preserve">修正</t>
    </r>
  </si>
  <si>
    <t xml:space="preserve">決算整理</t>
  </si>
  <si>
    <t xml:space="preserve">営業外収益</t>
  </si>
  <si>
    <t xml:space="preserve">特別損失</t>
  </si>
  <si>
    <r>
      <rPr>
        <sz val="9"/>
        <color rgb="FF8C8C8C"/>
        <rFont val="WenQuanYi Zen Hei"/>
        <family val="2"/>
      </rPr>
      <t xml:space="preserve">※私募ファンド等（当初）：私募ファンド </t>
    </r>
    <r>
      <rPr>
        <sz val="9"/>
        <color rgb="FF8C8C8C"/>
        <rFont val="メイリオ"/>
        <family val="0"/>
        <charset val="1"/>
      </rPr>
      <t xml:space="preserve">181.8</t>
    </r>
    <r>
      <rPr>
        <sz val="9"/>
        <color rgb="FF8C8C8C"/>
        <rFont val="WenQuanYi Zen Hei"/>
        <family val="2"/>
      </rPr>
      <t xml:space="preserve">（粗利</t>
    </r>
    <r>
      <rPr>
        <sz val="9"/>
        <color rgb="FF8C8C8C"/>
        <rFont val="メイリオ"/>
        <family val="0"/>
        <charset val="1"/>
      </rPr>
      <t xml:space="preserve">30.0</t>
    </r>
    <r>
      <rPr>
        <sz val="9"/>
        <color rgb="FF8C8C8C"/>
        <rFont val="WenQuanYi Zen Hei"/>
        <family val="2"/>
      </rPr>
      <t xml:space="preserve">）＋</t>
    </r>
    <r>
      <rPr>
        <sz val="9"/>
        <color rgb="FF8C8C8C"/>
        <rFont val="メイリオ"/>
        <family val="0"/>
        <charset val="1"/>
      </rPr>
      <t xml:space="preserve">45.5</t>
    </r>
    <r>
      <rPr>
        <sz val="9"/>
        <color rgb="FF8C8C8C"/>
        <rFont val="WenQuanYi Zen Hei"/>
        <family val="2"/>
      </rPr>
      <t xml:space="preserve">（粗利</t>
    </r>
    <r>
      <rPr>
        <sz val="9"/>
        <color rgb="FF8C8C8C"/>
        <rFont val="メイリオ"/>
        <family val="0"/>
        <charset val="1"/>
      </rPr>
      <t xml:space="preserve">45.0</t>
    </r>
    <r>
      <rPr>
        <sz val="9"/>
        <color rgb="FF8C8C8C"/>
        <rFont val="WenQuanYi Zen Hei"/>
        <family val="2"/>
      </rPr>
      <t xml:space="preserve">）＋アピシウス</t>
    </r>
    <r>
      <rPr>
        <sz val="9"/>
        <color rgb="FF8C8C8C"/>
        <rFont val="メイリオ"/>
        <family val="0"/>
        <charset val="1"/>
      </rPr>
      <t xml:space="preserve">20.0</t>
    </r>
    <r>
      <rPr>
        <sz val="9"/>
        <color rgb="FF8C8C8C"/>
        <rFont val="WenQuanYi Zen Hei"/>
        <family val="2"/>
      </rPr>
      <t xml:space="preserve">＋経営指導料</t>
    </r>
    <r>
      <rPr>
        <sz val="9"/>
        <color rgb="FF8C8C8C"/>
        <rFont val="メイリオ"/>
        <family val="0"/>
        <charset val="1"/>
      </rPr>
      <t xml:space="preserve">10.0</t>
    </r>
    <r>
      <rPr>
        <sz val="9"/>
        <color rgb="FF8C8C8C"/>
        <rFont val="WenQuanYi Zen Hei"/>
        <family val="2"/>
      </rPr>
      <t xml:space="preserve">＝売上</t>
    </r>
    <r>
      <rPr>
        <sz val="9"/>
        <color rgb="FF8C8C8C"/>
        <rFont val="メイリオ"/>
        <family val="0"/>
        <charset val="1"/>
      </rPr>
      <t xml:space="preserve">257.3</t>
    </r>
    <r>
      <rPr>
        <sz val="9"/>
        <color rgb="FF8C8C8C"/>
        <rFont val="WenQuanYi Zen Hei"/>
        <family val="2"/>
      </rPr>
      <t xml:space="preserve">／粗利</t>
    </r>
    <r>
      <rPr>
        <sz val="9"/>
        <color rgb="FF8C8C8C"/>
        <rFont val="メイリオ"/>
        <family val="0"/>
        <charset val="1"/>
      </rPr>
      <t xml:space="preserve">105.0</t>
    </r>
    <r>
      <rPr>
        <sz val="9"/>
        <color rgb="FF8C8C8C"/>
        <rFont val="WenQuanYi Zen Hei"/>
        <family val="2"/>
      </rPr>
      <t xml:space="preserve">百万円</t>
    </r>
  </si>
  <si>
    <r>
      <rPr>
        <sz val="9"/>
        <color rgb="FF8C8C8C"/>
        <rFont val="メイリオ"/>
        <family val="0"/>
        <charset val="1"/>
      </rPr>
      <t xml:space="preserve">※10/13</t>
    </r>
    <r>
      <rPr>
        <sz val="9"/>
        <color rgb="FF8C8C8C"/>
        <rFont val="WenQuanYi Zen Hei"/>
        <family val="2"/>
      </rPr>
      <t xml:space="preserve">修正：経営指導料▲</t>
    </r>
    <r>
      <rPr>
        <sz val="9"/>
        <color rgb="FF8C8C8C"/>
        <rFont val="メイリオ"/>
        <family val="0"/>
        <charset val="1"/>
      </rPr>
      <t xml:space="preserve">3.2</t>
    </r>
    <r>
      <rPr>
        <sz val="9"/>
        <color rgb="FF8C8C8C"/>
        <rFont val="WenQuanYi Zen Hei"/>
        <family val="2"/>
      </rPr>
      <t xml:space="preserve">（請求書変更）、オークション原価▲</t>
    </r>
    <r>
      <rPr>
        <sz val="9"/>
        <color rgb="FF8C8C8C"/>
        <rFont val="メイリオ"/>
        <family val="0"/>
        <charset val="1"/>
      </rPr>
      <t xml:space="preserve">20.0</t>
    </r>
    <r>
      <rPr>
        <sz val="9"/>
        <color rgb="FF8C8C8C"/>
        <rFont val="WenQuanYi Zen Hei"/>
        <family val="2"/>
      </rPr>
      <t xml:space="preserve">、費用▲</t>
    </r>
    <r>
      <rPr>
        <sz val="9"/>
        <color rgb="FF8C8C8C"/>
        <rFont val="メイリオ"/>
        <family val="0"/>
        <charset val="1"/>
      </rPr>
      <t xml:space="preserve">1.2</t>
    </r>
    <r>
      <rPr>
        <sz val="9"/>
        <color rgb="FF8C8C8C"/>
        <rFont val="WenQuanYi Zen Hei"/>
        <family val="2"/>
      </rPr>
      <t xml:space="preserve">（精算）。決算整理：ソフトウェア償却▲</t>
    </r>
    <r>
      <rPr>
        <sz val="9"/>
        <color rgb="FF8C8C8C"/>
        <rFont val="メイリオ"/>
        <family val="0"/>
        <charset val="1"/>
      </rPr>
      <t xml:space="preserve">6.5</t>
    </r>
    <r>
      <rPr>
        <sz val="9"/>
        <color rgb="FF8C8C8C"/>
        <rFont val="WenQuanYi Zen Hei"/>
        <family val="2"/>
      </rPr>
      <t xml:space="preserve">＋償却費</t>
    </r>
    <r>
      <rPr>
        <sz val="9"/>
        <color rgb="FF8C8C8C"/>
        <rFont val="メイリオ"/>
        <family val="0"/>
        <charset val="1"/>
      </rPr>
      <t xml:space="preserve">0.7</t>
    </r>
    <r>
      <rPr>
        <sz val="9"/>
        <color rgb="FF8C8C8C"/>
        <rFont val="WenQuanYi Zen Hei"/>
        <family val="2"/>
      </rPr>
      <t xml:space="preserve">を特別損失</t>
    </r>
    <r>
      <rPr>
        <sz val="9"/>
        <color rgb="FF8C8C8C"/>
        <rFont val="メイリオ"/>
        <family val="0"/>
        <charset val="1"/>
      </rPr>
      <t xml:space="preserve">41.0</t>
    </r>
    <r>
      <rPr>
        <sz val="9"/>
        <color rgb="FF8C8C8C"/>
        <rFont val="WenQuanYi Zen Hei"/>
        <family val="2"/>
      </rPr>
      <t xml:space="preserve">へ、営業外費用＋</t>
    </r>
    <r>
      <rPr>
        <sz val="9"/>
        <color rgb="FF8C8C8C"/>
        <rFont val="メイリオ"/>
        <family val="0"/>
        <charset val="1"/>
      </rPr>
      <t xml:space="preserve">1.0</t>
    </r>
  </si>
  <si>
    <r>
      <rPr>
        <sz val="11"/>
        <rFont val="メイリオ"/>
        <family val="0"/>
        <charset val="1"/>
      </rPr>
      <t xml:space="preserve">2026/08-09 </t>
    </r>
    <r>
      <rPr>
        <sz val="11"/>
        <rFont val="WenQuanYi Zen Hei"/>
        <family val="2"/>
      </rPr>
      <t xml:space="preserve">売上原価（私募ファンド等・修正を含む）</t>
    </r>
  </si>
  <si>
    <r>
      <rPr>
        <sz val="9"/>
        <color rgb="FF8C8C8C"/>
        <rFont val="WenQuanYi Zen Hei"/>
        <family val="2"/>
      </rPr>
      <t xml:space="preserve">同上（</t>
    </r>
    <r>
      <rPr>
        <sz val="9"/>
        <color rgb="FF8C8C8C"/>
        <rFont val="メイリオ"/>
        <family val="0"/>
        <charset val="1"/>
      </rPr>
      <t xml:space="preserve">8</t>
    </r>
    <r>
      <rPr>
        <sz val="9"/>
        <color rgb="FF8C8C8C"/>
        <rFont val="WenQuanYi Zen Hei"/>
        <family val="2"/>
      </rPr>
      <t xml:space="preserve">月実績＋</t>
    </r>
    <r>
      <rPr>
        <sz val="9"/>
        <color rgb="FF8C8C8C"/>
        <rFont val="メイリオ"/>
        <family val="0"/>
        <charset val="1"/>
      </rPr>
      <t xml:space="preserve">9</t>
    </r>
    <r>
      <rPr>
        <sz val="9"/>
        <color rgb="FF8C8C8C"/>
        <rFont val="WenQuanYi Zen Hei"/>
        <family val="2"/>
      </rPr>
      <t xml:space="preserve">月見込＋私募＋修正）。在庫の算定に使用</t>
    </r>
  </si>
  <si>
    <r>
      <rPr>
        <sz val="11"/>
        <rFont val="WenQuanYi Zen Hei"/>
        <family val="2"/>
      </rPr>
      <t xml:space="preserve">繰越欠損金 </t>
    </r>
    <r>
      <rPr>
        <sz val="11"/>
        <rFont val="メイリオ"/>
        <family val="0"/>
        <charset val="1"/>
      </rPr>
      <t xml:space="preserve">FY2025</t>
    </r>
    <r>
      <rPr>
        <sz val="11"/>
        <rFont val="WenQuanYi Zen Hei"/>
        <family val="2"/>
      </rPr>
      <t xml:space="preserve">末残高</t>
    </r>
  </si>
  <si>
    <r>
      <rPr>
        <sz val="9"/>
        <color rgb="FF8C8C8C"/>
        <rFont val="WenQuanYi Zen Hei"/>
        <family val="2"/>
      </rPr>
      <t xml:space="preserve">決算報告書 第</t>
    </r>
    <r>
      <rPr>
        <sz val="9"/>
        <color rgb="FF8C8C8C"/>
        <rFont val="メイリオ"/>
        <family val="0"/>
        <charset val="1"/>
      </rPr>
      <t xml:space="preserve">54</t>
    </r>
    <r>
      <rPr>
        <sz val="9"/>
        <color rgb="FF8C8C8C"/>
        <rFont val="WenQuanYi Zen Hei"/>
        <family val="2"/>
      </rPr>
      <t xml:space="preserve">期</t>
    </r>
  </si>
  <si>
    <r>
      <rPr>
        <sz val="11"/>
        <rFont val="メイリオ"/>
        <family val="0"/>
        <charset val="1"/>
      </rPr>
      <t xml:space="preserve">2026/07</t>
    </r>
    <r>
      <rPr>
        <sz val="11"/>
        <rFont val="WenQuanYi Zen Hei"/>
        <family val="2"/>
      </rPr>
      <t xml:space="preserve">末 商品在庫</t>
    </r>
  </si>
  <si>
    <t xml:space="preserve">試算表 貸借対照表</t>
  </si>
  <si>
    <r>
      <rPr>
        <sz val="11"/>
        <rFont val="メイリオ"/>
        <family val="0"/>
        <charset val="1"/>
      </rPr>
      <t xml:space="preserve">2026/08-09 </t>
    </r>
    <r>
      <rPr>
        <sz val="11"/>
        <rFont val="WenQuanYi Zen Hei"/>
        <family val="2"/>
      </rPr>
      <t xml:space="preserve">商品仕入</t>
    </r>
  </si>
  <si>
    <r>
      <rPr>
        <sz val="9"/>
        <color rgb="FF333333"/>
        <rFont val="WenQuanYi Zen Hei"/>
        <family val="2"/>
      </rPr>
      <t xml:space="preserve">★中野指示：</t>
    </r>
    <r>
      <rPr>
        <sz val="9"/>
        <color rgb="FF333333"/>
        <rFont val="メイリオ"/>
        <family val="0"/>
        <charset val="1"/>
      </rPr>
      <t xml:space="preserve">50</t>
    </r>
    <r>
      <rPr>
        <sz val="9"/>
        <color rgb="FF333333"/>
        <rFont val="WenQuanYi Zen Hei"/>
        <family val="2"/>
      </rPr>
      <t xml:space="preserve">〜</t>
    </r>
    <r>
      <rPr>
        <sz val="9"/>
        <color rgb="FF333333"/>
        <rFont val="メイリオ"/>
        <family val="0"/>
        <charset val="1"/>
      </rPr>
      <t xml:space="preserve">60</t>
    </r>
    <r>
      <rPr>
        <sz val="9"/>
        <color rgb="FF333333"/>
        <rFont val="WenQuanYi Zen Hei"/>
        <family val="2"/>
      </rPr>
      <t xml:space="preserve">百万円の中央値。実績に差し替え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</si>
  <si>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2</t>
    </r>
    <r>
      <rPr>
        <b val="true"/>
        <sz val="11"/>
        <color rgb="FFFFFFFF"/>
        <rFont val="WenQuanYi Zen Hei"/>
        <family val="2"/>
      </rPr>
      <t xml:space="preserve">】ベース：再編後の実力値（</t>
    </r>
    <r>
      <rPr>
        <b val="true"/>
        <sz val="11"/>
        <color rgb="FFFFFFFF"/>
        <rFont val="メイリオ"/>
        <family val="0"/>
        <charset val="1"/>
      </rPr>
      <t xml:space="preserve">2026/04-08 </t>
    </r>
    <r>
      <rPr>
        <b val="true"/>
        <sz val="11"/>
        <color rgb="FFFFFFFF"/>
        <rFont val="WenQuanYi Zen Hei"/>
        <family val="2"/>
      </rPr>
      <t xml:space="preserve">実績の月平均</t>
    </r>
    <r>
      <rPr>
        <b val="true"/>
        <sz val="11"/>
        <color rgb="FFFFFFFF"/>
        <rFont val="メイリオ"/>
        <family val="0"/>
        <charset val="1"/>
      </rPr>
      <t xml:space="preserve">×12</t>
    </r>
    <r>
      <rPr>
        <b val="true"/>
        <sz val="11"/>
        <color rgb="FFFFFFFF"/>
        <rFont val="WenQuanYi Zen Hei"/>
        <family val="2"/>
      </rPr>
      <t xml:space="preserve">。吉田さん</t>
    </r>
    <r>
      <rPr>
        <b val="true"/>
        <sz val="11"/>
        <color rgb="FFFFFFFF"/>
        <rFont val="メイリオ"/>
        <family val="0"/>
        <charset val="1"/>
      </rPr>
      <t xml:space="preserve">10/13</t>
    </r>
    <r>
      <rPr>
        <b val="true"/>
        <sz val="11"/>
        <color rgb="FFFFFFFF"/>
        <rFont val="WenQuanYi Zen Hei"/>
        <family val="2"/>
      </rPr>
      <t xml:space="preserve">版）</t>
    </r>
  </si>
  <si>
    <t xml:space="preserve">横ばい 売上（年）</t>
  </si>
  <si>
    <r>
      <rPr>
        <sz val="9"/>
        <color rgb="FF8C8C8C"/>
        <rFont val="メイリオ"/>
        <family val="0"/>
        <charset val="1"/>
      </rPr>
      <t xml:space="preserve">4</t>
    </r>
    <r>
      <rPr>
        <sz val="9"/>
        <color rgb="FF8C8C8C"/>
        <rFont val="WenQuanYi Zen Hei"/>
        <family val="2"/>
      </rPr>
      <t xml:space="preserve">月</t>
    </r>
    <r>
      <rPr>
        <sz val="9"/>
        <color rgb="FF8C8C8C"/>
        <rFont val="メイリオ"/>
        <family val="0"/>
        <charset val="1"/>
      </rPr>
      <t xml:space="preserve">32.1</t>
    </r>
    <r>
      <rPr>
        <sz val="9"/>
        <color rgb="FF8C8C8C"/>
        <rFont val="WenQuanYi Zen Hei"/>
        <family val="2"/>
      </rPr>
      <t xml:space="preserve">／</t>
    </r>
    <r>
      <rPr>
        <sz val="9"/>
        <color rgb="FF8C8C8C"/>
        <rFont val="メイリオ"/>
        <family val="0"/>
        <charset val="1"/>
      </rPr>
      <t xml:space="preserve">5</t>
    </r>
    <r>
      <rPr>
        <sz val="9"/>
        <color rgb="FF8C8C8C"/>
        <rFont val="WenQuanYi Zen Hei"/>
        <family val="2"/>
      </rPr>
      <t xml:space="preserve">月</t>
    </r>
    <r>
      <rPr>
        <sz val="9"/>
        <color rgb="FF8C8C8C"/>
        <rFont val="メイリオ"/>
        <family val="0"/>
        <charset val="1"/>
      </rPr>
      <t xml:space="preserve">35.0</t>
    </r>
    <r>
      <rPr>
        <sz val="9"/>
        <color rgb="FF8C8C8C"/>
        <rFont val="WenQuanYi Zen Hei"/>
        <family val="2"/>
      </rPr>
      <t xml:space="preserve">／</t>
    </r>
    <r>
      <rPr>
        <sz val="9"/>
        <color rgb="FF8C8C8C"/>
        <rFont val="メイリオ"/>
        <family val="0"/>
        <charset val="1"/>
      </rPr>
      <t xml:space="preserve">6</t>
    </r>
    <r>
      <rPr>
        <sz val="9"/>
        <color rgb="FF8C8C8C"/>
        <rFont val="WenQuanYi Zen Hei"/>
        <family val="2"/>
      </rPr>
      <t xml:space="preserve">月</t>
    </r>
    <r>
      <rPr>
        <sz val="9"/>
        <color rgb="FF8C8C8C"/>
        <rFont val="メイリオ"/>
        <family val="0"/>
        <charset val="1"/>
      </rPr>
      <t xml:space="preserve">32.4</t>
    </r>
    <r>
      <rPr>
        <sz val="9"/>
        <color rgb="FF8C8C8C"/>
        <rFont val="WenQuanYi Zen Hei"/>
        <family val="2"/>
      </rPr>
      <t xml:space="preserve">／</t>
    </r>
    <r>
      <rPr>
        <sz val="9"/>
        <color rgb="FF8C8C8C"/>
        <rFont val="メイリオ"/>
        <family val="0"/>
        <charset val="1"/>
      </rPr>
      <t xml:space="preserve">7</t>
    </r>
    <r>
      <rPr>
        <sz val="9"/>
        <color rgb="FF8C8C8C"/>
        <rFont val="WenQuanYi Zen Hei"/>
        <family val="2"/>
      </rPr>
      <t xml:space="preserve">月</t>
    </r>
    <r>
      <rPr>
        <sz val="9"/>
        <color rgb="FF8C8C8C"/>
        <rFont val="メイリオ"/>
        <family val="0"/>
        <charset val="1"/>
      </rPr>
      <t xml:space="preserve">63.9</t>
    </r>
    <r>
      <rPr>
        <sz val="9"/>
        <color rgb="FF8C8C8C"/>
        <rFont val="WenQuanYi Zen Hei"/>
        <family val="2"/>
      </rPr>
      <t xml:space="preserve">／</t>
    </r>
    <r>
      <rPr>
        <sz val="9"/>
        <color rgb="FF8C8C8C"/>
        <rFont val="メイリオ"/>
        <family val="0"/>
        <charset val="1"/>
      </rPr>
      <t xml:space="preserve">8</t>
    </r>
    <r>
      <rPr>
        <sz val="9"/>
        <color rgb="FF8C8C8C"/>
        <rFont val="WenQuanYi Zen Hei"/>
        <family val="2"/>
      </rPr>
      <t xml:space="preserve">月</t>
    </r>
    <r>
      <rPr>
        <sz val="9"/>
        <color rgb="FF8C8C8C"/>
        <rFont val="メイリオ"/>
        <family val="0"/>
        <charset val="1"/>
      </rPr>
      <t xml:space="preserve">49.2</t>
    </r>
    <r>
      <rPr>
        <sz val="9"/>
        <color rgb="FF8C8C8C"/>
        <rFont val="WenQuanYi Zen Hei"/>
        <family val="2"/>
      </rPr>
      <t xml:space="preserve">百万円</t>
    </r>
  </si>
  <si>
    <t xml:space="preserve">横ばい 売上総利益（年）</t>
  </si>
  <si>
    <r>
      <rPr>
        <sz val="9"/>
        <color rgb="FF8C8C8C"/>
        <rFont val="WenQuanYi Zen Hei"/>
        <family val="2"/>
      </rPr>
      <t xml:space="preserve">粗利率</t>
    </r>
    <r>
      <rPr>
        <sz val="9"/>
        <color rgb="FF8C8C8C"/>
        <rFont val="メイリオ"/>
        <family val="0"/>
        <charset val="1"/>
      </rPr>
      <t xml:space="preserve">44.9%</t>
    </r>
  </si>
  <si>
    <t xml:space="preserve">横ばい 販管費（年）　調整前</t>
  </si>
  <si>
    <r>
      <rPr>
        <sz val="9"/>
        <color rgb="FF8C8C8C"/>
        <rFont val="WenQuanYi Zen Hei"/>
        <family val="2"/>
      </rPr>
      <t xml:space="preserve">撤退</t>
    </r>
    <r>
      <rPr>
        <sz val="9"/>
        <color rgb="FF8C8C8C"/>
        <rFont val="メイリオ"/>
        <family val="0"/>
        <charset val="1"/>
      </rPr>
      <t xml:space="preserve">3</t>
    </r>
    <r>
      <rPr>
        <sz val="9"/>
        <color rgb="FF8C8C8C"/>
        <rFont val="WenQuanYi Zen Hei"/>
        <family val="2"/>
      </rPr>
      <t xml:space="preserve">店舗を含まない</t>
    </r>
    <r>
      <rPr>
        <sz val="9"/>
        <color rgb="FF8C8C8C"/>
        <rFont val="メイリオ"/>
        <family val="0"/>
        <charset val="1"/>
      </rPr>
      <t xml:space="preserve">5</t>
    </r>
    <r>
      <rPr>
        <sz val="9"/>
        <color rgb="FF8C8C8C"/>
        <rFont val="WenQuanYi Zen Hei"/>
        <family val="2"/>
      </rPr>
      <t xml:space="preserve">か月</t>
    </r>
  </si>
  <si>
    <t xml:space="preserve">システム償却の減少（特別損失処理後）</t>
  </si>
  <si>
    <r>
      <rPr>
        <sz val="9"/>
        <color rgb="FF333333"/>
        <rFont val="WenQuanYi Zen Hei"/>
        <family val="2"/>
      </rPr>
      <t xml:space="preserve">★決算整理と同額（ソフトウェア償却▲</t>
    </r>
    <r>
      <rPr>
        <sz val="9"/>
        <color rgb="FF333333"/>
        <rFont val="メイリオ"/>
        <family val="0"/>
        <charset val="1"/>
      </rPr>
      <t xml:space="preserve">6.5</t>
    </r>
    <r>
      <rPr>
        <sz val="9"/>
        <color rgb="FF333333"/>
        <rFont val="WenQuanYi Zen Hei"/>
        <family val="2"/>
      </rPr>
      <t xml:space="preserve">＋償却費</t>
    </r>
    <r>
      <rPr>
        <sz val="9"/>
        <color rgb="FF333333"/>
        <rFont val="メイリオ"/>
        <family val="0"/>
        <charset val="1"/>
      </rPr>
      <t xml:space="preserve">0.7</t>
    </r>
    <r>
      <rPr>
        <sz val="9"/>
        <color rgb="FF333333"/>
        <rFont val="WenQuanYi Zen Hei"/>
        <family val="2"/>
      </rPr>
      <t xml:space="preserve">）。</t>
    </r>
    <r>
      <rPr>
        <sz val="9"/>
        <color rgb="FF333333"/>
        <rFont val="メイリオ"/>
        <family val="0"/>
        <charset val="1"/>
      </rPr>
      <t xml:space="preserve">FY2027</t>
    </r>
    <r>
      <rPr>
        <sz val="9"/>
        <color rgb="FF333333"/>
        <rFont val="WenQuanYi Zen Hei"/>
        <family val="2"/>
      </rPr>
      <t xml:space="preserve">以降も発生しない前提</t>
    </r>
  </si>
  <si>
    <t xml:space="preserve">横ばい 販管費（年）</t>
  </si>
  <si>
    <t xml:space="preserve">　うち 人件費（年）</t>
  </si>
  <si>
    <r>
      <rPr>
        <sz val="9"/>
        <color rgb="FF8C8C8C"/>
        <rFont val="WenQuanYi Zen Hei"/>
        <family val="2"/>
      </rPr>
      <t xml:space="preserve">吉田さん</t>
    </r>
    <r>
      <rPr>
        <sz val="9"/>
        <color rgb="FF8C8C8C"/>
        <rFont val="メイリオ"/>
        <family val="0"/>
        <charset val="1"/>
      </rPr>
      <t xml:space="preserve">10/13</t>
    </r>
    <r>
      <rPr>
        <sz val="9"/>
        <color rgb="FF8C8C8C"/>
        <rFont val="WenQuanYi Zen Hei"/>
        <family val="2"/>
      </rPr>
      <t xml:space="preserve">版の人件費行（</t>
    </r>
    <r>
      <rPr>
        <sz val="9"/>
        <color rgb="FF8C8C8C"/>
        <rFont val="メイリオ"/>
        <family val="0"/>
        <charset val="1"/>
      </rPr>
      <t xml:space="preserve">4-8</t>
    </r>
    <r>
      <rPr>
        <sz val="9"/>
        <color rgb="FF8C8C8C"/>
        <rFont val="WenQuanYi Zen Hei"/>
        <family val="2"/>
      </rPr>
      <t xml:space="preserve">月）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</si>
  <si>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3</t>
    </r>
    <r>
      <rPr>
        <b val="true"/>
        <sz val="11"/>
        <color rgb="FFFFFFFF"/>
        <rFont val="WenQuanYi Zen Hei"/>
        <family val="2"/>
      </rPr>
      <t xml:space="preserve">】既存事業 売上</t>
    </r>
  </si>
  <si>
    <r>
      <rPr>
        <sz val="11"/>
        <rFont val="メイリオ"/>
        <family val="0"/>
        <charset val="1"/>
      </rPr>
      <t xml:space="preserve">FY2025 </t>
    </r>
    <r>
      <rPr>
        <sz val="11"/>
        <rFont val="WenQuanYi Zen Hei"/>
        <family val="2"/>
      </rPr>
      <t xml:space="preserve">売上高（実績）</t>
    </r>
  </si>
  <si>
    <t xml:space="preserve">既存事業 前年比成長率</t>
  </si>
  <si>
    <t xml:space="preserve">—</t>
  </si>
  <si>
    <r>
      <rPr>
        <sz val="9"/>
        <color rgb="FF8C8C8C"/>
        <rFont val="メイリオ"/>
        <family val="0"/>
        <charset val="1"/>
      </rPr>
      <t xml:space="preserve">FY2027</t>
    </r>
    <r>
      <rPr>
        <sz val="9"/>
        <color rgb="FF8C8C8C"/>
        <rFont val="WenQuanYi Zen Hei"/>
        <family val="2"/>
      </rPr>
      <t xml:space="preserve">は前期・前々期の売上平均。</t>
    </r>
    <r>
      <rPr>
        <sz val="9"/>
        <color rgb="FF8C8C8C"/>
        <rFont val="メイリオ"/>
        <family val="0"/>
        <charset val="1"/>
      </rPr>
      <t xml:space="preserve">FY2028</t>
    </r>
    <r>
      <rPr>
        <sz val="9"/>
        <color rgb="FF8C8C8C"/>
        <rFont val="WenQuanYi Zen Hei"/>
        <family val="2"/>
      </rPr>
      <t xml:space="preserve">以降は</t>
    </r>
    <r>
      <rPr>
        <sz val="9"/>
        <color rgb="FF8C8C8C"/>
        <rFont val="メイリオ"/>
        <family val="0"/>
        <charset val="1"/>
      </rPr>
      <t xml:space="preserve">FY2027</t>
    </r>
    <r>
      <rPr>
        <sz val="9"/>
        <color rgb="FF8C8C8C"/>
        <rFont val="WenQuanYi Zen Hei"/>
        <family val="2"/>
      </rPr>
      <t xml:space="preserve">水準からの成長率（初期値</t>
    </r>
    <r>
      <rPr>
        <sz val="9"/>
        <color rgb="FF8C8C8C"/>
        <rFont val="メイリオ"/>
        <family val="0"/>
        <charset val="1"/>
      </rPr>
      <t xml:space="preserve">0%</t>
    </r>
    <r>
      <rPr>
        <sz val="9"/>
        <color rgb="FF8C8C8C"/>
        <rFont val="WenQuanYi Zen Hei"/>
        <family val="2"/>
      </rPr>
      <t xml:space="preserve">＝横ばい）</t>
    </r>
  </si>
  <si>
    <t xml:space="preserve">差額売上の粗利率</t>
  </si>
  <si>
    <r>
      <rPr>
        <sz val="9"/>
        <color rgb="FF8C8C8C"/>
        <rFont val="WenQuanYi Zen Hei"/>
        <family val="2"/>
      </rPr>
      <t xml:space="preserve">横ばい実力値から売上平均までの差額に適用。</t>
    </r>
    <r>
      <rPr>
        <sz val="9"/>
        <color rgb="FF8C8C8C"/>
        <rFont val="メイリオ"/>
        <family val="0"/>
        <charset val="1"/>
      </rPr>
      <t xml:space="preserve">FY2025 26.8%</t>
    </r>
    <r>
      <rPr>
        <sz val="9"/>
        <color rgb="FF8C8C8C"/>
        <rFont val="WenQuanYi Zen Hei"/>
        <family val="2"/>
      </rPr>
      <t xml:space="preserve">・実績を踏まえ保守的に</t>
    </r>
    <r>
      <rPr>
        <sz val="9"/>
        <color rgb="FF8C8C8C"/>
        <rFont val="メイリオ"/>
        <family val="0"/>
        <charset val="1"/>
      </rPr>
      <t xml:space="preserve">30%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</si>
  <si>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4</t>
    </r>
    <r>
      <rPr>
        <b val="true"/>
        <sz val="11"/>
        <color rgb="FFFFFFFF"/>
        <rFont val="WenQuanYi Zen Hei"/>
        <family val="2"/>
      </rPr>
      <t xml:space="preserve">】上乗せ案件（原価なし）</t>
    </r>
  </si>
  <si>
    <t xml:space="preserve">案件</t>
  </si>
  <si>
    <t xml:space="preserve">計上部門</t>
  </si>
  <si>
    <t xml:space="preserve">計上月</t>
  </si>
  <si>
    <r>
      <rPr>
        <sz val="9"/>
        <color rgb="FF8C8C8C"/>
        <rFont val="WenQuanYi Zen Hei"/>
        <family val="2"/>
      </rPr>
      <t xml:space="preserve">計上月は</t>
    </r>
    <r>
      <rPr>
        <sz val="9"/>
        <color rgb="FF8C8C8C"/>
        <rFont val="メイリオ"/>
        <family val="0"/>
        <charset val="1"/>
      </rPr>
      <t xml:space="preserve">FY2027</t>
    </r>
    <r>
      <rPr>
        <sz val="9"/>
        <color rgb="FF8C8C8C"/>
        <rFont val="WenQuanYi Zen Hei"/>
        <family val="2"/>
      </rPr>
      <t xml:space="preserve">月次用：</t>
    </r>
    <r>
      <rPr>
        <sz val="9"/>
        <color rgb="FF8C8C8C"/>
        <rFont val="メイリオ"/>
        <family val="0"/>
        <charset val="1"/>
      </rPr>
      <t xml:space="preserve">0</t>
    </r>
    <r>
      <rPr>
        <sz val="9"/>
        <color rgb="FF8C8C8C"/>
        <rFont val="WenQuanYi Zen Hei"/>
        <family val="2"/>
      </rPr>
      <t xml:space="preserve">＝</t>
    </r>
    <r>
      <rPr>
        <sz val="9"/>
        <color rgb="FF8C8C8C"/>
        <rFont val="メイリオ"/>
        <family val="0"/>
        <charset val="1"/>
      </rPr>
      <t xml:space="preserve">12</t>
    </r>
    <r>
      <rPr>
        <sz val="9"/>
        <color rgb="FF8C8C8C"/>
        <rFont val="WenQuanYi Zen Hei"/>
        <family val="2"/>
      </rPr>
      <t xml:space="preserve">か月按分／</t>
    </r>
    <r>
      <rPr>
        <sz val="9"/>
        <color rgb="FF8C8C8C"/>
        <rFont val="メイリオ"/>
        <family val="0"/>
        <charset val="1"/>
      </rPr>
      <t xml:space="preserve">1</t>
    </r>
    <r>
      <rPr>
        <sz val="9"/>
        <color rgb="FF8C8C8C"/>
        <rFont val="WenQuanYi Zen Hei"/>
        <family val="2"/>
      </rPr>
      <t xml:space="preserve">〜</t>
    </r>
    <r>
      <rPr>
        <sz val="9"/>
        <color rgb="FF8C8C8C"/>
        <rFont val="メイリオ"/>
        <family val="0"/>
        <charset val="1"/>
      </rPr>
      <t xml:space="preserve">12</t>
    </r>
    <r>
      <rPr>
        <sz val="9"/>
        <color rgb="FF8C8C8C"/>
        <rFont val="WenQuanYi Zen Hei"/>
        <family val="2"/>
      </rPr>
      <t xml:space="preserve">＝</t>
    </r>
    <r>
      <rPr>
        <sz val="9"/>
        <color rgb="FF8C8C8C"/>
        <rFont val="メイリオ"/>
        <family val="0"/>
        <charset val="1"/>
      </rPr>
      <t xml:space="preserve">10</t>
    </r>
    <r>
      <rPr>
        <sz val="9"/>
        <color rgb="FF8C8C8C"/>
        <rFont val="WenQuanYi Zen Hei"/>
        <family val="2"/>
      </rPr>
      <t xml:space="preserve">月からの月番号</t>
    </r>
  </si>
  <si>
    <r>
      <rPr>
        <sz val="11"/>
        <rFont val="WenQuanYi Zen Hei"/>
        <family val="2"/>
      </rPr>
      <t xml:space="preserve">グループ経営指導料　間接グループ</t>
    </r>
    <r>
      <rPr>
        <sz val="11"/>
        <rFont val="メイリオ"/>
        <family val="0"/>
        <charset val="1"/>
      </rPr>
      <t xml:space="preserve">5</t>
    </r>
    <r>
      <rPr>
        <sz val="11"/>
        <rFont val="WenQuanYi Zen Hei"/>
        <family val="2"/>
      </rPr>
      <t xml:space="preserve">社</t>
    </r>
  </si>
  <si>
    <t xml:space="preserve">本部</t>
  </si>
  <si>
    <r>
      <rPr>
        <sz val="9"/>
        <color rgb="FF8C8C8C"/>
        <rFont val="WenQuanYi Zen Hei"/>
        <family val="2"/>
      </rPr>
      <t xml:space="preserve">中野指示（</t>
    </r>
    <r>
      <rPr>
        <sz val="9"/>
        <color rgb="FF8C8C8C"/>
        <rFont val="メイリオ"/>
        <family val="0"/>
        <charset val="1"/>
      </rPr>
      <t xml:space="preserve">10/20</t>
    </r>
    <r>
      <rPr>
        <sz val="9"/>
        <color rgb="FF8C8C8C"/>
        <rFont val="WenQuanYi Zen Hei"/>
        <family val="2"/>
      </rPr>
      <t xml:space="preserve">）：本来</t>
    </r>
    <r>
      <rPr>
        <sz val="9"/>
        <color rgb="FF8C8C8C"/>
        <rFont val="メイリオ"/>
        <family val="0"/>
        <charset val="1"/>
      </rPr>
      <t xml:space="preserve">110</t>
    </r>
    <r>
      <rPr>
        <sz val="9"/>
        <color rgb="FF8C8C8C"/>
        <rFont val="WenQuanYi Zen Hei"/>
        <family val="2"/>
      </rPr>
      <t xml:space="preserve">百万円超、うち</t>
    </r>
    <r>
      <rPr>
        <sz val="9"/>
        <color rgb="FF8C8C8C"/>
        <rFont val="メイリオ"/>
        <family val="0"/>
        <charset val="1"/>
      </rPr>
      <t xml:space="preserve">30</t>
    </r>
    <r>
      <rPr>
        <sz val="9"/>
        <color rgb="FF8C8C8C"/>
        <rFont val="WenQuanYi Zen Hei"/>
        <family val="2"/>
      </rPr>
      <t xml:space="preserve">百万円を前期に前倒しのため今期</t>
    </r>
    <r>
      <rPr>
        <sz val="9"/>
        <color rgb="FF8C8C8C"/>
        <rFont val="メイリオ"/>
        <family val="0"/>
        <charset val="1"/>
      </rPr>
      <t xml:space="preserve">80</t>
    </r>
    <r>
      <rPr>
        <sz val="9"/>
        <color rgb="FF8C8C8C"/>
        <rFont val="WenQuanYi Zen Hei"/>
        <family val="2"/>
      </rPr>
      <t xml:space="preserve">百万円程度。</t>
    </r>
    <r>
      <rPr>
        <sz val="9"/>
        <color rgb="FF8C8C8C"/>
        <rFont val="メイリオ"/>
        <family val="0"/>
        <charset val="1"/>
      </rPr>
      <t xml:space="preserve">FY2028</t>
    </r>
    <r>
      <rPr>
        <sz val="9"/>
        <color rgb="FF8C8C8C"/>
        <rFont val="WenQuanYi Zen Hei"/>
        <family val="2"/>
      </rPr>
      <t xml:space="preserve">以降は</t>
    </r>
    <r>
      <rPr>
        <sz val="9"/>
        <color rgb="FF8C8C8C"/>
        <rFont val="メイリオ"/>
        <family val="0"/>
        <charset val="1"/>
      </rPr>
      <t xml:space="preserve">110</t>
    </r>
    <r>
      <rPr>
        <sz val="9"/>
        <color rgb="FF8C8C8C"/>
        <rFont val="WenQuanYi Zen Hei"/>
        <family val="2"/>
      </rPr>
      <t xml:space="preserve">百万円</t>
    </r>
  </si>
  <si>
    <r>
      <rPr>
        <sz val="11"/>
        <rFont val="WenQuanYi Zen Hei"/>
        <family val="2"/>
      </rPr>
      <t xml:space="preserve">コンサルティング料　</t>
    </r>
    <r>
      <rPr>
        <sz val="11"/>
        <rFont val="メイリオ"/>
        <family val="0"/>
        <charset val="1"/>
      </rPr>
      <t xml:space="preserve">Thierry Marx</t>
    </r>
  </si>
  <si>
    <t xml:space="preserve">契約更新が前提</t>
  </si>
  <si>
    <r>
      <rPr>
        <sz val="11"/>
        <rFont val="WenQuanYi Zen Hei"/>
        <family val="2"/>
      </rPr>
      <t xml:space="preserve">コンサルティング料　</t>
    </r>
    <r>
      <rPr>
        <sz val="11"/>
        <rFont val="メイリオ"/>
        <family val="0"/>
        <charset val="1"/>
      </rPr>
      <t xml:space="preserve">Apicius</t>
    </r>
  </si>
  <si>
    <r>
      <rPr>
        <sz val="11"/>
        <rFont val="メイリオ"/>
        <family val="0"/>
        <charset val="1"/>
      </rPr>
      <t xml:space="preserve">M&amp;A</t>
    </r>
    <r>
      <rPr>
        <sz val="11"/>
        <rFont val="WenQuanYi Zen Hei"/>
        <family val="2"/>
      </rPr>
      <t xml:space="preserve">仲介（アピシウス）</t>
    </r>
  </si>
  <si>
    <r>
      <rPr>
        <sz val="9"/>
        <color rgb="FF8C8C8C"/>
        <rFont val="WenQuanYi Zen Hei"/>
        <family val="2"/>
      </rPr>
      <t xml:space="preserve">★削除：一発だけの案件で、</t>
    </r>
    <r>
      <rPr>
        <sz val="9"/>
        <color rgb="FF8C8C8C"/>
        <rFont val="メイリオ"/>
        <family val="0"/>
        <charset val="1"/>
      </rPr>
      <t xml:space="preserve">FY2026</t>
    </r>
    <r>
      <rPr>
        <sz val="9"/>
        <color rgb="FF8C8C8C"/>
        <rFont val="WenQuanYi Zen Hei"/>
        <family val="2"/>
      </rPr>
      <t xml:space="preserve">に</t>
    </r>
    <r>
      <rPr>
        <sz val="9"/>
        <color rgb="FF8C8C8C"/>
        <rFont val="メイリオ"/>
        <family val="0"/>
        <charset val="1"/>
      </rPr>
      <t xml:space="preserve">20</t>
    </r>
    <r>
      <rPr>
        <sz val="9"/>
        <color rgb="FF8C8C8C"/>
        <rFont val="WenQuanYi Zen Hei"/>
        <family val="2"/>
      </rPr>
      <t xml:space="preserve">百万円を計上済みのため</t>
    </r>
    <r>
      <rPr>
        <sz val="9"/>
        <color rgb="FF8C8C8C"/>
        <rFont val="メイリオ"/>
        <family val="0"/>
        <charset val="1"/>
      </rPr>
      <t xml:space="preserve">0</t>
    </r>
    <r>
      <rPr>
        <sz val="9"/>
        <color rgb="FF8C8C8C"/>
        <rFont val="WenQuanYi Zen Hei"/>
        <family val="2"/>
      </rPr>
      <t xml:space="preserve">（中野確認 </t>
    </r>
    <r>
      <rPr>
        <sz val="9"/>
        <color rgb="FF8C8C8C"/>
        <rFont val="メイリオ"/>
        <family val="0"/>
        <charset val="1"/>
      </rPr>
      <t xml:space="preserve">10/25</t>
    </r>
    <r>
      <rPr>
        <sz val="9"/>
        <color rgb="FF8C8C8C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</si>
  <si>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クルーザー</t>
    </r>
    <r>
      <rPr>
        <sz val="11"/>
        <rFont val="メイリオ"/>
        <family val="0"/>
        <charset val="1"/>
      </rPr>
      <t xml:space="preserve">×</t>
    </r>
    <r>
      <rPr>
        <sz val="11"/>
        <rFont val="WenQuanYi Zen Hei"/>
        <family val="2"/>
      </rPr>
      <t xml:space="preserve">ワイン事業</t>
    </r>
  </si>
  <si>
    <t xml:space="preserve">その他</t>
  </si>
  <si>
    <r>
      <rPr>
        <sz val="9"/>
        <color rgb="FF8C8C8C"/>
        <rFont val="WenQuanYi Zen Hei"/>
        <family val="2"/>
      </rPr>
      <t xml:space="preserve">年</t>
    </r>
    <r>
      <rPr>
        <sz val="9"/>
        <color rgb="FF8C8C8C"/>
        <rFont val="メイリオ"/>
        <family val="0"/>
        <charset val="1"/>
      </rPr>
      <t xml:space="preserve">2</t>
    </r>
    <r>
      <rPr>
        <sz val="9"/>
        <color rgb="FF8C8C8C"/>
        <rFont val="WenQuanYi Zen Hei"/>
        <family val="2"/>
      </rPr>
      <t xml:space="preserve">回（</t>
    </r>
    <r>
      <rPr>
        <sz val="9"/>
        <color rgb="FF8C8C8C"/>
        <rFont val="メイリオ"/>
        <family val="0"/>
        <charset val="1"/>
      </rPr>
      <t xml:space="preserve">3</t>
    </r>
    <r>
      <rPr>
        <sz val="9"/>
        <color rgb="FF8C8C8C"/>
        <rFont val="WenQuanYi Zen Hei"/>
        <family val="2"/>
      </rPr>
      <t xml:space="preserve">月・</t>
    </r>
    <r>
      <rPr>
        <sz val="9"/>
        <color rgb="FF8C8C8C"/>
        <rFont val="メイリオ"/>
        <family val="0"/>
        <charset val="1"/>
      </rPr>
      <t xml:space="preserve">9</t>
    </r>
    <r>
      <rPr>
        <sz val="9"/>
        <color rgb="FF8C8C8C"/>
        <rFont val="WenQuanYi Zen Hei"/>
        <family val="2"/>
      </rPr>
      <t xml:space="preserve">月）各</t>
    </r>
    <r>
      <rPr>
        <sz val="9"/>
        <color rgb="FF8C8C8C"/>
        <rFont val="メイリオ"/>
        <family val="0"/>
        <charset val="1"/>
      </rPr>
      <t xml:space="preserve">10</t>
    </r>
    <r>
      <rPr>
        <sz val="9"/>
        <color rgb="FF8C8C8C"/>
        <rFont val="WenQuanYi Zen Hei"/>
        <family val="2"/>
      </rPr>
      <t xml:space="preserve">百万円。月次は按分で表示</t>
    </r>
  </si>
  <si>
    <t xml:space="preserve">上乗せ案件 合計</t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</si>
  <si>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】私募ファンド（プラン</t>
    </r>
    <r>
      <rPr>
        <b val="true"/>
        <sz val="11"/>
        <color rgb="FFFFFFFF"/>
        <rFont val="メイリオ"/>
        <family val="0"/>
        <charset val="1"/>
      </rPr>
      <t xml:space="preserve">E</t>
    </r>
    <r>
      <rPr>
        <b val="true"/>
        <sz val="11"/>
        <color rgb="FFFFFFFF"/>
        <rFont val="WenQuanYi Zen Hei"/>
        <family val="2"/>
      </rPr>
      <t xml:space="preserve">のみ）</t>
    </r>
  </si>
  <si>
    <t xml:space="preserve">私募ファンド 売上</t>
  </si>
  <si>
    <r>
      <rPr>
        <sz val="9"/>
        <color rgb="FF8C8C8C"/>
        <rFont val="WenQuanYi Zen Hei"/>
        <family val="2"/>
      </rPr>
      <t xml:space="preserve">中野指示（</t>
    </r>
    <r>
      <rPr>
        <sz val="9"/>
        <color rgb="FF8C8C8C"/>
        <rFont val="メイリオ"/>
        <family val="0"/>
        <charset val="1"/>
      </rPr>
      <t xml:space="preserve">10/20</t>
    </r>
    <r>
      <rPr>
        <sz val="9"/>
        <color rgb="FF8C8C8C"/>
        <rFont val="WenQuanYi Zen Hei"/>
        <family val="2"/>
      </rPr>
      <t xml:space="preserve">）：残り</t>
    </r>
    <r>
      <rPr>
        <sz val="9"/>
        <color rgb="FF8C8C8C"/>
        <rFont val="メイリオ"/>
        <family val="0"/>
        <charset val="1"/>
      </rPr>
      <t xml:space="preserve">7</t>
    </r>
    <r>
      <rPr>
        <sz val="9"/>
        <color rgb="FF8C8C8C"/>
        <rFont val="WenQuanYi Zen Hei"/>
        <family val="2"/>
      </rPr>
      <t xml:space="preserve">億円程度を今期計上。</t>
    </r>
    <r>
      <rPr>
        <sz val="9"/>
        <color rgb="FF8C8C8C"/>
        <rFont val="メイリオ"/>
        <family val="0"/>
        <charset val="1"/>
      </rPr>
      <t xml:space="preserve">FY2028</t>
    </r>
    <r>
      <rPr>
        <sz val="9"/>
        <color rgb="FF8C8C8C"/>
        <rFont val="WenQuanYi Zen Hei"/>
        <family val="2"/>
      </rPr>
      <t xml:space="preserve">以降は戸髙さん版の各</t>
    </r>
    <r>
      <rPr>
        <sz val="9"/>
        <color rgb="FF8C8C8C"/>
        <rFont val="メイリオ"/>
        <family val="0"/>
        <charset val="1"/>
      </rPr>
      <t xml:space="preserve">10</t>
    </r>
    <r>
      <rPr>
        <sz val="9"/>
        <color rgb="FF8C8C8C"/>
        <rFont val="WenQuanYi Zen Hei"/>
        <family val="2"/>
      </rPr>
      <t xml:space="preserve">億円</t>
    </r>
  </si>
  <si>
    <t xml:space="preserve">私募ファンド 粗利率</t>
  </si>
  <si>
    <r>
      <rPr>
        <sz val="9"/>
        <color rgb="FF8C8C8C"/>
        <rFont val="WenQuanYi Zen Hei"/>
        <family val="2"/>
      </rPr>
      <t xml:space="preserve">戸髙さん版と同じ</t>
    </r>
    <r>
      <rPr>
        <sz val="9"/>
        <color rgb="FF8C8C8C"/>
        <rFont val="メイリオ"/>
        <family val="0"/>
        <charset val="1"/>
      </rPr>
      <t xml:space="preserve">5%</t>
    </r>
    <r>
      <rPr>
        <sz val="9"/>
        <color rgb="FF8C8C8C"/>
        <rFont val="WenQuanYi Zen Hei"/>
        <family val="2"/>
      </rPr>
      <t xml:space="preserve">（保守的）。</t>
    </r>
    <r>
      <rPr>
        <sz val="9"/>
        <color rgb="FF8C8C8C"/>
        <rFont val="メイリオ"/>
        <family val="0"/>
        <charset val="1"/>
      </rPr>
      <t xml:space="preserve">FY2026</t>
    </r>
    <r>
      <rPr>
        <sz val="9"/>
        <color rgb="FF8C8C8C"/>
        <rFont val="WenQuanYi Zen Hei"/>
        <family val="2"/>
      </rPr>
      <t xml:space="preserve">の計上実績は粗利</t>
    </r>
    <r>
      <rPr>
        <sz val="9"/>
        <color rgb="FF8C8C8C"/>
        <rFont val="メイリオ"/>
        <family val="0"/>
        <charset val="1"/>
      </rPr>
      <t xml:space="preserve">75.0</t>
    </r>
    <r>
      <rPr>
        <sz val="9"/>
        <color rgb="FF8C8C8C"/>
        <rFont val="WenQuanYi Zen Hei"/>
        <family val="2"/>
      </rPr>
      <t xml:space="preserve">百万円／売上</t>
    </r>
    <r>
      <rPr>
        <sz val="9"/>
        <color rgb="FF8C8C8C"/>
        <rFont val="メイリオ"/>
        <family val="0"/>
        <charset val="1"/>
      </rPr>
      <t xml:space="preserve">227.3</t>
    </r>
    <r>
      <rPr>
        <sz val="9"/>
        <color rgb="FF8C8C8C"/>
        <rFont val="WenQuanYi Zen Hei"/>
        <family val="2"/>
      </rPr>
      <t xml:space="preserve">百万円＝</t>
    </r>
    <r>
      <rPr>
        <sz val="9"/>
        <color rgb="FF8C8C8C"/>
        <rFont val="メイリオ"/>
        <family val="0"/>
        <charset val="1"/>
      </rPr>
      <t xml:space="preserve">33.0%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</si>
  <si>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6</t>
    </r>
    <r>
      <rPr>
        <b val="true"/>
        <sz val="11"/>
        <color rgb="FFFFFFFF"/>
        <rFont val="WenQuanYi Zen Hei"/>
        <family val="2"/>
      </rPr>
      <t xml:space="preserve">】販管費・営業外・税</t>
    </r>
  </si>
  <si>
    <t xml:space="preserve">人件費 前年比</t>
  </si>
  <si>
    <r>
      <rPr>
        <sz val="9"/>
        <color rgb="FF8C8C8C"/>
        <rFont val="WenQuanYi Zen Hei"/>
        <family val="2"/>
      </rPr>
      <t xml:space="preserve">昇給</t>
    </r>
    <r>
      <rPr>
        <sz val="9"/>
        <color rgb="FF8C8C8C"/>
        <rFont val="メイリオ"/>
        <family val="0"/>
        <charset val="1"/>
      </rPr>
      <t xml:space="preserve">3%</t>
    </r>
    <r>
      <rPr>
        <sz val="9"/>
        <color rgb="FF8C8C8C"/>
        <rFont val="WenQuanYi Zen Hei"/>
        <family val="2"/>
      </rPr>
      <t xml:space="preserve">（</t>
    </r>
    <r>
      <rPr>
        <sz val="9"/>
        <color rgb="FF8C8C8C"/>
        <rFont val="メイリオ"/>
        <family val="0"/>
        <charset val="1"/>
      </rPr>
      <t xml:space="preserve">FY2027</t>
    </r>
    <r>
      <rPr>
        <sz val="9"/>
        <color rgb="FF8C8C8C"/>
        <rFont val="WenQuanYi Zen Hei"/>
        <family val="2"/>
      </rPr>
      <t xml:space="preserve">はベースのまま）</t>
    </r>
  </si>
  <si>
    <t xml:space="preserve">その他販管費 前年比</t>
  </si>
  <si>
    <t xml:space="preserve">撤退後の固定費水準を維持</t>
  </si>
  <si>
    <t xml:space="preserve">営業外費用（支払利息等）</t>
  </si>
  <si>
    <t xml:space="preserve">借入返済に合わせて逓減</t>
  </si>
  <si>
    <t xml:space="preserve">法人実効税率</t>
  </si>
  <si>
    <t xml:space="preserve">繰越欠損金を使い切った後の所得に適用</t>
  </si>
  <si>
    <t xml:space="preserve">法人住民税 均等割</t>
  </si>
  <si>
    <t xml:space="preserve">概算</t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</si>
  <si>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7</t>
    </r>
    <r>
      <rPr>
        <b val="true"/>
        <sz val="11"/>
        <color rgb="FFFFFFFF"/>
        <rFont val="WenQuanYi Zen Hei"/>
        <family val="2"/>
      </rPr>
      <t xml:space="preserve">】資金・在庫（年次の簡易資金繰り）</t>
    </r>
  </si>
  <si>
    <r>
      <rPr>
        <sz val="11"/>
        <rFont val="WenQuanYi Zen Hei"/>
        <family val="2"/>
      </rPr>
      <t xml:space="preserve">期首 現預金（</t>
    </r>
    <r>
      <rPr>
        <sz val="11"/>
        <rFont val="メイリオ"/>
        <family val="0"/>
        <charset val="1"/>
      </rPr>
      <t xml:space="preserve">2026/09</t>
    </r>
    <r>
      <rPr>
        <sz val="11"/>
        <rFont val="WenQuanYi Zen Hei"/>
        <family val="2"/>
      </rPr>
      <t xml:space="preserve">末）</t>
    </r>
  </si>
  <si>
    <r>
      <rPr>
        <sz val="9"/>
        <color rgb="FF333333"/>
        <rFont val="WenQuanYi Zen Hei"/>
        <family val="2"/>
      </rPr>
      <t xml:space="preserve">★みずほ銀行への返済後。中野指示（</t>
    </r>
    <r>
      <rPr>
        <sz val="9"/>
        <color rgb="FF333333"/>
        <rFont val="メイリオ"/>
        <family val="0"/>
        <charset val="1"/>
      </rPr>
      <t xml:space="preserve">8</t>
    </r>
    <r>
      <rPr>
        <sz val="9"/>
        <color rgb="FF333333"/>
        <rFont val="WenQuanYi Zen Hei"/>
        <family val="2"/>
      </rPr>
      <t xml:space="preserve">月）の</t>
    </r>
    <r>
      <rPr>
        <sz val="9"/>
        <color rgb="FF333333"/>
        <rFont val="メイリオ"/>
        <family val="0"/>
        <charset val="1"/>
      </rPr>
      <t xml:space="preserve">30</t>
    </r>
    <r>
      <rPr>
        <sz val="9"/>
        <color rgb="FF333333"/>
        <rFont val="WenQuanYi Zen Hei"/>
        <family val="2"/>
      </rPr>
      <t xml:space="preserve">百万円。着地値に差し替え</t>
    </r>
  </si>
  <si>
    <t xml:space="preserve">減価償却費（年）</t>
  </si>
  <si>
    <r>
      <rPr>
        <sz val="9"/>
        <color rgb="FF8C8C8C"/>
        <rFont val="メイリオ"/>
        <family val="0"/>
        <charset val="1"/>
      </rPr>
      <t xml:space="preserve">2026/03</t>
    </r>
    <r>
      <rPr>
        <sz val="9"/>
        <color rgb="FF8C8C8C"/>
        <rFont val="WenQuanYi Zen Hei"/>
        <family val="2"/>
      </rPr>
      <t xml:space="preserve">以降の月額</t>
    </r>
    <r>
      <rPr>
        <sz val="9"/>
        <color rgb="FF8C8C8C"/>
        <rFont val="メイリオ"/>
        <family val="0"/>
        <charset val="1"/>
      </rPr>
      <t xml:space="preserve">3,637,873</t>
    </r>
    <r>
      <rPr>
        <sz val="9"/>
        <color rgb="FF8C8C8C"/>
        <rFont val="WenQuanYi Zen Hei"/>
        <family val="2"/>
      </rPr>
      <t xml:space="preserve">円</t>
    </r>
    <r>
      <rPr>
        <sz val="9"/>
        <color rgb="FF8C8C8C"/>
        <rFont val="メイリオ"/>
        <family val="0"/>
        <charset val="1"/>
      </rPr>
      <t xml:space="preserve">×12−</t>
    </r>
    <r>
      <rPr>
        <sz val="9"/>
        <color rgb="FF8C8C8C"/>
        <rFont val="WenQuanYi Zen Hei"/>
        <family val="2"/>
      </rPr>
      <t xml:space="preserve">システム償却の減少。非資金費用</t>
    </r>
  </si>
  <si>
    <t xml:space="preserve">長期借入金 約定返済</t>
  </si>
  <si>
    <r>
      <rPr>
        <sz val="9"/>
        <color rgb="FF333333"/>
        <rFont val="WenQuanYi Zen Hei"/>
        <family val="2"/>
      </rPr>
      <t xml:space="preserve">★試算表 </t>
    </r>
    <r>
      <rPr>
        <sz val="9"/>
        <color rgb="FF333333"/>
        <rFont val="メイリオ"/>
        <family val="0"/>
        <charset val="1"/>
      </rPr>
      <t xml:space="preserve">2026/07</t>
    </r>
    <r>
      <rPr>
        <sz val="9"/>
        <color rgb="FF333333"/>
        <rFont val="WenQuanYi Zen Hei"/>
        <family val="2"/>
      </rPr>
      <t xml:space="preserve">の約定返済</t>
    </r>
    <r>
      <rPr>
        <sz val="9"/>
        <color rgb="FF333333"/>
        <rFont val="メイリオ"/>
        <family val="0"/>
        <charset val="1"/>
      </rPr>
      <t xml:space="preserve">4,093,000</t>
    </r>
    <r>
      <rPr>
        <sz val="9"/>
        <color rgb="FF333333"/>
        <rFont val="WenQuanYi Zen Hei"/>
        <family val="2"/>
      </rPr>
      <t xml:space="preserve">円</t>
    </r>
    <r>
      <rPr>
        <sz val="9"/>
        <color rgb="FF333333"/>
        <rFont val="メイリオ"/>
        <family val="0"/>
        <charset val="1"/>
      </rPr>
      <t xml:space="preserve">×12≒49</t>
    </r>
    <r>
      <rPr>
        <sz val="9"/>
        <color rgb="FF333333"/>
        <rFont val="WenQuanYi Zen Hei"/>
        <family val="2"/>
      </rPr>
      <t xml:space="preserve">百万円。返済予定表で差し替え</t>
    </r>
  </si>
  <si>
    <r>
      <rPr>
        <sz val="11"/>
        <rFont val="WenQuanYi Zen Hei"/>
        <family val="2"/>
      </rPr>
      <t xml:space="preserve">ワイン仕入（プラン</t>
    </r>
    <r>
      <rPr>
        <sz val="11"/>
        <rFont val="メイリオ"/>
        <family val="0"/>
        <charset val="1"/>
      </rPr>
      <t xml:space="preserve">D</t>
    </r>
    <r>
      <rPr>
        <sz val="11"/>
        <rFont val="WenQuanYi Zen Hei"/>
        <family val="2"/>
      </rPr>
      <t xml:space="preserve">）</t>
    </r>
  </si>
  <si>
    <r>
      <rPr>
        <sz val="9"/>
        <color rgb="FF8C8C8C"/>
        <rFont val="WenQuanYi Zen Hei"/>
        <family val="2"/>
      </rPr>
      <t xml:space="preserve">割当維持のための最低水準。プラン</t>
    </r>
    <r>
      <rPr>
        <sz val="9"/>
        <color rgb="FF8C8C8C"/>
        <rFont val="メイリオ"/>
        <family val="0"/>
        <charset val="1"/>
      </rPr>
      <t xml:space="preserve">E</t>
    </r>
    <r>
      <rPr>
        <sz val="9"/>
        <color rgb="FF8C8C8C"/>
        <rFont val="WenQuanYi Zen Hei"/>
        <family val="2"/>
      </rPr>
      <t xml:space="preserve">は私募の原価分を上乗せ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</si>
  <si>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8</t>
    </r>
    <r>
      <rPr>
        <b val="true"/>
        <sz val="11"/>
        <color rgb="FFFFFFFF"/>
        <rFont val="WenQuanYi Zen Hei"/>
        <family val="2"/>
      </rPr>
      <t xml:space="preserve">】部門比率　出典：戸髙さん作成「⑧</t>
    </r>
    <r>
      <rPr>
        <b val="true"/>
        <sz val="11"/>
        <color rgb="FFFFFFFF"/>
        <rFont val="メイリオ"/>
        <family val="0"/>
        <charset val="1"/>
      </rPr>
      <t xml:space="preserve">3</t>
    </r>
    <r>
      <rPr>
        <b val="true"/>
        <sz val="11"/>
        <color rgb="FFFFFFFF"/>
        <rFont val="WenQuanYi Zen Hei"/>
        <family val="2"/>
      </rPr>
      <t xml:space="preserve">年計画</t>
    </r>
    <r>
      <rPr>
        <b val="true"/>
        <sz val="11"/>
        <color rgb="FFFFFFFF"/>
        <rFont val="メイリオ"/>
        <family val="0"/>
        <charset val="1"/>
      </rPr>
      <t xml:space="preserve">_</t>
    </r>
    <r>
      <rPr>
        <b val="true"/>
        <sz val="11"/>
        <color rgb="FFFFFFFF"/>
        <rFont val="WenQuanYi Zen Hei"/>
        <family val="2"/>
      </rPr>
      <t xml:space="preserve">前提【</t>
    </r>
    <r>
      <rPr>
        <b val="true"/>
        <sz val="11"/>
        <color rgb="FFFFFFFF"/>
        <rFont val="メイリオ"/>
        <family val="0"/>
        <charset val="1"/>
      </rPr>
      <t xml:space="preserve">6</t>
    </r>
    <r>
      <rPr>
        <b val="true"/>
        <sz val="11"/>
        <color rgb="FFFFFFFF"/>
        <rFont val="WenQuanYi Zen Hei"/>
        <family val="2"/>
      </rPr>
      <t xml:space="preserve">】」</t>
    </r>
    <r>
      <rPr>
        <b val="true"/>
        <sz val="11"/>
        <color rgb="FFFFFFFF"/>
        <rFont val="メイリオ"/>
        <family val="0"/>
        <charset val="1"/>
      </rPr>
      <t xml:space="preserve">2026/04</t>
    </r>
    <r>
      <rPr>
        <b val="true"/>
        <sz val="11"/>
        <color rgb="FFFFFFFF"/>
        <rFont val="WenQuanYi Zen Hei"/>
        <family val="2"/>
      </rPr>
      <t xml:space="preserve">〜</t>
    </r>
    <r>
      <rPr>
        <b val="true"/>
        <sz val="11"/>
        <color rgb="FFFFFFFF"/>
        <rFont val="メイリオ"/>
        <family val="0"/>
        <charset val="1"/>
      </rPr>
      <t xml:space="preserve">08</t>
    </r>
    <r>
      <rPr>
        <b val="true"/>
        <sz val="11"/>
        <color rgb="FFFFFFFF"/>
        <rFont val="WenQuanYi Zen Hei"/>
        <family val="2"/>
      </rPr>
      <t xml:space="preserve">の部門別実績</t>
    </r>
  </si>
  <si>
    <t xml:space="preserve">区分</t>
  </si>
  <si>
    <r>
      <rPr>
        <b val="true"/>
        <sz val="11"/>
        <color rgb="FFFFFFFF"/>
        <rFont val="メイリオ"/>
        <family val="0"/>
        <charset val="1"/>
      </rPr>
      <t xml:space="preserve">EC/</t>
    </r>
    <r>
      <rPr>
        <b val="true"/>
        <sz val="11"/>
        <color rgb="FFFFFFFF"/>
        <rFont val="WenQuanYi Zen Hei"/>
        <family val="2"/>
      </rPr>
      <t xml:space="preserve">酒販店卸</t>
    </r>
  </si>
  <si>
    <t xml:space="preserve">ワインテック</t>
  </si>
  <si>
    <t xml:space="preserve">合計</t>
  </si>
  <si>
    <t xml:space="preserve">売上（横ばい分）</t>
  </si>
  <si>
    <t xml:space="preserve">売上総利益（横ばい分）</t>
  </si>
  <si>
    <t xml:space="preserve">人件費</t>
  </si>
  <si>
    <t xml:space="preserve">その他販管費（人件費以外）</t>
  </si>
  <si>
    <r>
      <rPr>
        <sz val="9"/>
        <color rgb="FF8C8C8C"/>
        <rFont val="WenQuanYi Zen Hei"/>
        <family val="2"/>
      </rPr>
      <t xml:space="preserve">※本部の粗利（原価調整▲</t>
    </r>
    <r>
      <rPr>
        <sz val="9"/>
        <color rgb="FF8C8C8C"/>
        <rFont val="メイリオ"/>
        <family val="0"/>
        <charset val="1"/>
      </rPr>
      <t xml:space="preserve">0.7</t>
    </r>
    <r>
      <rPr>
        <sz val="9"/>
        <color rgb="FF8C8C8C"/>
        <rFont val="WenQuanYi Zen Hei"/>
        <family val="2"/>
      </rPr>
      <t xml:space="preserve">百万円）は</t>
    </r>
    <r>
      <rPr>
        <sz val="9"/>
        <color rgb="FF8C8C8C"/>
        <rFont val="メイリオ"/>
        <family val="0"/>
        <charset val="1"/>
      </rPr>
      <t xml:space="preserve">0</t>
    </r>
    <r>
      <rPr>
        <sz val="9"/>
        <color rgb="FF8C8C8C"/>
        <rFont val="WenQuanYi Zen Hei"/>
        <family val="2"/>
      </rPr>
      <t xml:space="preserve">とし、残り</t>
    </r>
    <r>
      <rPr>
        <sz val="9"/>
        <color rgb="FF8C8C8C"/>
        <rFont val="メイリオ"/>
        <family val="0"/>
        <charset val="1"/>
      </rPr>
      <t xml:space="preserve">3</t>
    </r>
    <r>
      <rPr>
        <sz val="9"/>
        <color rgb="FF8C8C8C"/>
        <rFont val="WenQuanYi Zen Hei"/>
        <family val="2"/>
      </rPr>
      <t xml:space="preserve">部門で按分（戸髙さん版と同じ）。差額売上・私募はワインテック、上乗せ案件は【</t>
    </r>
    <r>
      <rPr>
        <sz val="9"/>
        <color rgb="FF8C8C8C"/>
        <rFont val="メイリオ"/>
        <family val="0"/>
        <charset val="1"/>
      </rPr>
      <t xml:space="preserve">4</t>
    </r>
    <r>
      <rPr>
        <sz val="9"/>
        <color rgb="FF8C8C8C"/>
        <rFont val="WenQuanYi Zen Hei"/>
        <family val="2"/>
      </rPr>
      <t xml:space="preserve">】の計上部門。</t>
    </r>
  </si>
  <si>
    <r>
      <rPr>
        <b val="true"/>
        <sz val="15"/>
        <rFont val="メイリオ"/>
        <family val="0"/>
        <charset val="1"/>
      </rPr>
      <t xml:space="preserve">FY2026</t>
    </r>
    <r>
      <rPr>
        <b val="true"/>
        <sz val="15"/>
        <rFont val="WenQuanYi Zen Hei"/>
        <family val="2"/>
      </rPr>
      <t xml:space="preserve">（</t>
    </r>
    <r>
      <rPr>
        <b val="true"/>
        <sz val="15"/>
        <rFont val="メイリオ"/>
        <family val="0"/>
        <charset val="1"/>
      </rPr>
      <t xml:space="preserve">2026</t>
    </r>
    <r>
      <rPr>
        <b val="true"/>
        <sz val="15"/>
        <rFont val="WenQuanYi Zen Hei"/>
        <family val="2"/>
      </rPr>
      <t xml:space="preserve">年</t>
    </r>
    <r>
      <rPr>
        <b val="true"/>
        <sz val="15"/>
        <rFont val="メイリオ"/>
        <family val="0"/>
        <charset val="1"/>
      </rPr>
      <t xml:space="preserve">9</t>
    </r>
    <r>
      <rPr>
        <b val="true"/>
        <sz val="15"/>
        <rFont val="WenQuanYi Zen Hei"/>
        <family val="2"/>
      </rPr>
      <t xml:space="preserve">月期）着地見込み</t>
    </r>
  </si>
  <si>
    <r>
      <rPr>
        <sz val="9"/>
        <color rgb="FF8C8C8C"/>
        <rFont val="WenQuanYi Zen Hei"/>
        <family val="2"/>
      </rPr>
      <t xml:space="preserve">吉田さん作成「見込</t>
    </r>
    <r>
      <rPr>
        <sz val="9"/>
        <color rgb="FF8C8C8C"/>
        <rFont val="メイリオ"/>
        <family val="0"/>
        <charset val="1"/>
      </rPr>
      <t xml:space="preserve">_20261013.xlsx</t>
    </r>
    <r>
      <rPr>
        <sz val="9"/>
        <color rgb="FF8C8C8C"/>
        <rFont val="WenQuanYi Zen Hei"/>
        <family val="2"/>
      </rPr>
      <t xml:space="preserve">」（</t>
    </r>
    <r>
      <rPr>
        <sz val="9"/>
        <color rgb="FF8C8C8C"/>
        <rFont val="メイリオ"/>
        <family val="0"/>
        <charset val="1"/>
      </rPr>
      <t xml:space="preserve">2026/10/13</t>
    </r>
    <r>
      <rPr>
        <sz val="9"/>
        <color rgb="FF8C8C8C"/>
        <rFont val="WenQuanYi Zen Hei"/>
        <family val="2"/>
      </rPr>
      <t xml:space="preserve">）の通り。数字は③前提【</t>
    </r>
    <r>
      <rPr>
        <sz val="9"/>
        <color rgb="FF8C8C8C"/>
        <rFont val="メイリオ"/>
        <family val="0"/>
        <charset val="1"/>
      </rPr>
      <t xml:space="preserve">1</t>
    </r>
    <r>
      <rPr>
        <sz val="9"/>
        <color rgb="FF8C8C8C"/>
        <rFont val="WenQuanYi Zen Hei"/>
        <family val="2"/>
      </rPr>
      <t xml:space="preserve">】に入力。単位：円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</si>
  <si>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】損益</t>
    </r>
  </si>
  <si>
    <r>
      <rPr>
        <b val="true"/>
        <sz val="11"/>
        <color rgb="FFFFFFFF"/>
        <rFont val="WenQuanYi Zen Hei"/>
        <family val="2"/>
      </rPr>
      <t xml:space="preserve">実績
</t>
    </r>
    <r>
      <rPr>
        <b val="true"/>
        <sz val="11"/>
        <color rgb="FFFFFFFF"/>
        <rFont val="メイリオ"/>
        <family val="0"/>
        <charset val="1"/>
      </rPr>
      <t xml:space="preserve">10-8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</si>
  <si>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WenQuanYi Zen Hei"/>
        <family val="2"/>
      </rPr>
      <t xml:space="preserve">見込
</t>
    </r>
    <r>
      <rPr>
        <b val="true"/>
        <sz val="11"/>
        <color rgb="FFFFFFFF"/>
        <rFont val="メイリオ"/>
        <family val="0"/>
        <charset val="1"/>
      </rPr>
      <t xml:space="preserve">9</t>
    </r>
    <r>
      <rPr>
        <b val="true"/>
        <sz val="11"/>
        <color rgb="FFFFFFFF"/>
        <rFont val="WenQuanYi Zen Hei"/>
        <family val="2"/>
      </rPr>
      <t xml:space="preserve">月</t>
    </r>
  </si>
  <si>
    <t xml:space="preserve">私募ファンド等</t>
  </si>
  <si>
    <t xml:space="preserve">通期 着地</t>
  </si>
  <si>
    <t xml:space="preserve">税引前当期純利益</t>
  </si>
  <si>
    <t xml:space="preserve">（参考）吉田さん版の通期</t>
  </si>
  <si>
    <r>
      <rPr>
        <sz val="9"/>
        <color rgb="FF8C8C8C"/>
        <rFont val="WenQuanYi Zen Hei"/>
        <family val="2"/>
      </rPr>
      <t xml:space="preserve">営業 </t>
    </r>
    <r>
      <rPr>
        <sz val="9"/>
        <color rgb="FF8C8C8C"/>
        <rFont val="メイリオ"/>
        <family val="0"/>
        <charset val="1"/>
      </rPr>
      <t xml:space="preserve">860,978</t>
    </r>
    <r>
      <rPr>
        <sz val="9"/>
        <color rgb="FF8C8C8C"/>
        <rFont val="WenQuanYi Zen Hei"/>
        <family val="2"/>
      </rPr>
      <t xml:space="preserve">円／経常 </t>
    </r>
    <r>
      <rPr>
        <sz val="9"/>
        <color rgb="FF8C8C8C"/>
        <rFont val="メイリオ"/>
        <family val="0"/>
        <charset val="1"/>
      </rPr>
      <t xml:space="preserve">-12,722,025</t>
    </r>
    <r>
      <rPr>
        <sz val="9"/>
        <color rgb="FF8C8C8C"/>
        <rFont val="WenQuanYi Zen Hei"/>
        <family val="2"/>
      </rPr>
      <t xml:space="preserve">円／税引前 </t>
    </r>
    <r>
      <rPr>
        <sz val="9"/>
        <color rgb="FF8C8C8C"/>
        <rFont val="メイリオ"/>
        <family val="0"/>
        <charset val="1"/>
      </rPr>
      <t xml:space="preserve">-54,622,025</t>
    </r>
    <r>
      <rPr>
        <sz val="9"/>
        <color rgb="FF8C8C8C"/>
        <rFont val="WenQuanYi Zen Hei"/>
        <family val="2"/>
      </rPr>
      <t xml:space="preserve">円</t>
    </r>
  </si>
  <si>
    <t xml:space="preserve">既存事業 売上（私募ファンド等を除く）</t>
  </si>
  <si>
    <r>
      <rPr>
        <sz val="9"/>
        <color rgb="FF8C8C8C"/>
        <rFont val="メイリオ"/>
        <family val="0"/>
        <charset val="1"/>
      </rPr>
      <t xml:space="preserve">FY2027</t>
    </r>
    <r>
      <rPr>
        <sz val="9"/>
        <color rgb="FF8C8C8C"/>
        <rFont val="WenQuanYi Zen Hei"/>
        <family val="2"/>
      </rPr>
      <t xml:space="preserve">の</t>
    </r>
    <r>
      <rPr>
        <sz val="9"/>
        <color rgb="FF8C8C8C"/>
        <rFont val="メイリオ"/>
        <family val="0"/>
        <charset val="1"/>
      </rPr>
      <t xml:space="preserve">2</t>
    </r>
    <r>
      <rPr>
        <sz val="9"/>
        <color rgb="FF8C8C8C"/>
        <rFont val="WenQuanYi Zen Hei"/>
        <family val="2"/>
      </rPr>
      <t xml:space="preserve">期平均の算定に使用。私募ファンド・アピシウス・経営指導料（修正後）は一過性・別建てのため除外</t>
    </r>
  </si>
  <si>
    <r>
      <rPr>
        <b val="true"/>
        <sz val="11"/>
        <rFont val="WenQuanYi Zen Hei"/>
        <family val="2"/>
      </rPr>
      <t xml:space="preserve">繰越欠損金 </t>
    </r>
    <r>
      <rPr>
        <b val="true"/>
        <sz val="11"/>
        <rFont val="メイリオ"/>
        <family val="0"/>
        <charset val="1"/>
      </rPr>
      <t xml:space="preserve">FY2026</t>
    </r>
    <r>
      <rPr>
        <b val="true"/>
        <sz val="11"/>
        <rFont val="WenQuanYi Zen Hei"/>
        <family val="2"/>
      </rPr>
      <t xml:space="preserve">末残高</t>
    </r>
  </si>
  <si>
    <r>
      <rPr>
        <sz val="9"/>
        <color rgb="FF8C8C8C"/>
        <rFont val="メイリオ"/>
        <family val="0"/>
        <charset val="1"/>
      </rPr>
      <t xml:space="preserve">FY2025</t>
    </r>
    <r>
      <rPr>
        <sz val="9"/>
        <color rgb="FF8C8C8C"/>
        <rFont val="WenQuanYi Zen Hei"/>
        <family val="2"/>
      </rPr>
      <t xml:space="preserve">末残高＋</t>
    </r>
    <r>
      <rPr>
        <sz val="9"/>
        <color rgb="FF8C8C8C"/>
        <rFont val="メイリオ"/>
        <family val="0"/>
        <charset val="1"/>
      </rPr>
      <t xml:space="preserve">FY2026</t>
    </r>
    <r>
      <rPr>
        <sz val="9"/>
        <color rgb="FF8C8C8C"/>
        <rFont val="WenQuanYi Zen Hei"/>
        <family val="2"/>
      </rPr>
      <t xml:space="preserve">の税引前損失（特別損失を含む）。税務上の加減算は未反映</t>
    </r>
  </si>
  <si>
    <r>
      <rPr>
        <b val="true"/>
        <sz val="11"/>
        <rFont val="WenQuanYi Zen Hei"/>
        <family val="2"/>
      </rPr>
      <t xml:space="preserve">商品在庫 </t>
    </r>
    <r>
      <rPr>
        <b val="true"/>
        <sz val="11"/>
        <rFont val="メイリオ"/>
        <family val="0"/>
        <charset val="1"/>
      </rPr>
      <t xml:space="preserve">2026/09</t>
    </r>
    <r>
      <rPr>
        <b val="true"/>
        <sz val="11"/>
        <rFont val="WenQuanYi Zen Hei"/>
        <family val="2"/>
      </rPr>
      <t xml:space="preserve">末</t>
    </r>
  </si>
  <si>
    <r>
      <rPr>
        <sz val="9"/>
        <color rgb="FF8C8C8C"/>
        <rFont val="メイリオ"/>
        <family val="0"/>
        <charset val="1"/>
      </rPr>
      <t xml:space="preserve">7</t>
    </r>
    <r>
      <rPr>
        <sz val="9"/>
        <color rgb="FF8C8C8C"/>
        <rFont val="WenQuanYi Zen Hei"/>
        <family val="2"/>
      </rPr>
      <t xml:space="preserve">月末在庫＋</t>
    </r>
    <r>
      <rPr>
        <sz val="9"/>
        <color rgb="FF8C8C8C"/>
        <rFont val="メイリオ"/>
        <family val="0"/>
        <charset val="1"/>
      </rPr>
      <t xml:space="preserve">8-9</t>
    </r>
    <r>
      <rPr>
        <sz val="9"/>
        <color rgb="FF8C8C8C"/>
        <rFont val="WenQuanYi Zen Hei"/>
        <family val="2"/>
      </rPr>
      <t xml:space="preserve">月仕入（暫定）−</t>
    </r>
    <r>
      <rPr>
        <sz val="9"/>
        <color rgb="FF8C8C8C"/>
        <rFont val="メイリオ"/>
        <family val="0"/>
        <charset val="1"/>
      </rPr>
      <t xml:space="preserve">8-9</t>
    </r>
    <r>
      <rPr>
        <sz val="9"/>
        <color rgb="FF8C8C8C"/>
        <rFont val="WenQuanYi Zen Hei"/>
        <family val="2"/>
      </rPr>
      <t xml:space="preserve">月の売上原価（私募の原価を含む）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</si>
  <si>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2</t>
    </r>
    <r>
      <rPr>
        <b val="true"/>
        <sz val="11"/>
        <color rgb="FFFFFFFF"/>
        <rFont val="WenQuanYi Zen Hei"/>
        <family val="2"/>
      </rPr>
      <t xml:space="preserve">】前回（</t>
    </r>
    <r>
      <rPr>
        <b val="true"/>
        <sz val="11"/>
        <color rgb="FFFFFFFF"/>
        <rFont val="メイリオ"/>
        <family val="0"/>
        <charset val="1"/>
      </rPr>
      <t xml:space="preserve">10/25</t>
    </r>
    <r>
      <rPr>
        <b val="true"/>
        <sz val="11"/>
        <color rgb="FFFFFFFF"/>
        <rFont val="WenQuanYi Zen Hei"/>
        <family val="2"/>
      </rPr>
      <t xml:space="preserve">版）からの修正</t>
    </r>
  </si>
  <si>
    <r>
      <rPr>
        <sz val="9"/>
        <color rgb="FF333333"/>
        <rFont val="WenQuanYi Zen Hei"/>
        <family val="2"/>
      </rPr>
      <t xml:space="preserve">前回は試算表</t>
    </r>
    <r>
      <rPr>
        <sz val="9"/>
        <color rgb="FF333333"/>
        <rFont val="メイリオ"/>
        <family val="0"/>
        <charset val="1"/>
      </rPr>
      <t xml:space="preserve">10</t>
    </r>
    <r>
      <rPr>
        <sz val="9"/>
        <color rgb="FF333333"/>
        <rFont val="WenQuanYi Zen Hei"/>
        <family val="2"/>
      </rPr>
      <t xml:space="preserve">か月実績に「</t>
    </r>
    <r>
      <rPr>
        <sz val="9"/>
        <color rgb="FF333333"/>
        <rFont val="メイリオ"/>
        <family val="0"/>
        <charset val="1"/>
      </rPr>
      <t xml:space="preserve">8-9</t>
    </r>
    <r>
      <rPr>
        <sz val="9"/>
        <color rgb="FF333333"/>
        <rFont val="WenQuanYi Zen Hei"/>
        <family val="2"/>
      </rPr>
      <t xml:space="preserve">月トントン＋私募</t>
    </r>
    <r>
      <rPr>
        <sz val="9"/>
        <color rgb="FF333333"/>
        <rFont val="メイリオ"/>
        <family val="0"/>
        <charset val="1"/>
      </rPr>
      <t xml:space="preserve">200</t>
    </r>
    <r>
      <rPr>
        <sz val="9"/>
        <color rgb="FF333333"/>
        <rFont val="WenQuanYi Zen Hei"/>
        <family val="2"/>
      </rPr>
      <t xml:space="preserve">百万円（粗利率</t>
    </r>
    <r>
      <rPr>
        <sz val="9"/>
        <color rgb="FF333333"/>
        <rFont val="メイリオ"/>
        <family val="0"/>
        <charset val="1"/>
      </rPr>
      <t xml:space="preserve">5%</t>
    </r>
    <r>
      <rPr>
        <sz val="9"/>
        <color rgb="FF333333"/>
        <rFont val="WenQuanYi Zen Hei"/>
        <family val="2"/>
      </rPr>
      <t xml:space="preserve">）＋経営指導料</t>
    </r>
    <r>
      <rPr>
        <sz val="9"/>
        <color rgb="FF333333"/>
        <rFont val="メイリオ"/>
        <family val="0"/>
        <charset val="1"/>
      </rPr>
      <t xml:space="preserve">30</t>
    </r>
    <r>
      <rPr>
        <sz val="9"/>
        <color rgb="FF333333"/>
        <rFont val="WenQuanYi Zen Hei"/>
        <family val="2"/>
      </rPr>
      <t xml:space="preserve">百万円」を積み上げ、営業利益▲</t>
    </r>
    <r>
      <rPr>
        <sz val="9"/>
        <color rgb="FF333333"/>
        <rFont val="メイリオ"/>
        <family val="0"/>
        <charset val="1"/>
      </rPr>
      <t xml:space="preserve">64.0</t>
    </r>
    <r>
      <rPr>
        <sz val="9"/>
        <color rgb="FF333333"/>
        <rFont val="WenQuanYi Zen Hei"/>
        <family val="2"/>
      </rPr>
      <t xml:space="preserve">百万円としていました。</t>
    </r>
  </si>
  <si>
    <r>
      <rPr>
        <sz val="9"/>
        <color rgb="FF333333"/>
        <rFont val="WenQuanYi Zen Hei"/>
        <family val="2"/>
      </rPr>
      <t xml:space="preserve">吉田さんの</t>
    </r>
    <r>
      <rPr>
        <sz val="9"/>
        <color rgb="FF333333"/>
        <rFont val="メイリオ"/>
        <family val="0"/>
        <charset val="1"/>
      </rPr>
      <t xml:space="preserve">10/13</t>
    </r>
    <r>
      <rPr>
        <sz val="9"/>
        <color rgb="FF333333"/>
        <rFont val="WenQuanYi Zen Hei"/>
        <family val="2"/>
      </rPr>
      <t xml:space="preserve">版（</t>
    </r>
    <r>
      <rPr>
        <sz val="9"/>
        <color rgb="FF333333"/>
        <rFont val="メイリオ"/>
        <family val="0"/>
        <charset val="1"/>
      </rPr>
      <t xml:space="preserve">8</t>
    </r>
    <r>
      <rPr>
        <sz val="9"/>
        <color rgb="FF333333"/>
        <rFont val="WenQuanYi Zen Hei"/>
        <family val="2"/>
      </rPr>
      <t xml:space="preserve">月実績・</t>
    </r>
    <r>
      <rPr>
        <sz val="9"/>
        <color rgb="FF333333"/>
        <rFont val="メイリオ"/>
        <family val="0"/>
        <charset val="1"/>
      </rPr>
      <t xml:space="preserve">9</t>
    </r>
    <r>
      <rPr>
        <sz val="9"/>
        <color rgb="FF333333"/>
        <rFont val="WenQuanYi Zen Hei"/>
        <family val="2"/>
      </rPr>
      <t xml:space="preserve">月見込・私募ファンド等</t>
    </r>
    <r>
      <rPr>
        <sz val="9"/>
        <color rgb="FF333333"/>
        <rFont val="メイリオ"/>
        <family val="0"/>
        <charset val="1"/>
      </rPr>
      <t xml:space="preserve">105</t>
    </r>
    <r>
      <rPr>
        <sz val="9"/>
        <color rgb="FF333333"/>
        <rFont val="WenQuanYi Zen Hei"/>
        <family val="2"/>
      </rPr>
      <t xml:space="preserve">百万円の粗利・</t>
    </r>
    <r>
      <rPr>
        <sz val="9"/>
        <color rgb="FF333333"/>
        <rFont val="メイリオ"/>
        <family val="0"/>
        <charset val="1"/>
      </rPr>
      <t xml:space="preserve">10/13</t>
    </r>
    <r>
      <rPr>
        <sz val="9"/>
        <color rgb="FF333333"/>
        <rFont val="WenQuanYi Zen Hei"/>
        <family val="2"/>
      </rPr>
      <t xml:space="preserve">修正・決算整理）に置き換え、営業利益＋</t>
    </r>
    <r>
      <rPr>
        <sz val="9"/>
        <color rgb="FF333333"/>
        <rFont val="メイリオ"/>
        <family val="0"/>
        <charset val="1"/>
      </rPr>
      <t xml:space="preserve">0.9</t>
    </r>
    <r>
      <rPr>
        <sz val="9"/>
        <color rgb="FF333333"/>
        <rFont val="WenQuanYi Zen Hei"/>
        <family val="2"/>
      </rPr>
      <t xml:space="preserve">／経常▲</t>
    </r>
    <r>
      <rPr>
        <sz val="9"/>
        <color rgb="FF333333"/>
        <rFont val="メイリオ"/>
        <family val="0"/>
        <charset val="1"/>
      </rPr>
      <t xml:space="preserve">12.7</t>
    </r>
    <r>
      <rPr>
        <sz val="9"/>
        <color rgb="FF333333"/>
        <rFont val="WenQuanYi Zen Hei"/>
        <family val="2"/>
      </rPr>
      <t xml:space="preserve">／税引前▲</t>
    </r>
    <r>
      <rPr>
        <sz val="9"/>
        <color rgb="FF333333"/>
        <rFont val="メイリオ"/>
        <family val="0"/>
        <charset val="1"/>
      </rPr>
      <t xml:space="preserve">54.6</t>
    </r>
    <r>
      <rPr>
        <sz val="9"/>
        <color rgb="FF333333"/>
        <rFont val="WenQuanYi Zen Hei"/>
        <family val="2"/>
      </rPr>
      <t xml:space="preserve">百万円です。</t>
    </r>
  </si>
  <si>
    <r>
      <rPr>
        <sz val="9"/>
        <color rgb="FF333333"/>
        <rFont val="WenQuanYi Zen Hei"/>
        <family val="2"/>
      </rPr>
      <t xml:space="preserve">私募ファンドの粗利は</t>
    </r>
    <r>
      <rPr>
        <sz val="9"/>
        <color rgb="FF333333"/>
        <rFont val="メイリオ"/>
        <family val="0"/>
        <charset val="1"/>
      </rPr>
      <t xml:space="preserve">5%</t>
    </r>
    <r>
      <rPr>
        <sz val="9"/>
        <color rgb="FF333333"/>
        <rFont val="WenQuanYi Zen Hei"/>
        <family val="2"/>
      </rPr>
      <t xml:space="preserve">ではなく、</t>
    </r>
    <r>
      <rPr>
        <sz val="9"/>
        <color rgb="FF333333"/>
        <rFont val="メイリオ"/>
        <family val="0"/>
        <charset val="1"/>
      </rPr>
      <t xml:space="preserve">181.8</t>
    </r>
    <r>
      <rPr>
        <sz val="9"/>
        <color rgb="FF333333"/>
        <rFont val="WenQuanYi Zen Hei"/>
        <family val="2"/>
      </rPr>
      <t xml:space="preserve">百万円分で</t>
    </r>
    <r>
      <rPr>
        <sz val="9"/>
        <color rgb="FF333333"/>
        <rFont val="メイリオ"/>
        <family val="0"/>
        <charset val="1"/>
      </rPr>
      <t xml:space="preserve">30.0</t>
    </r>
    <r>
      <rPr>
        <sz val="9"/>
        <color rgb="FF333333"/>
        <rFont val="WenQuanYi Zen Hei"/>
        <family val="2"/>
      </rPr>
      <t xml:space="preserve">、</t>
    </r>
    <r>
      <rPr>
        <sz val="9"/>
        <color rgb="FF333333"/>
        <rFont val="メイリオ"/>
        <family val="0"/>
        <charset val="1"/>
      </rPr>
      <t xml:space="preserve">45.5</t>
    </r>
    <r>
      <rPr>
        <sz val="9"/>
        <color rgb="FF333333"/>
        <rFont val="WenQuanYi Zen Hei"/>
        <family val="2"/>
      </rPr>
      <t xml:space="preserve">百万円分で</t>
    </r>
    <r>
      <rPr>
        <sz val="9"/>
        <color rgb="FF333333"/>
        <rFont val="メイリオ"/>
        <family val="0"/>
        <charset val="1"/>
      </rPr>
      <t xml:space="preserve">45.0</t>
    </r>
    <r>
      <rPr>
        <sz val="9"/>
        <color rgb="FF333333"/>
        <rFont val="WenQuanYi Zen Hei"/>
        <family val="2"/>
      </rPr>
      <t xml:space="preserve">の計</t>
    </r>
    <r>
      <rPr>
        <sz val="9"/>
        <color rgb="FF333333"/>
        <rFont val="メイリオ"/>
        <family val="0"/>
        <charset val="1"/>
      </rPr>
      <t xml:space="preserve">75.0</t>
    </r>
    <r>
      <rPr>
        <sz val="9"/>
        <color rgb="FF333333"/>
        <rFont val="WenQuanYi Zen Hei"/>
        <family val="2"/>
      </rPr>
      <t xml:space="preserve">百万円です。</t>
    </r>
  </si>
  <si>
    <r>
      <rPr>
        <b val="true"/>
        <sz val="15"/>
        <rFont val="メイリオ"/>
        <family val="0"/>
        <charset val="1"/>
      </rPr>
      <t xml:space="preserve">3</t>
    </r>
    <r>
      <rPr>
        <b val="true"/>
        <sz val="15"/>
        <rFont val="WenQuanYi Zen Hei"/>
        <family val="2"/>
      </rPr>
      <t xml:space="preserve">か年シナリオ比較（横ばい実力値／プラン</t>
    </r>
    <r>
      <rPr>
        <b val="true"/>
        <sz val="15"/>
        <rFont val="メイリオ"/>
        <family val="0"/>
        <charset val="1"/>
      </rPr>
      <t xml:space="preserve">D</t>
    </r>
    <r>
      <rPr>
        <b val="true"/>
        <sz val="15"/>
        <rFont val="WenQuanYi Zen Hei"/>
        <family val="2"/>
      </rPr>
      <t xml:space="preserve">／プラン</t>
    </r>
    <r>
      <rPr>
        <b val="true"/>
        <sz val="15"/>
        <rFont val="メイリオ"/>
        <family val="0"/>
        <charset val="1"/>
      </rPr>
      <t xml:space="preserve">E</t>
    </r>
    <r>
      <rPr>
        <b val="true"/>
        <sz val="15"/>
        <rFont val="WenQuanYi Zen Hei"/>
        <family val="2"/>
      </rPr>
      <t xml:space="preserve">）</t>
    </r>
  </si>
  <si>
    <r>
      <rPr>
        <sz val="9"/>
        <color rgb="FF8C8C8C"/>
        <rFont val="メイリオ"/>
        <family val="0"/>
        <charset val="1"/>
      </rPr>
      <t xml:space="preserve">3</t>
    </r>
    <r>
      <rPr>
        <sz val="9"/>
        <color rgb="FF8C8C8C"/>
        <rFont val="WenQuanYi Zen Hei"/>
        <family val="2"/>
      </rPr>
      <t xml:space="preserve">シナリオを同時に計算。前提はすべて③前提。単位：円（税別）</t>
    </r>
  </si>
  <si>
    <t xml:space="preserve">横ばい実力値（参考）</t>
  </si>
  <si>
    <r>
      <rPr>
        <b val="true"/>
        <sz val="11"/>
        <color rgb="FFFFFFFF"/>
        <rFont val="WenQuanYi Zen Hei"/>
        <family val="2"/>
      </rPr>
      <t xml:space="preserve">プラン</t>
    </r>
    <r>
      <rPr>
        <b val="true"/>
        <sz val="11"/>
        <color rgb="FFFFFFFF"/>
        <rFont val="メイリオ"/>
        <family val="0"/>
        <charset val="1"/>
      </rPr>
      <t xml:space="preserve">D</t>
    </r>
    <r>
      <rPr>
        <b val="true"/>
        <sz val="11"/>
        <color rgb="FFFFFFFF"/>
        <rFont val="WenQuanYi Zen Hei"/>
        <family val="2"/>
      </rPr>
      <t xml:space="preserve">　メイン</t>
    </r>
  </si>
  <si>
    <r>
      <rPr>
        <b val="true"/>
        <sz val="11"/>
        <color rgb="FFFFFFFF"/>
        <rFont val="WenQuanYi Zen Hei"/>
        <family val="2"/>
      </rPr>
      <t xml:space="preserve">プラン</t>
    </r>
    <r>
      <rPr>
        <b val="true"/>
        <sz val="11"/>
        <color rgb="FFFFFFFF"/>
        <rFont val="メイリオ"/>
        <family val="0"/>
        <charset val="1"/>
      </rPr>
      <t xml:space="preserve">E</t>
    </r>
    <r>
      <rPr>
        <b val="true"/>
        <sz val="11"/>
        <color rgb="FFFFFFFF"/>
        <rFont val="WenQuanYi Zen Hei"/>
        <family val="2"/>
      </rPr>
      <t xml:space="preserve">　上振れ</t>
    </r>
  </si>
  <si>
    <t xml:space="preserve">既存事業 売上</t>
  </si>
  <si>
    <t xml:space="preserve">　うち 差額売上</t>
  </si>
  <si>
    <t xml:space="preserve">私募ファンド</t>
  </si>
  <si>
    <t xml:space="preserve">上乗せ案件</t>
  </si>
  <si>
    <t xml:space="preserve">売上高 合計</t>
  </si>
  <si>
    <t xml:space="preserve">その他販管費</t>
  </si>
  <si>
    <t xml:space="preserve">販管費 合計</t>
  </si>
  <si>
    <t xml:space="preserve">繰越欠損金 期首</t>
  </si>
  <si>
    <t xml:space="preserve">繰越欠損金 当期使用</t>
  </si>
  <si>
    <t xml:space="preserve">繰越欠損金 期末</t>
  </si>
  <si>
    <t xml:space="preserve">売上原価（参考）</t>
  </si>
  <si>
    <r>
      <rPr>
        <sz val="9"/>
        <color rgb="FF333333"/>
        <rFont val="WenQuanYi Zen Hei"/>
        <family val="2"/>
      </rPr>
      <t xml:space="preserve">※横ばい実力値は上乗せ案件を含めない参考値（</t>
    </r>
    <r>
      <rPr>
        <sz val="9"/>
        <color rgb="FF333333"/>
        <rFont val="メイリオ"/>
        <family val="0"/>
        <charset val="1"/>
      </rPr>
      <t xml:space="preserve">2026/04-08</t>
    </r>
    <r>
      <rPr>
        <sz val="9"/>
        <color rgb="FF333333"/>
        <rFont val="WenQuanYi Zen Hei"/>
        <family val="2"/>
      </rPr>
      <t xml:space="preserve">の実績をそのまま延ばした場合）。</t>
    </r>
  </si>
  <si>
    <r>
      <rPr>
        <sz val="9"/>
        <color rgb="FF333333"/>
        <rFont val="WenQuanYi Zen Hei"/>
        <family val="2"/>
      </rPr>
      <t xml:space="preserve">※プラン</t>
    </r>
    <r>
      <rPr>
        <sz val="9"/>
        <color rgb="FF333333"/>
        <rFont val="メイリオ"/>
        <family val="0"/>
        <charset val="1"/>
      </rPr>
      <t xml:space="preserve">D</t>
    </r>
    <r>
      <rPr>
        <sz val="9"/>
        <color rgb="FF333333"/>
        <rFont val="WenQuanYi Zen Hei"/>
        <family val="2"/>
      </rPr>
      <t xml:space="preserve">の既存事業：</t>
    </r>
    <r>
      <rPr>
        <sz val="9"/>
        <color rgb="FF333333"/>
        <rFont val="メイリオ"/>
        <family val="0"/>
        <charset val="1"/>
      </rPr>
      <t xml:space="preserve">FY2027</t>
    </r>
    <r>
      <rPr>
        <sz val="9"/>
        <color rgb="FF333333"/>
        <rFont val="WenQuanYi Zen Hei"/>
        <family val="2"/>
      </rPr>
      <t xml:space="preserve">は前期・前々期の売上平均。</t>
    </r>
    <r>
      <rPr>
        <sz val="9"/>
        <color rgb="FF333333"/>
        <rFont val="メイリオ"/>
        <family val="0"/>
        <charset val="1"/>
      </rPr>
      <t xml:space="preserve">FY2028</t>
    </r>
    <r>
      <rPr>
        <sz val="9"/>
        <color rgb="FF333333"/>
        <rFont val="WenQuanYi Zen Hei"/>
        <family val="2"/>
      </rPr>
      <t xml:space="preserve">以降は「直前</t>
    </r>
    <r>
      <rPr>
        <sz val="9"/>
        <color rgb="FF333333"/>
        <rFont val="メイリオ"/>
        <family val="0"/>
        <charset val="1"/>
      </rPr>
      <t xml:space="preserve">2</t>
    </r>
    <r>
      <rPr>
        <sz val="9"/>
        <color rgb="FF333333"/>
        <rFont val="WenQuanYi Zen Hei"/>
        <family val="2"/>
      </rPr>
      <t xml:space="preserve">期平均」ではなく、</t>
    </r>
    <r>
      <rPr>
        <sz val="9"/>
        <color rgb="FF333333"/>
        <rFont val="メイリオ"/>
        <family val="0"/>
        <charset val="1"/>
      </rPr>
      <t xml:space="preserve">FY2027</t>
    </r>
    <r>
      <rPr>
        <sz val="9"/>
        <color rgb="FF333333"/>
        <rFont val="WenQuanYi Zen Hei"/>
        <family val="2"/>
      </rPr>
      <t xml:space="preserve">水準からの成長率で置いています。</t>
    </r>
  </si>
  <si>
    <r>
      <rPr>
        <sz val="9"/>
        <color rgb="FF333333"/>
        <rFont val="WenQuanYi Zen Hei"/>
        <family val="2"/>
      </rPr>
      <t xml:space="preserve">　（実績の弱い</t>
    </r>
    <r>
      <rPr>
        <sz val="9"/>
        <color rgb="FF333333"/>
        <rFont val="メイリオ"/>
        <family val="0"/>
        <charset val="1"/>
      </rPr>
      <t xml:space="preserve">FY2026</t>
    </r>
    <r>
      <rPr>
        <sz val="9"/>
        <color rgb="FF333333"/>
        <rFont val="WenQuanYi Zen Hei"/>
        <family val="2"/>
      </rPr>
      <t xml:space="preserve">が平均に入ると、計画が年々目減りするため）</t>
    </r>
  </si>
  <si>
    <r>
      <rPr>
        <sz val="9"/>
        <color rgb="FF333333"/>
        <rFont val="WenQuanYi Zen Hei"/>
        <family val="2"/>
      </rPr>
      <t xml:space="preserve">※プラン</t>
    </r>
    <r>
      <rPr>
        <sz val="9"/>
        <color rgb="FF333333"/>
        <rFont val="メイリオ"/>
        <family val="0"/>
        <charset val="1"/>
      </rPr>
      <t xml:space="preserve">E</t>
    </r>
    <r>
      <rPr>
        <sz val="9"/>
        <color rgb="FF333333"/>
        <rFont val="WenQuanYi Zen Hei"/>
        <family val="2"/>
      </rPr>
      <t xml:space="preserve">は</t>
    </r>
    <r>
      <rPr>
        <sz val="9"/>
        <color rgb="FF333333"/>
        <rFont val="メイリオ"/>
        <family val="0"/>
        <charset val="1"/>
      </rPr>
      <t xml:space="preserve">D</t>
    </r>
    <r>
      <rPr>
        <sz val="9"/>
        <color rgb="FF333333"/>
        <rFont val="WenQuanYi Zen Hei"/>
        <family val="2"/>
      </rPr>
      <t xml:space="preserve">に私募ファンドを上乗せ。私募の粗利率は③前提【</t>
    </r>
    <r>
      <rPr>
        <sz val="9"/>
        <color rgb="FF333333"/>
        <rFont val="メイリオ"/>
        <family val="0"/>
        <charset val="1"/>
      </rPr>
      <t xml:space="preserve">5</t>
    </r>
    <r>
      <rPr>
        <sz val="9"/>
        <color rgb="FF333333"/>
        <rFont val="WenQuanYi Zen Hei"/>
        <family val="2"/>
      </rPr>
      <t xml:space="preserve">】。</t>
    </r>
  </si>
  <si>
    <r>
      <rPr>
        <b val="true"/>
        <sz val="15"/>
        <rFont val="WenQuanYi Zen Hei"/>
        <family val="2"/>
      </rPr>
      <t xml:space="preserve">部門別損益（プラン</t>
    </r>
    <r>
      <rPr>
        <b val="true"/>
        <sz val="15"/>
        <rFont val="メイリオ"/>
        <family val="0"/>
        <charset val="1"/>
      </rPr>
      <t xml:space="preserve">D</t>
    </r>
    <r>
      <rPr>
        <b val="true"/>
        <sz val="15"/>
        <rFont val="WenQuanYi Zen Hei"/>
        <family val="2"/>
      </rPr>
      <t xml:space="preserve">・年次）</t>
    </r>
  </si>
  <si>
    <r>
      <rPr>
        <sz val="9"/>
        <color rgb="FF8C8C8C"/>
        <rFont val="WenQuanYi Zen Hei"/>
        <family val="2"/>
      </rPr>
      <t xml:space="preserve">部門比率は③前提【</t>
    </r>
    <r>
      <rPr>
        <sz val="9"/>
        <color rgb="FF8C8C8C"/>
        <rFont val="メイリオ"/>
        <family val="0"/>
        <charset val="1"/>
      </rPr>
      <t xml:space="preserve">8</t>
    </r>
    <r>
      <rPr>
        <sz val="9"/>
        <color rgb="FF8C8C8C"/>
        <rFont val="WenQuanYi Zen Hei"/>
        <family val="2"/>
      </rPr>
      <t xml:space="preserve">】、上乗せ案件の計上部門は③前提【</t>
    </r>
    <r>
      <rPr>
        <sz val="9"/>
        <color rgb="FF8C8C8C"/>
        <rFont val="メイリオ"/>
        <family val="0"/>
        <charset val="1"/>
      </rPr>
      <t xml:space="preserve">4</t>
    </r>
    <r>
      <rPr>
        <sz val="9"/>
        <color rgb="FF8C8C8C"/>
        <rFont val="WenQuanYi Zen Hei"/>
        <family val="2"/>
      </rPr>
      <t xml:space="preserve">】。単位：円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</si>
  <si>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FY2027</t>
    </r>
    <r>
      <rPr>
        <b val="true"/>
        <sz val="11"/>
        <color rgb="FFFFFFFF"/>
        <rFont val="WenQuanYi Zen Hei"/>
        <family val="2"/>
      </rPr>
      <t xml:space="preserve">】</t>
    </r>
  </si>
  <si>
    <t xml:space="preserve">差額売上</t>
  </si>
  <si>
    <t xml:space="preserve">売上 計</t>
  </si>
  <si>
    <t xml:space="preserve">粗利（横ばい分）</t>
  </si>
  <si>
    <t xml:space="preserve">差額売上の粗利</t>
  </si>
  <si>
    <t xml:space="preserve">上乗せ案件の粗利</t>
  </si>
  <si>
    <t xml:space="preserve">粗利 計</t>
  </si>
  <si>
    <t xml:space="preserve">販管費 計</t>
  </si>
  <si>
    <t xml:space="preserve">本部費の配賦（粗利比）</t>
  </si>
  <si>
    <t xml:space="preserve">部門利益（配賦後）</t>
  </si>
  <si>
    <t xml:space="preserve">チェック：部門合計−全社営業利益</t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</si>
  <si>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FY2028</t>
    </r>
    <r>
      <rPr>
        <b val="true"/>
        <sz val="11"/>
        <color rgb="FFFFFFFF"/>
        <rFont val="WenQuanYi Zen Hei"/>
        <family val="2"/>
      </rPr>
      <t xml:space="preserve">】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</si>
  <si>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FY2029</t>
    </r>
    <r>
      <rPr>
        <b val="true"/>
        <sz val="11"/>
        <color rgb="FFFFFFFF"/>
        <rFont val="WenQuanYi Zen Hei"/>
        <family val="2"/>
      </rPr>
      <t xml:space="preserve">】</t>
    </r>
  </si>
  <si>
    <t xml:space="preserve">※主表は「部門利益（配賦前）」。本部は経営指導料等の上乗せ案件で自らの販管費を賄っており、本部単体で黒字です。</t>
  </si>
  <si>
    <r>
      <rPr>
        <sz val="9"/>
        <color rgb="FF333333"/>
        <rFont val="WenQuanYi Zen Hei"/>
        <family val="2"/>
      </rPr>
      <t xml:space="preserve">※「配賦後」は参考。本部の販管費を事業</t>
    </r>
    <r>
      <rPr>
        <sz val="9"/>
        <color rgb="FF333333"/>
        <rFont val="メイリオ"/>
        <family val="0"/>
        <charset val="1"/>
      </rPr>
      <t xml:space="preserve">3</t>
    </r>
    <r>
      <rPr>
        <sz val="9"/>
        <color rgb="FF333333"/>
        <rFont val="WenQuanYi Zen Hei"/>
        <family val="2"/>
      </rPr>
      <t xml:space="preserve">部門に粗利比で配賦（本部の収益は本部に残す）。売上比だと</t>
    </r>
    <r>
      <rPr>
        <sz val="9"/>
        <color rgb="FF333333"/>
        <rFont val="メイリオ"/>
        <family val="0"/>
        <charset val="1"/>
      </rPr>
      <t xml:space="preserve">EC</t>
    </r>
    <r>
      <rPr>
        <sz val="9"/>
        <color rgb="FF333333"/>
        <rFont val="WenQuanYi Zen Hei"/>
        <family val="2"/>
      </rPr>
      <t xml:space="preserve">・酒販店卸に過大に乗るため粗利比としています。</t>
    </r>
  </si>
  <si>
    <r>
      <rPr>
        <b val="true"/>
        <sz val="15"/>
        <rFont val="WenQuanYi Zen Hei"/>
        <family val="2"/>
      </rPr>
      <t xml:space="preserve">部門別月次予算 </t>
    </r>
    <r>
      <rPr>
        <b val="true"/>
        <sz val="15"/>
        <rFont val="メイリオ"/>
        <family val="0"/>
        <charset val="1"/>
      </rPr>
      <t xml:space="preserve">FY2027</t>
    </r>
    <r>
      <rPr>
        <b val="true"/>
        <sz val="15"/>
        <rFont val="WenQuanYi Zen Hei"/>
        <family val="2"/>
      </rPr>
      <t xml:space="preserve">（プラン</t>
    </r>
    <r>
      <rPr>
        <b val="true"/>
        <sz val="15"/>
        <rFont val="メイリオ"/>
        <family val="0"/>
        <charset val="1"/>
      </rPr>
      <t xml:space="preserve">D</t>
    </r>
    <r>
      <rPr>
        <b val="true"/>
        <sz val="15"/>
        <rFont val="WenQuanYi Zen Hei"/>
        <family val="2"/>
      </rPr>
      <t xml:space="preserve">）</t>
    </r>
  </si>
  <si>
    <r>
      <rPr>
        <sz val="9"/>
        <color rgb="FF8C8C8C"/>
        <rFont val="WenQuanYi Zen Hei"/>
        <family val="2"/>
      </rPr>
      <t xml:space="preserve">経常的な項目は</t>
    </r>
    <r>
      <rPr>
        <sz val="9"/>
        <color rgb="FF8C8C8C"/>
        <rFont val="メイリオ"/>
        <family val="0"/>
        <charset val="1"/>
      </rPr>
      <t xml:space="preserve">12</t>
    </r>
    <r>
      <rPr>
        <sz val="9"/>
        <color rgb="FF8C8C8C"/>
        <rFont val="WenQuanYi Zen Hei"/>
        <family val="2"/>
      </rPr>
      <t xml:space="preserve">か月均等。上乗せ案件は③前提【</t>
    </r>
    <r>
      <rPr>
        <sz val="9"/>
        <color rgb="FF8C8C8C"/>
        <rFont val="メイリオ"/>
        <family val="0"/>
        <charset val="1"/>
      </rPr>
      <t xml:space="preserve">4</t>
    </r>
    <r>
      <rPr>
        <sz val="9"/>
        <color rgb="FF8C8C8C"/>
        <rFont val="WenQuanYi Zen Hei"/>
        <family val="2"/>
      </rPr>
      <t xml:space="preserve">】の計上月（</t>
    </r>
    <r>
      <rPr>
        <sz val="9"/>
        <color rgb="FF8C8C8C"/>
        <rFont val="メイリオ"/>
        <family val="0"/>
        <charset val="1"/>
      </rPr>
      <t xml:space="preserve">0</t>
    </r>
    <r>
      <rPr>
        <sz val="9"/>
        <color rgb="FF8C8C8C"/>
        <rFont val="WenQuanYi Zen Hei"/>
        <family val="2"/>
      </rPr>
      <t xml:space="preserve">＝按分）。単位：円</t>
    </r>
  </si>
  <si>
    <t xml:space="preserve">【本部】</t>
  </si>
  <si>
    <r>
      <rPr>
        <b val="true"/>
        <sz val="11"/>
        <color rgb="FFFFFFFF"/>
        <rFont val="メイリオ"/>
        <family val="0"/>
        <charset val="1"/>
      </rPr>
      <t xml:space="preserve">10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</si>
  <si>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メイリオ"/>
        <family val="0"/>
        <charset val="1"/>
      </rPr>
      <t xml:space="preserve">11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</si>
  <si>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メイリオ"/>
        <family val="0"/>
        <charset val="1"/>
      </rPr>
      <t xml:space="preserve">12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</si>
  <si>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メイリオ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</si>
  <si>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メイリオ"/>
        <family val="0"/>
        <charset val="1"/>
      </rPr>
      <t xml:space="preserve">2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</si>
  <si>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メイリオ"/>
        <family val="0"/>
        <charset val="1"/>
      </rPr>
      <t xml:space="preserve">3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</si>
  <si>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メイリオ"/>
        <family val="0"/>
        <charset val="1"/>
      </rPr>
      <t xml:space="preserve">4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</si>
  <si>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メイリオ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</si>
  <si>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メイリオ"/>
        <family val="0"/>
        <charset val="1"/>
      </rPr>
      <t xml:space="preserve">6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</si>
  <si>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メイリオ"/>
        <family val="0"/>
        <charset val="1"/>
      </rPr>
      <t xml:space="preserve">7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</si>
  <si>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メイリオ"/>
        <family val="0"/>
        <charset val="1"/>
      </rPr>
      <t xml:space="preserve">8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</si>
  <si>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メイリオ"/>
        <family val="0"/>
        <charset val="1"/>
      </rPr>
      <t xml:space="preserve">9</t>
    </r>
    <r>
      <rPr>
        <b val="true"/>
        <sz val="11"/>
        <color rgb="FFFFFFFF"/>
        <rFont val="WenQuanYi Zen Hei"/>
        <family val="2"/>
      </rPr>
      <t xml:space="preserve">月</t>
    </r>
  </si>
  <si>
    <t xml:space="preserve">通期</t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</si>
  <si>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EC/</t>
    </r>
    <r>
      <rPr>
        <b val="true"/>
        <sz val="11"/>
        <color rgb="FFFFFFFF"/>
        <rFont val="WenQuanYi Zen Hei"/>
        <family val="2"/>
      </rPr>
      <t xml:space="preserve">酒販店卸】</t>
    </r>
  </si>
  <si>
    <t xml:space="preserve">【ワインテック】</t>
  </si>
  <si>
    <t xml:space="preserve">【その他】</t>
  </si>
  <si>
    <t xml:space="preserve">【全社】</t>
  </si>
  <si>
    <t xml:space="preserve">年次 資金繰り・在庫（簡易版）</t>
  </si>
  <si>
    <t xml:space="preserve">利益＋減価償却−在庫増加−税−約定返済。売掛・買掛・消費税の期ズレは含みません。単位：円</t>
  </si>
  <si>
    <r>
      <rPr>
        <b val="true"/>
        <sz val="11"/>
        <color rgb="FFFFFFFF"/>
        <rFont val="WenQuanYi Zen Hei"/>
        <family val="2"/>
      </rPr>
      <t xml:space="preserve">プラン</t>
    </r>
    <r>
      <rPr>
        <b val="true"/>
        <sz val="11"/>
        <color rgb="FFFFFFFF"/>
        <rFont val="メイリオ"/>
        <family val="0"/>
        <charset val="1"/>
      </rPr>
      <t xml:space="preserve">D</t>
    </r>
  </si>
  <si>
    <r>
      <rPr>
        <b val="true"/>
        <sz val="11"/>
        <color rgb="FFFFFFFF"/>
        <rFont val="WenQuanYi Zen Hei"/>
        <family val="2"/>
      </rPr>
      <t xml:space="preserve">プラン</t>
    </r>
    <r>
      <rPr>
        <b val="true"/>
        <sz val="11"/>
        <color rgb="FFFFFFFF"/>
        <rFont val="メイリオ"/>
        <family val="0"/>
        <charset val="1"/>
      </rPr>
      <t xml:space="preserve">E</t>
    </r>
  </si>
  <si>
    <t xml:space="preserve">在庫 期首</t>
  </si>
  <si>
    <t xml:space="preserve">＋仕入</t>
  </si>
  <si>
    <t xml:space="preserve">−売上原価</t>
  </si>
  <si>
    <t xml:space="preserve">在庫 期末</t>
  </si>
  <si>
    <t xml:space="preserve">現預金 期首</t>
  </si>
  <si>
    <t xml:space="preserve">＋経常利益</t>
  </si>
  <si>
    <t xml:space="preserve">＋減価償却費</t>
  </si>
  <si>
    <t xml:space="preserve">−法人税等</t>
  </si>
  <si>
    <t xml:space="preserve">−在庫の増加</t>
  </si>
  <si>
    <t xml:space="preserve">−長期借入金 約定返済</t>
  </si>
  <si>
    <t xml:space="preserve">現預金 期末</t>
  </si>
  <si>
    <r>
      <rPr>
        <sz val="9"/>
        <color rgb="FF333333"/>
        <rFont val="WenQuanYi Zen Hei"/>
        <family val="2"/>
      </rPr>
      <t xml:space="preserve">※プラン</t>
    </r>
    <r>
      <rPr>
        <sz val="9"/>
        <color rgb="FF333333"/>
        <rFont val="メイリオ"/>
        <family val="0"/>
        <charset val="1"/>
      </rPr>
      <t xml:space="preserve">E</t>
    </r>
    <r>
      <rPr>
        <sz val="9"/>
        <color rgb="FF333333"/>
        <rFont val="WenQuanYi Zen Hei"/>
        <family val="2"/>
      </rPr>
      <t xml:space="preserve">の仕入は、プラン</t>
    </r>
    <r>
      <rPr>
        <sz val="9"/>
        <color rgb="FF333333"/>
        <rFont val="メイリオ"/>
        <family val="0"/>
        <charset val="1"/>
      </rPr>
      <t xml:space="preserve">D</t>
    </r>
    <r>
      <rPr>
        <sz val="9"/>
        <color rgb="FF333333"/>
        <rFont val="WenQuanYi Zen Hei"/>
        <family val="2"/>
      </rPr>
      <t xml:space="preserve">の仕入に私募ファンドの原価（売上</t>
    </r>
    <r>
      <rPr>
        <sz val="9"/>
        <color rgb="FF333333"/>
        <rFont val="メイリオ"/>
        <family val="0"/>
        <charset val="1"/>
      </rPr>
      <t xml:space="preserve">×</t>
    </r>
    <r>
      <rPr>
        <sz val="9"/>
        <color rgb="FF333333"/>
        <rFont val="WenQuanYi Zen Hei"/>
        <family val="2"/>
      </rPr>
      <t xml:space="preserve">（</t>
    </r>
    <r>
      <rPr>
        <sz val="9"/>
        <color rgb="FF333333"/>
        <rFont val="メイリオ"/>
        <family val="0"/>
        <charset val="1"/>
      </rPr>
      <t xml:space="preserve">1−</t>
    </r>
    <r>
      <rPr>
        <sz val="9"/>
        <color rgb="FF333333"/>
        <rFont val="WenQuanYi Zen Hei"/>
        <family val="2"/>
      </rPr>
      <t xml:space="preserve">粗利率））を上乗せ。私募のワインを当期に調達する前提です。</t>
    </r>
  </si>
  <si>
    <r>
      <rPr>
        <sz val="9"/>
        <color rgb="FF333333"/>
        <rFont val="WenQuanYi Zen Hei"/>
        <family val="2"/>
      </rPr>
      <t xml:space="preserve">※期首現預金</t>
    </r>
    <r>
      <rPr>
        <sz val="9"/>
        <color rgb="FF333333"/>
        <rFont val="メイリオ"/>
        <family val="0"/>
        <charset val="1"/>
      </rPr>
      <t xml:space="preserve">30</t>
    </r>
    <r>
      <rPr>
        <sz val="9"/>
        <color rgb="FF333333"/>
        <rFont val="WenQuanYi Zen Hei"/>
        <family val="2"/>
      </rPr>
      <t xml:space="preserve">百万円と約定返済</t>
    </r>
    <r>
      <rPr>
        <sz val="9"/>
        <color rgb="FF333333"/>
        <rFont val="メイリオ"/>
        <family val="0"/>
        <charset val="1"/>
      </rPr>
      <t xml:space="preserve">49</t>
    </r>
    <r>
      <rPr>
        <sz val="9"/>
        <color rgb="FF333333"/>
        <rFont val="WenQuanYi Zen Hei"/>
        <family val="2"/>
      </rPr>
      <t xml:space="preserve">百万円</t>
    </r>
    <r>
      <rPr>
        <sz val="9"/>
        <color rgb="FF333333"/>
        <rFont val="メイリオ"/>
        <family val="0"/>
        <charset val="1"/>
      </rPr>
      <t xml:space="preserve">/</t>
    </r>
    <r>
      <rPr>
        <sz val="9"/>
        <color rgb="FF333333"/>
        <rFont val="WenQuanYi Zen Hei"/>
        <family val="2"/>
      </rPr>
      <t xml:space="preserve">年は暫定値。返済予定表・</t>
    </r>
    <r>
      <rPr>
        <sz val="9"/>
        <color rgb="FF333333"/>
        <rFont val="メイリオ"/>
        <family val="0"/>
        <charset val="1"/>
      </rPr>
      <t xml:space="preserve">9</t>
    </r>
    <r>
      <rPr>
        <sz val="9"/>
        <color rgb="FF333333"/>
        <rFont val="WenQuanYi Zen Hei"/>
        <family val="2"/>
      </rPr>
      <t xml:space="preserve">月末の残高で差し替えてください。</t>
    </r>
  </si>
  <si>
    <r>
      <rPr>
        <sz val="9"/>
        <color rgb="FF333333"/>
        <rFont val="WenQuanYi Zen Hei"/>
        <family val="2"/>
      </rPr>
      <t xml:space="preserve">※月次の資金繰りは</t>
    </r>
    <r>
      <rPr>
        <sz val="9"/>
        <color rgb="FF333333"/>
        <rFont val="メイリオ"/>
        <family val="0"/>
        <charset val="1"/>
      </rPr>
      <t xml:space="preserve">FY2027</t>
    </r>
    <r>
      <rPr>
        <sz val="9"/>
        <color rgb="FF333333"/>
        <rFont val="WenQuanYi Zen Hei"/>
        <family val="2"/>
      </rPr>
      <t xml:space="preserve">のみ別途作成（銀行提出版⑦）。</t>
    </r>
    <r>
      <rPr>
        <sz val="9"/>
        <color rgb="FF333333"/>
        <rFont val="メイリオ"/>
        <family val="0"/>
        <charset val="1"/>
      </rPr>
      <t xml:space="preserve">2</t>
    </r>
    <r>
      <rPr>
        <sz val="9"/>
        <color rgb="FF333333"/>
        <rFont val="WenQuanYi Zen Hei"/>
        <family val="2"/>
      </rPr>
      <t xml:space="preserve">・</t>
    </r>
    <r>
      <rPr>
        <sz val="9"/>
        <color rgb="FF333333"/>
        <rFont val="メイリオ"/>
        <family val="0"/>
        <charset val="1"/>
      </rPr>
      <t xml:space="preserve">3</t>
    </r>
    <r>
      <rPr>
        <sz val="9"/>
        <color rgb="FF333333"/>
        <rFont val="WenQuanYi Zen Hei"/>
        <family val="2"/>
      </rPr>
      <t xml:space="preserve">年目は年次で十分と考えます。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</si>
</sst>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¥#,##0;&quot;(¥&quot;#,##0\);\-"/>
    <numFmt numFmtId="166" formatCode="0.0%"/>
    <numFmt numFmtId="167" formatCode="@"/>
    <numFmt numFmtId="168" formatCode="0"/>
  </numFmts>
  <fonts count="20">
    <font>
      <sz val="11"/>
      <color theme="1"/>
      <name val="メイリオ"/>
      <family val="2"/>
      <charset val="1"/>
    </font>
    <font>
      <sz val="10"/>
      <name val="メイリオ"/>
      <family val="0"/>
    </font>
    <font>
      <sz val="10"/>
      <name val="メイリオ"/>
      <family val="0"/>
    </font>
    <font>
      <sz val="10"/>
      <name val="メイリオ"/>
      <family val="0"/>
    </font>
    <font>
      <b val="true"/>
      <sz val="15"/>
      <name val="メイリオ"/>
      <family val="0"/>
      <charset val="1"/>
    </font>
    <font>
      <b val="true"/>
      <sz val="15"/>
      <name val="メイリオ"/>
      <family val="2"/>
    </font>
    <font>
      <sz val="9"/>
      <color rgb="FF8C8C8C"/>
      <name val="メイリオ"/>
      <family val="0"/>
      <charset val="1"/>
    </font>
    <font>
      <sz val="9"/>
      <color rgb="FF8C8C8C"/>
      <name val="メイリオ"/>
      <family val="2"/>
    </font>
    <font>
      <b val="true"/>
      <sz val="11"/>
      <color rgb="FFFFFFFF"/>
      <name val="メイリオ"/>
      <family val="2"/>
    </font>
    <font>
      <b val="true"/>
      <sz val="11"/>
      <color rgb="FFFFFFFF"/>
      <name val="メイリオ"/>
      <family val="0"/>
      <charset val="1"/>
    </font>
    <font>
      <b val="true"/>
      <sz val="11"/>
      <name val="メイリオ"/>
      <family val="2"/>
    </font>
    <font>
      <b val="true"/>
      <sz val="11"/>
      <name val="メイリオ"/>
      <family val="0"/>
      <charset val="1"/>
    </font>
    <font>
      <sz val="11"/>
      <name val="メイリオ"/>
      <family val="0"/>
      <charset val="1"/>
    </font>
    <font>
      <sz val="11"/>
      <name val="メイリオ"/>
      <family val="2"/>
    </font>
    <font>
      <sz val="10"/>
      <name val="メイリオ"/>
      <family val="0"/>
      <charset val="1"/>
    </font>
    <font>
      <sz val="10"/>
      <name val="メイリオ"/>
      <family val="2"/>
    </font>
    <font>
      <b val="true"/>
      <sz val="11"/>
      <color rgb="FF8A6A24"/>
      <name val="メイリオ"/>
      <family val="0"/>
      <charset val="1"/>
    </font>
    <font>
      <sz val="9"/>
      <color rgb="FF333333"/>
      <name val="メイリオ"/>
      <family val="2"/>
    </font>
    <font>
      <sz val="9"/>
      <color rgb="FF333333"/>
      <name val="メイリオ"/>
      <family val="0"/>
      <charset val="1"/>
    </font>
    <font>
      <b val="true"/>
      <sz val="11"/>
      <color rgb="FF8A6A24"/>
      <name val="メイリオ"/>
      <family val="2"/>
    </font>
  </fonts>
  <fills count="8">
    <fill>
      <patternFill patternType="none"/>
    </fill>
    <fill>
      <patternFill patternType="gray125"/>
    </fill>
    <fill>
      <patternFill patternType="solid">
        <fgColor rgb="FF1A1A1A"/>
        <bgColor rgb="FF333333"/>
      </patternFill>
    </fill>
    <fill>
      <patternFill patternType="solid">
        <fgColor rgb="FFF7F6F3"/>
        <bgColor rgb="FFF2F1EE"/>
      </patternFill>
    </fill>
    <fill>
      <patternFill patternType="solid">
        <fgColor rgb="FFF4EDDC"/>
        <bgColor rgb="FFEFEEEA"/>
      </patternFill>
    </fill>
    <fill>
      <patternFill patternType="solid">
        <fgColor rgb="FFEFEEEA"/>
        <bgColor rgb="FFF2F1EE"/>
      </patternFill>
    </fill>
    <fill>
      <patternFill patternType="solid">
        <fgColor rgb="FFFAF3E2"/>
        <bgColor rgb="FFF4EDDC"/>
      </patternFill>
    </fill>
    <fill>
      <patternFill patternType="solid">
        <fgColor rgb="FFF2F1EE"/>
        <bgColor rgb="FFEFEEE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A24"/>
      <rgbColor rgb="FF800080"/>
      <rgbColor rgb="FF008080"/>
      <rgbColor rgb="FFC0C0C0"/>
      <rgbColor rgb="FF808080"/>
      <rgbColor rgb="FF9999FF"/>
      <rgbColor rgb="FF993366"/>
      <rgbColor rgb="FFFAF3E2"/>
      <rgbColor rgb="FFF2F1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EEA"/>
      <rgbColor rgb="FFF4EDDC"/>
      <rgbColor rgb="FFF7F6F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1A1A1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6" min="3" style="0" width="18"/>
    <col collapsed="false" customWidth="true" hidden="false" outlineLevel="0" max="7" min="7" style="0" width="12"/>
    <col collapsed="false" customWidth="true" hidden="false" outlineLevel="0" max="8" min="8" style="0" width="46"/>
  </cols>
  <sheetData>
    <row r="1" customFormat="false" ht="20.1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  <c r="E4" s="4"/>
      <c r="F4" s="4"/>
      <c r="G4" s="4"/>
      <c r="H4" s="4"/>
    </row>
    <row r="5" customFormat="false" ht="33.75" hidden="false" customHeight="true" outlineLevel="0" collapsed="false">
      <c r="B5" s="5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5" t="s">
        <v>9</v>
      </c>
    </row>
    <row r="6" customFormat="false" ht="15" hidden="false" customHeight="false" outlineLevel="0" collapsed="false">
      <c r="B6" s="7" t="s">
        <v>10</v>
      </c>
      <c r="C6" s="8" t="n">
        <f aca="false">④FY2026着地!H6</f>
        <v>816573602</v>
      </c>
      <c r="D6" s="8" t="n">
        <f aca="false">②シナリオ比較!$F$10</f>
        <v>770173797</v>
      </c>
      <c r="E6" s="8" t="n">
        <f aca="false">②シナリオ比較!$G$10</f>
        <v>800173797</v>
      </c>
      <c r="F6" s="8" t="n">
        <f aca="false">②シナリオ比較!$H$10</f>
        <v>800173797</v>
      </c>
      <c r="G6" s="9" t="n">
        <f aca="false">IF(D6&gt;0,(F6/D6)^(1/2)-1,"")</f>
        <v>0.0192900701145797</v>
      </c>
      <c r="H6" s="2" t="s">
        <v>11</v>
      </c>
    </row>
    <row r="7" customFormat="false" ht="15" hidden="false" customHeight="false" outlineLevel="0" collapsed="false">
      <c r="B7" s="7" t="s">
        <v>12</v>
      </c>
      <c r="C7" s="8" t="n">
        <f aca="false">④FY2026着地!H7</f>
        <v>350898010</v>
      </c>
      <c r="D7" s="8" t="n">
        <f aca="false">②シナリオ比較!$F$11</f>
        <v>385588700.9</v>
      </c>
      <c r="E7" s="8" t="n">
        <f aca="false">②シナリオ比較!$G$11</f>
        <v>415588700.9</v>
      </c>
      <c r="F7" s="8" t="n">
        <f aca="false">②シナリオ比較!$H$11</f>
        <v>415588700.9</v>
      </c>
      <c r="G7" s="9" t="n">
        <f aca="false">IF(D7&gt;0,(F7/D7)^(1/2)-1,"")</f>
        <v>0.0381729671458606</v>
      </c>
      <c r="H7" s="2"/>
    </row>
    <row r="8" customFormat="false" ht="15" hidden="false" customHeight="false" outlineLevel="0" collapsed="false">
      <c r="B8" s="10" t="s">
        <v>13</v>
      </c>
      <c r="C8" s="11" t="n">
        <f aca="false">C7/C6</f>
        <v>0.429720002141338</v>
      </c>
      <c r="D8" s="11" t="n">
        <f aca="false">②シナリオ比較!$F$12</f>
        <v>0.500651544368238</v>
      </c>
      <c r="E8" s="11" t="n">
        <f aca="false">②シナリオ比較!$G$12</f>
        <v>0.519373044278779</v>
      </c>
      <c r="F8" s="11" t="n">
        <f aca="false">②シナリオ比較!$H$12</f>
        <v>0.519373044278779</v>
      </c>
      <c r="H8" s="2"/>
    </row>
    <row r="9" customFormat="false" ht="15" hidden="false" customHeight="false" outlineLevel="0" collapsed="false">
      <c r="B9" s="10" t="s">
        <v>14</v>
      </c>
      <c r="C9" s="12" t="n">
        <f aca="false">④FY2026着地!H8</f>
        <v>350037032</v>
      </c>
      <c r="D9" s="12" t="n">
        <f aca="false">②シナリオ比較!$F$15</f>
        <v>321629734</v>
      </c>
      <c r="E9" s="12" t="n">
        <f aca="false">②シナリオ比較!$G$15</f>
        <v>323997938.92</v>
      </c>
      <c r="F9" s="12" t="n">
        <f aca="false">②シナリオ比較!$H$15</f>
        <v>326437189.9876</v>
      </c>
      <c r="H9" s="13" t="s">
        <v>15</v>
      </c>
    </row>
    <row r="10" customFormat="false" ht="15" hidden="false" customHeight="false" outlineLevel="0" collapsed="false">
      <c r="B10" s="14" t="s">
        <v>16</v>
      </c>
      <c r="C10" s="15" t="n">
        <f aca="false">④FY2026着地!H9</f>
        <v>860978</v>
      </c>
      <c r="D10" s="15" t="n">
        <f aca="false">②シナリオ比較!$F$16</f>
        <v>63958966.9</v>
      </c>
      <c r="E10" s="15" t="n">
        <f aca="false">②シナリオ比較!$G$16</f>
        <v>91590761.98</v>
      </c>
      <c r="F10" s="15" t="n">
        <f aca="false">②シナリオ比較!$H$16</f>
        <v>89151510.9124</v>
      </c>
      <c r="G10" s="16" t="n">
        <f aca="false">IF(D10&gt;0,(F10/D10)^(1/2)-1,"")</f>
        <v>0.18062950884231</v>
      </c>
      <c r="H10" s="2"/>
    </row>
    <row r="11" customFormat="false" ht="15" hidden="false" customHeight="false" outlineLevel="0" collapsed="false">
      <c r="B11" s="10" t="s">
        <v>17</v>
      </c>
      <c r="C11" s="12" t="n">
        <f aca="false">④FY2026着地!H11</f>
        <v>14015424</v>
      </c>
      <c r="D11" s="12" t="n">
        <f aca="false">②シナリオ比較!$F$17</f>
        <v>12000000</v>
      </c>
      <c r="E11" s="12" t="n">
        <f aca="false">②シナリオ比較!$G$17</f>
        <v>10000000</v>
      </c>
      <c r="F11" s="12" t="n">
        <f aca="false">②シナリオ比較!$H$17</f>
        <v>8000000</v>
      </c>
      <c r="H11" s="13" t="s">
        <v>18</v>
      </c>
    </row>
    <row r="12" customFormat="false" ht="15" hidden="false" customHeight="false" outlineLevel="0" collapsed="false">
      <c r="B12" s="14" t="s">
        <v>19</v>
      </c>
      <c r="C12" s="15" t="n">
        <f aca="false">④FY2026着地!H12</f>
        <v>-12722025</v>
      </c>
      <c r="D12" s="15" t="n">
        <f aca="false">②シナリオ比較!$F$18</f>
        <v>51958966.9</v>
      </c>
      <c r="E12" s="15" t="n">
        <f aca="false">②シナリオ比較!$G$18</f>
        <v>81590761.98</v>
      </c>
      <c r="F12" s="15" t="n">
        <f aca="false">②シナリオ比較!$H$18</f>
        <v>81151510.9124</v>
      </c>
      <c r="G12" s="16" t="n">
        <f aca="false">IF(D12&gt;0,(F12/D12)^(1/2)-1,"")</f>
        <v>0.249735341094464</v>
      </c>
      <c r="H12" s="2"/>
    </row>
    <row r="13" customFormat="false" ht="15" hidden="false" customHeight="false" outlineLevel="0" collapsed="false">
      <c r="B13" s="10" t="s">
        <v>20</v>
      </c>
      <c r="D13" s="12" t="n">
        <f aca="false">②シナリオ比較!$F$22</f>
        <v>0</v>
      </c>
      <c r="E13" s="12" t="n">
        <f aca="false">②シナリオ比較!$G$22</f>
        <v>70000</v>
      </c>
      <c r="F13" s="12" t="n">
        <f aca="false">②シナリオ比較!$H$22</f>
        <v>11193100.949416</v>
      </c>
      <c r="H13" s="13" t="s">
        <v>21</v>
      </c>
    </row>
    <row r="14" customFormat="false" ht="15" hidden="false" customHeight="false" outlineLevel="0" collapsed="false">
      <c r="B14" s="7" t="s">
        <v>22</v>
      </c>
      <c r="C14" s="8" t="n">
        <f aca="false">④FY2026着地!H14</f>
        <v>-54622025</v>
      </c>
      <c r="D14" s="8" t="n">
        <f aca="false">②シナリオ比較!$F$23</f>
        <v>51958966.9</v>
      </c>
      <c r="E14" s="8" t="n">
        <f aca="false">②シナリオ比較!$G$23</f>
        <v>81520761.98</v>
      </c>
      <c r="F14" s="8" t="n">
        <f aca="false">②シナリオ比較!$H$23</f>
        <v>69958409.962984</v>
      </c>
      <c r="G14" s="17"/>
      <c r="H14" s="2" t="s">
        <v>23</v>
      </c>
    </row>
    <row r="15" customFormat="false" ht="15" hidden="false" customHeight="false" outlineLevel="0" collapsed="false">
      <c r="B15" s="10" t="s">
        <v>24</v>
      </c>
      <c r="C15" s="12" t="n">
        <f aca="false">④FY2026着地!$H$19</f>
        <v>181986237</v>
      </c>
      <c r="D15" s="12" t="n">
        <f aca="false">②シナリオ比較!$F$21</f>
        <v>130027270.1</v>
      </c>
      <c r="E15" s="12" t="n">
        <f aca="false">②シナリオ比較!$G$21</f>
        <v>48436508.1200001</v>
      </c>
      <c r="F15" s="12" t="n">
        <f aca="false">②シナリオ比較!$H$21</f>
        <v>0</v>
      </c>
      <c r="H15" s="2"/>
    </row>
    <row r="17" customFormat="false" ht="15" hidden="false" customHeight="false" outlineLevel="0" collapsed="false">
      <c r="B17" s="3" t="s">
        <v>25</v>
      </c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B18" s="5" t="s">
        <v>26</v>
      </c>
      <c r="C18" s="5"/>
      <c r="D18" s="6" t="s">
        <v>5</v>
      </c>
      <c r="E18" s="6" t="s">
        <v>6</v>
      </c>
      <c r="F18" s="6" t="s">
        <v>7</v>
      </c>
      <c r="G18" s="5"/>
      <c r="H18" s="5"/>
    </row>
    <row r="19" customFormat="false" ht="15" hidden="false" customHeight="false" outlineLevel="0" collapsed="false">
      <c r="B19" s="18" t="s">
        <v>27</v>
      </c>
      <c r="C19" s="19"/>
      <c r="D19" s="19"/>
      <c r="E19" s="19"/>
      <c r="F19" s="19"/>
      <c r="G19" s="19"/>
    </row>
    <row r="20" customFormat="false" ht="15" hidden="false" customHeight="false" outlineLevel="0" collapsed="false">
      <c r="B20" s="10" t="s">
        <v>28</v>
      </c>
      <c r="D20" s="12" t="n">
        <f aca="false">⑤部門別損益!C10</f>
        <v>92500000</v>
      </c>
      <c r="E20" s="12" t="n">
        <f aca="false">⑤部門別損益!C28</f>
        <v>122500000</v>
      </c>
      <c r="F20" s="12" t="n">
        <f aca="false">⑤部門別損益!C46</f>
        <v>122500000</v>
      </c>
    </row>
    <row r="21" customFormat="false" ht="15" hidden="false" customHeight="false" outlineLevel="0" collapsed="false">
      <c r="B21" s="10" t="s">
        <v>29</v>
      </c>
      <c r="D21" s="12" t="n">
        <f aca="false">⑤部門別損益!D10</f>
        <v>191153872.976371</v>
      </c>
      <c r="E21" s="12" t="n">
        <f aca="false">⑤部門別損益!D28</f>
        <v>191153872.976371</v>
      </c>
      <c r="F21" s="12" t="n">
        <f aca="false">⑤部門別損益!D46</f>
        <v>191153872.976371</v>
      </c>
    </row>
    <row r="22" customFormat="false" ht="15" hidden="false" customHeight="false" outlineLevel="0" collapsed="false">
      <c r="B22" s="10" t="s">
        <v>30</v>
      </c>
      <c r="D22" s="12" t="n">
        <f aca="false">⑤部門別損益!E10</f>
        <v>302627937.067033</v>
      </c>
      <c r="E22" s="12" t="n">
        <f aca="false">⑤部門別損益!E28</f>
        <v>302627937.067033</v>
      </c>
      <c r="F22" s="12" t="n">
        <f aca="false">⑤部門別損益!E46</f>
        <v>302627937.067033</v>
      </c>
    </row>
    <row r="23" customFormat="false" ht="15" hidden="false" customHeight="false" outlineLevel="0" collapsed="false">
      <c r="B23" s="10" t="s">
        <v>31</v>
      </c>
      <c r="D23" s="12" t="n">
        <f aca="false">⑤部門別損益!F10</f>
        <v>183891986.956596</v>
      </c>
      <c r="E23" s="12" t="n">
        <f aca="false">⑤部門別損益!F28</f>
        <v>183891986.956596</v>
      </c>
      <c r="F23" s="12" t="n">
        <f aca="false">⑤部門別損益!F46</f>
        <v>183891986.956596</v>
      </c>
    </row>
    <row r="24" customFormat="false" ht="15" hidden="false" customHeight="false" outlineLevel="0" collapsed="false">
      <c r="B24" s="10" t="s">
        <v>32</v>
      </c>
      <c r="D24" s="20" t="n">
        <f aca="false">⑤部門別損益!G10</f>
        <v>770173797</v>
      </c>
      <c r="E24" s="20" t="n">
        <f aca="false">⑤部門別損益!G28</f>
        <v>800173797</v>
      </c>
      <c r="F24" s="20" t="n">
        <f aca="false">⑤部門別損益!G46</f>
        <v>800173797</v>
      </c>
    </row>
    <row r="25" customFormat="false" ht="15" hidden="false" customHeight="false" outlineLevel="0" collapsed="false">
      <c r="B25" s="18" t="s">
        <v>33</v>
      </c>
      <c r="C25" s="19"/>
      <c r="D25" s="19"/>
      <c r="E25" s="19"/>
      <c r="F25" s="19"/>
      <c r="G25" s="19"/>
    </row>
    <row r="26" customFormat="false" ht="15" hidden="false" customHeight="false" outlineLevel="0" collapsed="false">
      <c r="B26" s="10" t="s">
        <v>28</v>
      </c>
      <c r="D26" s="12" t="n">
        <f aca="false">⑤部門別損益!C14</f>
        <v>92500000</v>
      </c>
      <c r="E26" s="12" t="n">
        <f aca="false">⑤部門別損益!C32</f>
        <v>122500000</v>
      </c>
      <c r="F26" s="12" t="n">
        <f aca="false">⑤部門別損益!C50</f>
        <v>122500000</v>
      </c>
    </row>
    <row r="27" customFormat="false" ht="15" hidden="false" customHeight="false" outlineLevel="0" collapsed="false">
      <c r="B27" s="10" t="s">
        <v>29</v>
      </c>
      <c r="D27" s="12" t="n">
        <f aca="false">⑤部門別損益!D14</f>
        <v>47620404.9162576</v>
      </c>
      <c r="E27" s="12" t="n">
        <f aca="false">⑤部門別損益!D32</f>
        <v>47620404.9162576</v>
      </c>
      <c r="F27" s="12" t="n">
        <f aca="false">⑤部門別損益!D50</f>
        <v>47620404.9162576</v>
      </c>
    </row>
    <row r="28" customFormat="false" ht="15" hidden="false" customHeight="false" outlineLevel="0" collapsed="false">
      <c r="B28" s="10" t="s">
        <v>30</v>
      </c>
      <c r="D28" s="12" t="n">
        <f aca="false">⑤部門別損益!E14</f>
        <v>81334020.8098094</v>
      </c>
      <c r="E28" s="12" t="n">
        <f aca="false">⑤部門別損益!E32</f>
        <v>81334020.8098094</v>
      </c>
      <c r="F28" s="12" t="n">
        <f aca="false">⑤部門別損益!E50</f>
        <v>81334020.8098094</v>
      </c>
    </row>
    <row r="29" customFormat="false" ht="15" hidden="false" customHeight="false" outlineLevel="0" collapsed="false">
      <c r="B29" s="10" t="s">
        <v>31</v>
      </c>
      <c r="D29" s="12" t="n">
        <f aca="false">⑤部門別損益!F14</f>
        <v>164134275.173933</v>
      </c>
      <c r="E29" s="12" t="n">
        <f aca="false">⑤部門別損益!F32</f>
        <v>164134275.173933</v>
      </c>
      <c r="F29" s="12" t="n">
        <f aca="false">⑤部門別損益!F50</f>
        <v>164134275.173933</v>
      </c>
    </row>
    <row r="30" customFormat="false" ht="15" hidden="false" customHeight="false" outlineLevel="0" collapsed="false">
      <c r="B30" s="10" t="s">
        <v>32</v>
      </c>
      <c r="D30" s="20" t="n">
        <f aca="false">⑤部門別損益!G14</f>
        <v>385588700.9</v>
      </c>
      <c r="E30" s="20" t="n">
        <f aca="false">⑤部門別損益!G32</f>
        <v>415588700.9</v>
      </c>
      <c r="F30" s="20" t="n">
        <f aca="false">⑤部門別損益!G50</f>
        <v>415588700.9</v>
      </c>
    </row>
    <row r="31" customFormat="false" ht="15" hidden="false" customHeight="false" outlineLevel="0" collapsed="false">
      <c r="B31" s="18" t="s">
        <v>34</v>
      </c>
      <c r="C31" s="19"/>
      <c r="D31" s="19"/>
      <c r="E31" s="19"/>
      <c r="F31" s="19"/>
      <c r="G31" s="19"/>
    </row>
    <row r="32" customFormat="false" ht="15" hidden="false" customHeight="false" outlineLevel="0" collapsed="false">
      <c r="B32" s="10" t="s">
        <v>28</v>
      </c>
      <c r="D32" s="12" t="n">
        <f aca="false">⑤部門別損益!C18</f>
        <v>16759524.5315165</v>
      </c>
      <c r="E32" s="12" t="n">
        <f aca="false">⑤部門別損益!C36</f>
        <v>45764943.1906272</v>
      </c>
      <c r="F32" s="12" t="n">
        <f aca="false">⑤部門別損益!C54</f>
        <v>44740524.4095112</v>
      </c>
    </row>
    <row r="33" customFormat="false" ht="15" hidden="false" customHeight="false" outlineLevel="0" collapsed="false">
      <c r="B33" s="10" t="s">
        <v>29</v>
      </c>
      <c r="D33" s="12" t="n">
        <f aca="false">⑤部門別損益!D18</f>
        <v>3443270.45721597</v>
      </c>
      <c r="E33" s="12" t="n">
        <f aca="false">⑤部門別損益!D36</f>
        <v>3040443.71773484</v>
      </c>
      <c r="F33" s="12" t="n">
        <f aca="false">⑤部門別損益!D54</f>
        <v>2625532.17606929</v>
      </c>
    </row>
    <row r="34" customFormat="false" ht="15" hidden="false" customHeight="false" outlineLevel="0" collapsed="false">
      <c r="B34" s="10" t="s">
        <v>30</v>
      </c>
      <c r="D34" s="12" t="n">
        <f aca="false">⑤部門別損益!E18</f>
        <v>347426.097753793</v>
      </c>
      <c r="E34" s="12" t="n">
        <f aca="false">⑤部門別損益!E36</f>
        <v>-417598.839762241</v>
      </c>
      <c r="F34" s="12" t="n">
        <f aca="false">⑤部門別損益!E54</f>
        <v>-1205574.52540374</v>
      </c>
    </row>
    <row r="35" customFormat="false" ht="15" hidden="false" customHeight="false" outlineLevel="0" collapsed="false">
      <c r="B35" s="10" t="s">
        <v>31</v>
      </c>
      <c r="D35" s="12" t="n">
        <f aca="false">⑤部門別損益!F18</f>
        <v>43408745.8135137</v>
      </c>
      <c r="E35" s="12" t="n">
        <f aca="false">⑤部門別損益!F36</f>
        <v>43202973.9114001</v>
      </c>
      <c r="F35" s="12" t="n">
        <f aca="false">⑤部門別損益!F54</f>
        <v>42991028.8522232</v>
      </c>
    </row>
    <row r="36" customFormat="false" ht="15" hidden="false" customHeight="false" outlineLevel="0" collapsed="false">
      <c r="B36" s="10" t="s">
        <v>32</v>
      </c>
      <c r="D36" s="20" t="n">
        <f aca="false">⑤部門別損益!G18</f>
        <v>63958966.9</v>
      </c>
      <c r="E36" s="20" t="n">
        <f aca="false">⑤部門別損益!G36</f>
        <v>91590761.98</v>
      </c>
      <c r="F36" s="20" t="n">
        <f aca="false">⑤部門別損益!G54</f>
        <v>89151510.9124</v>
      </c>
    </row>
    <row r="38" customFormat="false" ht="15" hidden="false" customHeight="false" outlineLevel="0" collapsed="false">
      <c r="B38" s="3" t="s">
        <v>35</v>
      </c>
      <c r="C38" s="4"/>
      <c r="D38" s="4"/>
      <c r="E38" s="4"/>
      <c r="F38" s="4"/>
      <c r="G38" s="4"/>
      <c r="H38" s="4"/>
    </row>
    <row r="39" customFormat="false" ht="15" hidden="false" customHeight="false" outlineLevel="0" collapsed="false">
      <c r="B39" s="5" t="s">
        <v>36</v>
      </c>
      <c r="C39" s="5"/>
      <c r="D39" s="6" t="s">
        <v>5</v>
      </c>
      <c r="E39" s="6" t="s">
        <v>6</v>
      </c>
      <c r="F39" s="6" t="s">
        <v>7</v>
      </c>
      <c r="G39" s="5"/>
      <c r="H39" s="5"/>
    </row>
    <row r="40" customFormat="false" ht="15" hidden="false" customHeight="false" outlineLevel="0" collapsed="false">
      <c r="B40" s="10" t="s">
        <v>37</v>
      </c>
      <c r="D40" s="12" t="n">
        <f aca="false">②シナリオ比較!$I$10</f>
        <v>1470173797</v>
      </c>
      <c r="E40" s="12" t="n">
        <f aca="false">②シナリオ比較!$J$10</f>
        <v>1800173797</v>
      </c>
      <c r="F40" s="12" t="n">
        <f aca="false">②シナリオ比較!$K$10</f>
        <v>1800173797</v>
      </c>
    </row>
    <row r="41" customFormat="false" ht="15" hidden="false" customHeight="false" outlineLevel="0" collapsed="false">
      <c r="B41" s="10" t="s">
        <v>38</v>
      </c>
      <c r="D41" s="12" t="n">
        <f aca="false">②シナリオ比較!$I$18</f>
        <v>86958966.9</v>
      </c>
      <c r="E41" s="12" t="n">
        <f aca="false">②シナリオ比較!$J$18</f>
        <v>131590761.98</v>
      </c>
      <c r="F41" s="12" t="n">
        <f aca="false">②シナリオ比較!$K$18</f>
        <v>131151510.9124</v>
      </c>
    </row>
    <row r="42" customFormat="false" ht="15" hidden="false" customHeight="false" outlineLevel="0" collapsed="false">
      <c r="B42" s="10" t="s">
        <v>39</v>
      </c>
      <c r="D42" s="12" t="n">
        <f aca="false">⑦資金繰り・在庫!C17</f>
        <v>55398539</v>
      </c>
      <c r="E42" s="12" t="n">
        <f aca="false">⑦資金繰り・在庫!D17</f>
        <v>110358873.08</v>
      </c>
      <c r="F42" s="12" t="n">
        <f aca="false">⑦資金繰り・在庫!E17</f>
        <v>153756855.142984</v>
      </c>
    </row>
    <row r="43" customFormat="false" ht="15" hidden="false" customHeight="false" outlineLevel="0" collapsed="false">
      <c r="B43" s="10" t="s">
        <v>40</v>
      </c>
      <c r="D43" s="12" t="n">
        <f aca="false">⑦資金繰り・在庫!F17</f>
        <v>90398539</v>
      </c>
      <c r="E43" s="12" t="n">
        <f aca="false">⑦資金繰り・在庫!G17</f>
        <v>182927285.8408</v>
      </c>
      <c r="F43" s="12" t="n">
        <f aca="false">⑦資金繰り・在庫!H17</f>
        <v>242856855.142984</v>
      </c>
    </row>
    <row r="45" customFormat="false" ht="15" hidden="false" customHeight="false" outlineLevel="0" collapsed="false">
      <c r="B45" s="3" t="s">
        <v>41</v>
      </c>
      <c r="C45" s="4"/>
      <c r="D45" s="4"/>
      <c r="E45" s="4"/>
      <c r="F45" s="4"/>
      <c r="G45" s="4"/>
      <c r="H45" s="4"/>
    </row>
    <row r="46" customFormat="false" ht="15" hidden="false" customHeight="false" outlineLevel="0" collapsed="false">
      <c r="B46" s="21" t="s">
        <v>42</v>
      </c>
      <c r="C46" s="21"/>
      <c r="D46" s="21"/>
      <c r="E46" s="21"/>
      <c r="F46" s="21"/>
      <c r="G46" s="21"/>
      <c r="H46" s="21"/>
    </row>
    <row r="47" customFormat="false" ht="15" hidden="false" customHeight="false" outlineLevel="0" collapsed="false">
      <c r="B47" s="21" t="s">
        <v>43</v>
      </c>
      <c r="C47" s="21"/>
      <c r="D47" s="21"/>
      <c r="E47" s="21"/>
      <c r="F47" s="21"/>
      <c r="G47" s="21"/>
      <c r="H47" s="21"/>
    </row>
    <row r="48" customFormat="false" ht="15" hidden="false" customHeight="false" outlineLevel="0" collapsed="false">
      <c r="B48" s="21" t="s">
        <v>44</v>
      </c>
      <c r="C48" s="21"/>
      <c r="D48" s="21"/>
      <c r="E48" s="21"/>
      <c r="F48" s="21"/>
      <c r="G48" s="21"/>
      <c r="H48" s="21"/>
    </row>
    <row r="49" customFormat="false" ht="15" hidden="false" customHeight="false" outlineLevel="0" collapsed="false">
      <c r="B49" s="21" t="s">
        <v>45</v>
      </c>
      <c r="C49" s="21"/>
      <c r="D49" s="21"/>
      <c r="E49" s="21"/>
      <c r="F49" s="21"/>
      <c r="G49" s="21"/>
      <c r="H49" s="21"/>
    </row>
    <row r="50" customFormat="false" ht="15" hidden="false" customHeight="false" outlineLevel="0" collapsed="false">
      <c r="B50" s="21" t="s">
        <v>46</v>
      </c>
      <c r="C50" s="21"/>
      <c r="D50" s="21"/>
      <c r="E50" s="21"/>
      <c r="F50" s="21"/>
      <c r="G50" s="21"/>
      <c r="H50" s="21"/>
    </row>
    <row r="51" customFormat="false" ht="15" hidden="false" customHeight="false" outlineLevel="0" collapsed="false">
      <c r="B51" s="21" t="s">
        <v>47</v>
      </c>
      <c r="C51" s="21"/>
      <c r="D51" s="21"/>
      <c r="E51" s="21"/>
      <c r="F51" s="21"/>
      <c r="G51" s="21"/>
      <c r="H51" s="21"/>
    </row>
    <row r="52" customFormat="false" ht="15" hidden="false" customHeight="false" outlineLevel="0" collapsed="false">
      <c r="B52" s="21" t="s">
        <v>48</v>
      </c>
      <c r="C52" s="21"/>
      <c r="D52" s="21"/>
      <c r="E52" s="21"/>
      <c r="F52" s="21"/>
      <c r="G52" s="21"/>
      <c r="H52" s="21"/>
    </row>
  </sheetData>
  <mergeCells count="7">
    <mergeCell ref="B46:H46"/>
    <mergeCell ref="B47:H47"/>
    <mergeCell ref="B48:H48"/>
    <mergeCell ref="B49:H49"/>
    <mergeCell ref="B50:H50"/>
    <mergeCell ref="B51:H51"/>
    <mergeCell ref="B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6" min="3" style="0" width="17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60"/>
  </cols>
  <sheetData>
    <row r="1" customFormat="false" ht="20.1" hidden="false" customHeight="false" outlineLevel="0" collapsed="false">
      <c r="B1" s="1" t="s">
        <v>49</v>
      </c>
    </row>
    <row r="2" customFormat="false" ht="15" hidden="false" customHeight="false" outlineLevel="0" collapsed="false">
      <c r="B2" s="13" t="s">
        <v>50</v>
      </c>
    </row>
    <row r="4" customFormat="false" ht="15" hidden="false" customHeight="false" outlineLevel="0" collapsed="false">
      <c r="B4" s="3" t="s">
        <v>51</v>
      </c>
      <c r="C4" s="4"/>
      <c r="D4" s="4"/>
      <c r="E4" s="4"/>
      <c r="F4" s="4"/>
      <c r="G4" s="4"/>
      <c r="H4" s="4"/>
      <c r="I4" s="4"/>
    </row>
    <row r="5" customFormat="false" ht="31.5" hidden="false" customHeight="true" outlineLevel="0" collapsed="false">
      <c r="B5" s="5" t="s">
        <v>3</v>
      </c>
      <c r="C5" s="5" t="s">
        <v>52</v>
      </c>
      <c r="D5" s="5" t="s">
        <v>53</v>
      </c>
      <c r="E5" s="5" t="s">
        <v>54</v>
      </c>
      <c r="F5" s="6" t="s">
        <v>55</v>
      </c>
      <c r="G5" s="5" t="s">
        <v>56</v>
      </c>
    </row>
    <row r="6" customFormat="false" ht="15" hidden="false" customHeight="false" outlineLevel="0" collapsed="false">
      <c r="B6" s="10" t="s">
        <v>10</v>
      </c>
      <c r="C6" s="22" t="n">
        <v>493424693</v>
      </c>
      <c r="D6" s="22" t="n">
        <v>69058000</v>
      </c>
      <c r="E6" s="22" t="n">
        <v>257272727</v>
      </c>
      <c r="F6" s="22" t="n">
        <v>-3181818</v>
      </c>
      <c r="G6" s="22" t="n">
        <v>0</v>
      </c>
    </row>
    <row r="7" customFormat="false" ht="15" hidden="false" customHeight="false" outlineLevel="0" collapsed="false">
      <c r="B7" s="10" t="s">
        <v>12</v>
      </c>
      <c r="C7" s="22" t="n">
        <v>211358428</v>
      </c>
      <c r="D7" s="22" t="n">
        <v>17721400</v>
      </c>
      <c r="E7" s="22" t="n">
        <v>105000000</v>
      </c>
      <c r="F7" s="22" t="n">
        <v>16818182</v>
      </c>
      <c r="G7" s="22" t="n">
        <v>0</v>
      </c>
    </row>
    <row r="8" customFormat="false" ht="15" hidden="false" customHeight="false" outlineLevel="0" collapsed="false">
      <c r="B8" s="10" t="s">
        <v>14</v>
      </c>
      <c r="C8" s="22" t="n">
        <v>330563234</v>
      </c>
      <c r="D8" s="22" t="n">
        <v>26495862</v>
      </c>
      <c r="E8" s="22" t="n">
        <v>0</v>
      </c>
      <c r="F8" s="22" t="n">
        <v>-1222064</v>
      </c>
      <c r="G8" s="22" t="n">
        <v>-5800000</v>
      </c>
    </row>
    <row r="9" customFormat="false" ht="15" hidden="false" customHeight="false" outlineLevel="0" collapsed="false">
      <c r="B9" s="10" t="s">
        <v>57</v>
      </c>
      <c r="C9" s="22" t="n">
        <v>432421</v>
      </c>
      <c r="D9" s="22" t="n">
        <v>0</v>
      </c>
      <c r="E9" s="22" t="n">
        <v>0</v>
      </c>
      <c r="F9" s="22" t="n">
        <v>0</v>
      </c>
      <c r="G9" s="22" t="n">
        <v>0</v>
      </c>
    </row>
    <row r="10" customFormat="false" ht="15" hidden="false" customHeight="false" outlineLevel="0" collapsed="false">
      <c r="B10" s="10" t="s">
        <v>17</v>
      </c>
      <c r="C10" s="22" t="n">
        <v>11673492</v>
      </c>
      <c r="D10" s="22" t="n">
        <v>1341932</v>
      </c>
      <c r="E10" s="22" t="n">
        <v>0</v>
      </c>
      <c r="F10" s="22" t="n">
        <v>0</v>
      </c>
      <c r="G10" s="22" t="n">
        <v>1000000</v>
      </c>
    </row>
    <row r="11" customFormat="false" ht="15" hidden="false" customHeight="false" outlineLevel="0" collapsed="false">
      <c r="B11" s="10" t="s">
        <v>58</v>
      </c>
      <c r="C11" s="22" t="n">
        <v>900000</v>
      </c>
      <c r="D11" s="22" t="n">
        <v>0</v>
      </c>
      <c r="E11" s="22" t="n">
        <v>0</v>
      </c>
      <c r="F11" s="22" t="n">
        <v>0</v>
      </c>
      <c r="G11" s="22" t="n">
        <v>41000000</v>
      </c>
    </row>
    <row r="12" customFormat="false" ht="15" hidden="false" customHeight="false" outlineLevel="0" collapsed="false">
      <c r="B12" s="13" t="s">
        <v>59</v>
      </c>
    </row>
    <row r="13" customFormat="false" ht="15" hidden="false" customHeight="false" outlineLevel="0" collapsed="false">
      <c r="B13" s="2" t="s">
        <v>60</v>
      </c>
    </row>
    <row r="15" customFormat="false" ht="15" hidden="false" customHeight="false" outlineLevel="0" collapsed="false">
      <c r="B15" s="23" t="s">
        <v>61</v>
      </c>
      <c r="C15" s="22" t="n">
        <v>212763013</v>
      </c>
      <c r="I15" s="13" t="s">
        <v>62</v>
      </c>
    </row>
    <row r="16" customFormat="false" ht="15" hidden="false" customHeight="false" outlineLevel="0" collapsed="false">
      <c r="B16" s="10" t="s">
        <v>63</v>
      </c>
      <c r="C16" s="22" t="n">
        <v>127364212</v>
      </c>
      <c r="I16" s="13" t="s">
        <v>64</v>
      </c>
    </row>
    <row r="17" customFormat="false" ht="15" hidden="false" customHeight="false" outlineLevel="0" collapsed="false">
      <c r="B17" s="23" t="s">
        <v>65</v>
      </c>
      <c r="C17" s="22" t="n">
        <v>721162328</v>
      </c>
      <c r="I17" s="13" t="s">
        <v>66</v>
      </c>
    </row>
    <row r="18" customFormat="false" ht="15" hidden="false" customHeight="false" outlineLevel="0" collapsed="false">
      <c r="B18" s="23" t="s">
        <v>67</v>
      </c>
      <c r="C18" s="22" t="n">
        <v>55000000</v>
      </c>
      <c r="I18" s="24" t="s">
        <v>68</v>
      </c>
    </row>
    <row r="20" customFormat="false" ht="15" hidden="false" customHeight="false" outlineLevel="0" collapsed="false">
      <c r="B20" s="3" t="s">
        <v>69</v>
      </c>
      <c r="C20" s="4"/>
      <c r="D20" s="4"/>
      <c r="E20" s="4"/>
      <c r="F20" s="4"/>
      <c r="G20" s="4"/>
      <c r="H20" s="4"/>
      <c r="I20" s="4"/>
    </row>
    <row r="21" customFormat="false" ht="15" hidden="false" customHeight="false" outlineLevel="0" collapsed="false">
      <c r="B21" s="10" t="s">
        <v>70</v>
      </c>
      <c r="C21" s="22" t="n">
        <v>510160224</v>
      </c>
      <c r="I21" s="2" t="s">
        <v>71</v>
      </c>
    </row>
    <row r="22" customFormat="false" ht="15" hidden="false" customHeight="false" outlineLevel="0" collapsed="false">
      <c r="B22" s="10" t="s">
        <v>72</v>
      </c>
      <c r="C22" s="22" t="n">
        <v>228834629</v>
      </c>
      <c r="I22" s="13" t="s">
        <v>73</v>
      </c>
    </row>
    <row r="23" customFormat="false" ht="15" hidden="false" customHeight="false" outlineLevel="0" collapsed="false">
      <c r="B23" s="10" t="s">
        <v>74</v>
      </c>
      <c r="C23" s="22" t="n">
        <v>327429734</v>
      </c>
      <c r="I23" s="13" t="s">
        <v>75</v>
      </c>
    </row>
    <row r="24" customFormat="false" ht="15" hidden="false" customHeight="false" outlineLevel="0" collapsed="false">
      <c r="B24" s="10" t="s">
        <v>76</v>
      </c>
      <c r="C24" s="22" t="n">
        <v>-5800000</v>
      </c>
      <c r="I24" s="24" t="s">
        <v>77</v>
      </c>
    </row>
    <row r="25" customFormat="false" ht="15" hidden="false" customHeight="false" outlineLevel="0" collapsed="false">
      <c r="B25" s="25" t="s">
        <v>78</v>
      </c>
      <c r="C25" s="15" t="n">
        <f aca="false">C23+C24</f>
        <v>321629734</v>
      </c>
    </row>
    <row r="26" customFormat="false" ht="15" hidden="false" customHeight="false" outlineLevel="0" collapsed="false">
      <c r="B26" s="10" t="s">
        <v>79</v>
      </c>
      <c r="C26" s="22" t="n">
        <v>78940164</v>
      </c>
      <c r="I26" s="13" t="s">
        <v>80</v>
      </c>
    </row>
    <row r="28" customFormat="false" ht="15" hidden="false" customHeight="false" outlineLevel="0" collapsed="false">
      <c r="B28" s="3" t="s">
        <v>81</v>
      </c>
      <c r="C28" s="4"/>
      <c r="D28" s="4"/>
      <c r="E28" s="4"/>
      <c r="F28" s="4"/>
      <c r="G28" s="4"/>
      <c r="H28" s="4"/>
      <c r="I28" s="4"/>
    </row>
    <row r="29" customFormat="false" ht="15" hidden="false" customHeight="false" outlineLevel="0" collapsed="false">
      <c r="B29" s="5" t="s">
        <v>36</v>
      </c>
      <c r="C29" s="5"/>
      <c r="D29" s="6" t="s">
        <v>5</v>
      </c>
      <c r="E29" s="6" t="s">
        <v>6</v>
      </c>
      <c r="F29" s="6" t="s">
        <v>7</v>
      </c>
    </row>
    <row r="30" customFormat="false" ht="15" hidden="false" customHeight="false" outlineLevel="0" collapsed="false">
      <c r="B30" s="23" t="s">
        <v>82</v>
      </c>
      <c r="C30" s="22" t="n">
        <v>752864901</v>
      </c>
      <c r="I30" s="13" t="s">
        <v>64</v>
      </c>
    </row>
    <row r="31" customFormat="false" ht="15" hidden="false" customHeight="false" outlineLevel="0" collapsed="false">
      <c r="B31" s="10" t="s">
        <v>83</v>
      </c>
      <c r="D31" s="26" t="s">
        <v>84</v>
      </c>
      <c r="E31" s="27" t="n">
        <v>0</v>
      </c>
      <c r="F31" s="27" t="n">
        <v>0</v>
      </c>
      <c r="I31" s="2" t="s">
        <v>85</v>
      </c>
    </row>
    <row r="32" customFormat="false" ht="15" hidden="false" customHeight="false" outlineLevel="0" collapsed="false">
      <c r="B32" s="10" t="s">
        <v>86</v>
      </c>
      <c r="C32" s="27" t="n">
        <v>0.3</v>
      </c>
      <c r="I32" s="13" t="s">
        <v>87</v>
      </c>
    </row>
    <row r="34" customFormat="false" ht="15" hidden="false" customHeight="false" outlineLevel="0" collapsed="false">
      <c r="B34" s="3" t="s">
        <v>88</v>
      </c>
      <c r="C34" s="4"/>
      <c r="D34" s="4"/>
      <c r="E34" s="4"/>
      <c r="F34" s="4"/>
      <c r="G34" s="4"/>
      <c r="H34" s="4"/>
      <c r="I34" s="4"/>
    </row>
    <row r="35" customFormat="false" ht="15" hidden="false" customHeight="false" outlineLevel="0" collapsed="false">
      <c r="B35" s="5" t="s">
        <v>89</v>
      </c>
      <c r="C35" s="5"/>
      <c r="D35" s="6" t="s">
        <v>5</v>
      </c>
      <c r="E35" s="6" t="s">
        <v>6</v>
      </c>
      <c r="F35" s="6" t="s">
        <v>7</v>
      </c>
      <c r="G35" s="5" t="s">
        <v>90</v>
      </c>
      <c r="H35" s="5" t="s">
        <v>91</v>
      </c>
      <c r="I35" s="13" t="s">
        <v>92</v>
      </c>
    </row>
    <row r="36" customFormat="false" ht="15" hidden="false" customHeight="false" outlineLevel="0" collapsed="false">
      <c r="B36" s="10" t="s">
        <v>93</v>
      </c>
      <c r="D36" s="22" t="n">
        <v>80000000</v>
      </c>
      <c r="E36" s="22" t="n">
        <v>110000000</v>
      </c>
      <c r="F36" s="22" t="n">
        <v>110000000</v>
      </c>
      <c r="G36" s="28" t="s">
        <v>94</v>
      </c>
      <c r="H36" s="29" t="n">
        <v>0</v>
      </c>
      <c r="I36" s="13" t="s">
        <v>95</v>
      </c>
    </row>
    <row r="37" customFormat="false" ht="15" hidden="false" customHeight="false" outlineLevel="0" collapsed="false">
      <c r="B37" s="10" t="s">
        <v>96</v>
      </c>
      <c r="D37" s="22" t="n">
        <v>2500000</v>
      </c>
      <c r="E37" s="22" t="n">
        <v>2500000</v>
      </c>
      <c r="F37" s="22" t="n">
        <v>2500000</v>
      </c>
      <c r="G37" s="28" t="s">
        <v>94</v>
      </c>
      <c r="H37" s="29" t="n">
        <v>0</v>
      </c>
      <c r="I37" s="13" t="s">
        <v>97</v>
      </c>
    </row>
    <row r="38" customFormat="false" ht="15" hidden="false" customHeight="false" outlineLevel="0" collapsed="false">
      <c r="B38" s="10" t="s">
        <v>98</v>
      </c>
      <c r="D38" s="22" t="n">
        <v>10000000</v>
      </c>
      <c r="E38" s="22" t="n">
        <v>10000000</v>
      </c>
      <c r="F38" s="22" t="n">
        <v>10000000</v>
      </c>
      <c r="G38" s="28" t="s">
        <v>94</v>
      </c>
      <c r="H38" s="29" t="n">
        <v>0</v>
      </c>
      <c r="I38" s="13" t="s">
        <v>97</v>
      </c>
    </row>
    <row r="39" customFormat="false" ht="15" hidden="false" customHeight="false" outlineLevel="0" collapsed="false">
      <c r="B39" s="23" t="s">
        <v>99</v>
      </c>
      <c r="D39" s="22" t="n">
        <v>0</v>
      </c>
      <c r="E39" s="22" t="n">
        <v>0</v>
      </c>
      <c r="F39" s="22" t="n">
        <v>0</v>
      </c>
      <c r="G39" s="28" t="s">
        <v>94</v>
      </c>
      <c r="H39" s="29" t="n">
        <v>0</v>
      </c>
      <c r="I39" s="13" t="s">
        <v>100</v>
      </c>
    </row>
    <row r="40" customFormat="false" ht="15" hidden="false" customHeight="false" outlineLevel="0" collapsed="false">
      <c r="B40" s="10" t="s">
        <v>101</v>
      </c>
      <c r="D40" s="22" t="n">
        <v>20000000</v>
      </c>
      <c r="E40" s="22" t="n">
        <v>20000000</v>
      </c>
      <c r="F40" s="22" t="n">
        <v>20000000</v>
      </c>
      <c r="G40" s="28" t="s">
        <v>102</v>
      </c>
      <c r="H40" s="29" t="n">
        <v>0</v>
      </c>
      <c r="I40" s="13" t="s">
        <v>103</v>
      </c>
    </row>
    <row r="41" customFormat="false" ht="15" hidden="false" customHeight="false" outlineLevel="0" collapsed="false">
      <c r="B41" s="25" t="s">
        <v>104</v>
      </c>
      <c r="D41" s="15" t="n">
        <f aca="false">SUM(D36:D40)</f>
        <v>112500000</v>
      </c>
      <c r="E41" s="15" t="n">
        <f aca="false">SUM(E36:E40)</f>
        <v>142500000</v>
      </c>
      <c r="F41" s="15" t="n">
        <f aca="false">SUM(F36:F40)</f>
        <v>142500000</v>
      </c>
    </row>
    <row r="43" customFormat="false" ht="15" hidden="false" customHeight="false" outlineLevel="0" collapsed="false">
      <c r="B43" s="3" t="s">
        <v>105</v>
      </c>
      <c r="C43" s="4"/>
      <c r="D43" s="4"/>
      <c r="E43" s="4"/>
      <c r="F43" s="4"/>
      <c r="G43" s="4"/>
      <c r="H43" s="4"/>
      <c r="I43" s="4"/>
    </row>
    <row r="44" customFormat="false" ht="15" hidden="false" customHeight="false" outlineLevel="0" collapsed="false">
      <c r="B44" s="5" t="s">
        <v>36</v>
      </c>
      <c r="C44" s="5"/>
      <c r="D44" s="6" t="s">
        <v>5</v>
      </c>
      <c r="E44" s="6" t="s">
        <v>6</v>
      </c>
      <c r="F44" s="6" t="s">
        <v>7</v>
      </c>
    </row>
    <row r="45" customFormat="false" ht="15" hidden="false" customHeight="false" outlineLevel="0" collapsed="false">
      <c r="B45" s="10" t="s">
        <v>106</v>
      </c>
      <c r="D45" s="22" t="n">
        <v>700000000</v>
      </c>
      <c r="E45" s="22" t="n">
        <v>1000000000</v>
      </c>
      <c r="F45" s="22" t="n">
        <v>1000000000</v>
      </c>
      <c r="I45" s="13" t="s">
        <v>107</v>
      </c>
    </row>
    <row r="46" customFormat="false" ht="15" hidden="false" customHeight="false" outlineLevel="0" collapsed="false">
      <c r="B46" s="10" t="s">
        <v>108</v>
      </c>
      <c r="D46" s="27" t="n">
        <v>0.05</v>
      </c>
      <c r="E46" s="27" t="n">
        <v>0.05</v>
      </c>
      <c r="F46" s="27" t="n">
        <v>0.05</v>
      </c>
      <c r="I46" s="13" t="s">
        <v>109</v>
      </c>
    </row>
    <row r="48" customFormat="false" ht="15" hidden="false" customHeight="false" outlineLevel="0" collapsed="false">
      <c r="B48" s="3" t="s">
        <v>110</v>
      </c>
      <c r="C48" s="4"/>
      <c r="D48" s="4"/>
      <c r="E48" s="4"/>
      <c r="F48" s="4"/>
      <c r="G48" s="4"/>
      <c r="H48" s="4"/>
      <c r="I48" s="4"/>
    </row>
    <row r="49" customFormat="false" ht="15" hidden="false" customHeight="false" outlineLevel="0" collapsed="false">
      <c r="B49" s="5" t="s">
        <v>36</v>
      </c>
      <c r="C49" s="5"/>
      <c r="D49" s="6" t="s">
        <v>5</v>
      </c>
      <c r="E49" s="6" t="s">
        <v>6</v>
      </c>
      <c r="F49" s="6" t="s">
        <v>7</v>
      </c>
    </row>
    <row r="50" customFormat="false" ht="15" hidden="false" customHeight="false" outlineLevel="0" collapsed="false">
      <c r="B50" s="10" t="s">
        <v>111</v>
      </c>
      <c r="D50" s="27" t="n">
        <v>0</v>
      </c>
      <c r="E50" s="27" t="n">
        <v>0.03</v>
      </c>
      <c r="F50" s="27" t="n">
        <v>0.03</v>
      </c>
      <c r="I50" s="13" t="s">
        <v>112</v>
      </c>
    </row>
    <row r="51" customFormat="false" ht="15" hidden="false" customHeight="false" outlineLevel="0" collapsed="false">
      <c r="B51" s="10" t="s">
        <v>113</v>
      </c>
      <c r="D51" s="27" t="n">
        <v>0</v>
      </c>
      <c r="E51" s="27" t="n">
        <v>0</v>
      </c>
      <c r="F51" s="27" t="n">
        <v>0</v>
      </c>
      <c r="I51" s="13" t="s">
        <v>114</v>
      </c>
    </row>
    <row r="52" customFormat="false" ht="15" hidden="false" customHeight="false" outlineLevel="0" collapsed="false">
      <c r="B52" s="10" t="s">
        <v>115</v>
      </c>
      <c r="D52" s="22" t="n">
        <v>12000000</v>
      </c>
      <c r="E52" s="22" t="n">
        <v>10000000</v>
      </c>
      <c r="F52" s="22" t="n">
        <v>8000000</v>
      </c>
      <c r="I52" s="13" t="s">
        <v>116</v>
      </c>
    </row>
    <row r="53" customFormat="false" ht="15" hidden="false" customHeight="false" outlineLevel="0" collapsed="false">
      <c r="B53" s="10" t="s">
        <v>117</v>
      </c>
      <c r="D53" s="27" t="n">
        <v>0.34</v>
      </c>
      <c r="E53" s="27" t="n">
        <v>0.34</v>
      </c>
      <c r="F53" s="27" t="n">
        <v>0.34</v>
      </c>
      <c r="I53" s="13" t="s">
        <v>118</v>
      </c>
    </row>
    <row r="54" customFormat="false" ht="15" hidden="false" customHeight="false" outlineLevel="0" collapsed="false">
      <c r="B54" s="10" t="s">
        <v>119</v>
      </c>
      <c r="D54" s="22" t="n">
        <v>0</v>
      </c>
      <c r="E54" s="22" t="n">
        <v>70000</v>
      </c>
      <c r="F54" s="22" t="n">
        <v>70000</v>
      </c>
      <c r="I54" s="13" t="s">
        <v>120</v>
      </c>
    </row>
    <row r="56" customFormat="false" ht="15" hidden="false" customHeight="false" outlineLevel="0" collapsed="false">
      <c r="B56" s="3" t="s">
        <v>121</v>
      </c>
      <c r="C56" s="4"/>
      <c r="D56" s="4"/>
      <c r="E56" s="4"/>
      <c r="F56" s="4"/>
      <c r="G56" s="4"/>
      <c r="H56" s="4"/>
      <c r="I56" s="4"/>
    </row>
    <row r="57" customFormat="false" ht="15" hidden="false" customHeight="false" outlineLevel="0" collapsed="false">
      <c r="B57" s="5" t="s">
        <v>36</v>
      </c>
      <c r="C57" s="5"/>
      <c r="D57" s="6" t="s">
        <v>5</v>
      </c>
      <c r="E57" s="6" t="s">
        <v>6</v>
      </c>
      <c r="F57" s="6" t="s">
        <v>7</v>
      </c>
    </row>
    <row r="58" customFormat="false" ht="15" hidden="false" customHeight="false" outlineLevel="0" collapsed="false">
      <c r="B58" s="10" t="s">
        <v>122</v>
      </c>
      <c r="C58" s="22" t="n">
        <v>30000000</v>
      </c>
      <c r="I58" s="24" t="s">
        <v>123</v>
      </c>
    </row>
    <row r="59" customFormat="false" ht="15" hidden="false" customHeight="false" outlineLevel="0" collapsed="false">
      <c r="B59" s="10" t="s">
        <v>124</v>
      </c>
      <c r="C59" s="12" t="n">
        <f aca="false">3637873*12+C24</f>
        <v>37854476</v>
      </c>
      <c r="I59" s="2" t="s">
        <v>125</v>
      </c>
    </row>
    <row r="60" customFormat="false" ht="15" hidden="false" customHeight="false" outlineLevel="0" collapsed="false">
      <c r="B60" s="10" t="s">
        <v>126</v>
      </c>
      <c r="D60" s="22" t="n">
        <v>49000000</v>
      </c>
      <c r="E60" s="22" t="n">
        <v>49000000</v>
      </c>
      <c r="F60" s="22" t="n">
        <v>49000000</v>
      </c>
      <c r="I60" s="24" t="s">
        <v>127</v>
      </c>
    </row>
    <row r="61" customFormat="false" ht="15" hidden="false" customHeight="false" outlineLevel="0" collapsed="false">
      <c r="B61" s="10" t="s">
        <v>128</v>
      </c>
      <c r="D61" s="22" t="n">
        <v>400000000</v>
      </c>
      <c r="E61" s="22" t="n">
        <v>400000000</v>
      </c>
      <c r="F61" s="22" t="n">
        <v>400000000</v>
      </c>
      <c r="I61" s="13" t="s">
        <v>129</v>
      </c>
    </row>
    <row r="63" customFormat="false" ht="15" hidden="false" customHeight="false" outlineLevel="0" collapsed="false">
      <c r="B63" s="3" t="s">
        <v>130</v>
      </c>
      <c r="C63" s="4"/>
      <c r="D63" s="4"/>
      <c r="E63" s="4"/>
      <c r="F63" s="4"/>
      <c r="G63" s="4"/>
      <c r="H63" s="4"/>
      <c r="I63" s="4"/>
    </row>
    <row r="64" customFormat="false" ht="15" hidden="false" customHeight="false" outlineLevel="0" collapsed="false">
      <c r="B64" s="5" t="s">
        <v>131</v>
      </c>
      <c r="C64" s="5" t="s">
        <v>94</v>
      </c>
      <c r="D64" s="6" t="s">
        <v>132</v>
      </c>
      <c r="E64" s="5" t="s">
        <v>133</v>
      </c>
      <c r="F64" s="5" t="s">
        <v>102</v>
      </c>
      <c r="G64" s="5" t="s">
        <v>134</v>
      </c>
    </row>
    <row r="65" customFormat="false" ht="15" hidden="false" customHeight="false" outlineLevel="0" collapsed="false">
      <c r="B65" s="10" t="s">
        <v>135</v>
      </c>
      <c r="C65" s="27" t="n">
        <v>0</v>
      </c>
      <c r="D65" s="27" t="n">
        <v>0.374693800072448</v>
      </c>
      <c r="E65" s="27" t="n">
        <v>0.304050290026204</v>
      </c>
      <c r="F65" s="27" t="n">
        <v>0.321255909901349</v>
      </c>
      <c r="G65" s="30" t="n">
        <f aca="false">SUM(C65:F65)</f>
        <v>1</v>
      </c>
    </row>
    <row r="66" customFormat="false" ht="15" hidden="false" customHeight="false" outlineLevel="0" collapsed="false">
      <c r="B66" s="10" t="s">
        <v>136</v>
      </c>
      <c r="C66" s="27" t="n">
        <v>0</v>
      </c>
      <c r="D66" s="27" t="n">
        <v>0.208099644377939</v>
      </c>
      <c r="E66" s="27" t="n">
        <v>0.162038189201729</v>
      </c>
      <c r="F66" s="27" t="n">
        <v>0.629862166420332</v>
      </c>
      <c r="G66" s="30" t="n">
        <f aca="false">SUM(C66:F66)</f>
        <v>1</v>
      </c>
    </row>
    <row r="67" customFormat="false" ht="15" hidden="false" customHeight="false" outlineLevel="0" collapsed="false">
      <c r="B67" s="10" t="s">
        <v>137</v>
      </c>
      <c r="C67" s="27" t="n">
        <v>0.419972668956921</v>
      </c>
      <c r="D67" s="27" t="n">
        <v>0.170097923570365</v>
      </c>
      <c r="E67" s="27" t="n">
        <v>0.32304000851245</v>
      </c>
      <c r="F67" s="27" t="n">
        <v>0.0868893989602651</v>
      </c>
      <c r="G67" s="30" t="n">
        <f aca="false">SUM(C67:F67)</f>
        <v>1</v>
      </c>
    </row>
    <row r="68" customFormat="false" ht="15" hidden="false" customHeight="false" outlineLevel="0" collapsed="false">
      <c r="B68" s="10" t="s">
        <v>138</v>
      </c>
      <c r="C68" s="27" t="n">
        <v>0.175482465544384</v>
      </c>
      <c r="D68" s="27" t="n">
        <v>0.126703329180309</v>
      </c>
      <c r="E68" s="27" t="n">
        <v>0.228628545765364</v>
      </c>
      <c r="F68" s="27" t="n">
        <v>0.469185659509943</v>
      </c>
      <c r="G68" s="30" t="n">
        <f aca="false">SUM(C68:F68)</f>
        <v>1</v>
      </c>
    </row>
    <row r="69" customFormat="false" ht="15" hidden="false" customHeight="false" outlineLevel="0" collapsed="false">
      <c r="B69" s="13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8" min="3" style="0" width="16"/>
  </cols>
  <sheetData>
    <row r="1" customFormat="false" ht="20.1" hidden="false" customHeight="false" outlineLevel="0" collapsed="false">
      <c r="B1" s="1" t="s">
        <v>140</v>
      </c>
    </row>
    <row r="2" customFormat="false" ht="15" hidden="false" customHeight="false" outlineLevel="0" collapsed="false">
      <c r="B2" s="13" t="s">
        <v>141</v>
      </c>
    </row>
    <row r="4" customFormat="false" ht="15" hidden="false" customHeight="false" outlineLevel="0" collapsed="false">
      <c r="B4" s="3" t="s">
        <v>142</v>
      </c>
      <c r="C4" s="4"/>
      <c r="D4" s="4"/>
      <c r="E4" s="4"/>
      <c r="F4" s="4"/>
      <c r="G4" s="4"/>
      <c r="H4" s="4"/>
      <c r="I4" s="4"/>
    </row>
    <row r="5" customFormat="false" ht="31.5" hidden="false" customHeight="true" outlineLevel="0" collapsed="false">
      <c r="B5" s="5" t="s">
        <v>3</v>
      </c>
      <c r="C5" s="5" t="s">
        <v>143</v>
      </c>
      <c r="D5" s="5" t="s">
        <v>144</v>
      </c>
      <c r="E5" s="5" t="s">
        <v>145</v>
      </c>
      <c r="F5" s="6" t="s">
        <v>55</v>
      </c>
      <c r="G5" s="5" t="s">
        <v>56</v>
      </c>
      <c r="H5" s="5" t="s">
        <v>146</v>
      </c>
    </row>
    <row r="6" customFormat="false" ht="15" hidden="false" customHeight="false" outlineLevel="0" collapsed="false">
      <c r="B6" s="10" t="s">
        <v>10</v>
      </c>
      <c r="C6" s="12" t="n">
        <f aca="false">③前提!$C$6</f>
        <v>493424693</v>
      </c>
      <c r="D6" s="12" t="n">
        <f aca="false">③前提!$D$6</f>
        <v>69058000</v>
      </c>
      <c r="E6" s="12" t="n">
        <f aca="false">③前提!$E$6</f>
        <v>257272727</v>
      </c>
      <c r="F6" s="12" t="n">
        <f aca="false">③前提!$F$6</f>
        <v>-3181818</v>
      </c>
      <c r="G6" s="12" t="n">
        <f aca="false">③前提!$G$6</f>
        <v>0</v>
      </c>
      <c r="H6" s="8" t="n">
        <f aca="false">SUM(C6:G6)</f>
        <v>816573602</v>
      </c>
    </row>
    <row r="7" customFormat="false" ht="15" hidden="false" customHeight="false" outlineLevel="0" collapsed="false">
      <c r="B7" s="25" t="s">
        <v>12</v>
      </c>
      <c r="C7" s="20" t="n">
        <f aca="false">③前提!$C$7</f>
        <v>211358428</v>
      </c>
      <c r="D7" s="20" t="n">
        <f aca="false">③前提!$D$7</f>
        <v>17721400</v>
      </c>
      <c r="E7" s="20" t="n">
        <f aca="false">③前提!$E$7</f>
        <v>105000000</v>
      </c>
      <c r="F7" s="20" t="n">
        <f aca="false">③前提!$F$7</f>
        <v>16818182</v>
      </c>
      <c r="G7" s="20" t="n">
        <f aca="false">③前提!$G$7</f>
        <v>0</v>
      </c>
      <c r="H7" s="15" t="n">
        <f aca="false">SUM(C7:G7)</f>
        <v>350898010</v>
      </c>
    </row>
    <row r="8" customFormat="false" ht="15" hidden="false" customHeight="false" outlineLevel="0" collapsed="false">
      <c r="B8" s="10" t="s">
        <v>14</v>
      </c>
      <c r="C8" s="12" t="n">
        <f aca="false">③前提!$C$8</f>
        <v>330563234</v>
      </c>
      <c r="D8" s="12" t="n">
        <f aca="false">③前提!$D$8</f>
        <v>26495862</v>
      </c>
      <c r="E8" s="12" t="n">
        <f aca="false">③前提!$E$8</f>
        <v>0</v>
      </c>
      <c r="F8" s="12" t="n">
        <f aca="false">③前提!$F$8</f>
        <v>-1222064</v>
      </c>
      <c r="G8" s="12" t="n">
        <f aca="false">③前提!$G$8</f>
        <v>-5800000</v>
      </c>
      <c r="H8" s="8" t="n">
        <f aca="false">SUM(C8:G8)</f>
        <v>350037032</v>
      </c>
    </row>
    <row r="9" customFormat="false" ht="15" hidden="false" customHeight="false" outlineLevel="0" collapsed="false">
      <c r="B9" s="25" t="s">
        <v>16</v>
      </c>
      <c r="C9" s="20" t="n">
        <f aca="false">C7-C8</f>
        <v>-119204806</v>
      </c>
      <c r="D9" s="20" t="n">
        <f aca="false">D7-D8</f>
        <v>-8774462</v>
      </c>
      <c r="E9" s="20" t="n">
        <f aca="false">E7-E8</f>
        <v>105000000</v>
      </c>
      <c r="F9" s="20" t="n">
        <f aca="false">F7-F8</f>
        <v>18040246</v>
      </c>
      <c r="G9" s="20" t="n">
        <f aca="false">G7-G8</f>
        <v>5800000</v>
      </c>
      <c r="H9" s="15" t="n">
        <f aca="false">H7-H8</f>
        <v>860978</v>
      </c>
    </row>
    <row r="10" customFormat="false" ht="15" hidden="false" customHeight="false" outlineLevel="0" collapsed="false">
      <c r="B10" s="10" t="s">
        <v>57</v>
      </c>
      <c r="C10" s="12" t="n">
        <f aca="false">③前提!$C$9</f>
        <v>432421</v>
      </c>
      <c r="D10" s="12" t="n">
        <f aca="false">③前提!$D$9</f>
        <v>0</v>
      </c>
      <c r="E10" s="12" t="n">
        <f aca="false">③前提!$E$9</f>
        <v>0</v>
      </c>
      <c r="F10" s="12" t="n">
        <f aca="false">③前提!$F$9</f>
        <v>0</v>
      </c>
      <c r="G10" s="12" t="n">
        <f aca="false">③前提!$G$9</f>
        <v>0</v>
      </c>
      <c r="H10" s="8" t="n">
        <f aca="false">SUM(C10:G10)</f>
        <v>432421</v>
      </c>
    </row>
    <row r="11" customFormat="false" ht="15" hidden="false" customHeight="false" outlineLevel="0" collapsed="false">
      <c r="B11" s="10" t="s">
        <v>17</v>
      </c>
      <c r="C11" s="12" t="n">
        <f aca="false">③前提!$C$10</f>
        <v>11673492</v>
      </c>
      <c r="D11" s="12" t="n">
        <f aca="false">③前提!$D$10</f>
        <v>1341932</v>
      </c>
      <c r="E11" s="12" t="n">
        <f aca="false">③前提!$E$10</f>
        <v>0</v>
      </c>
      <c r="F11" s="12" t="n">
        <f aca="false">③前提!$F$10</f>
        <v>0</v>
      </c>
      <c r="G11" s="12" t="n">
        <f aca="false">③前提!$G$10</f>
        <v>1000000</v>
      </c>
      <c r="H11" s="8" t="n">
        <f aca="false">SUM(C11:G11)</f>
        <v>14015424</v>
      </c>
    </row>
    <row r="12" customFormat="false" ht="15" hidden="false" customHeight="false" outlineLevel="0" collapsed="false">
      <c r="B12" s="25" t="s">
        <v>19</v>
      </c>
      <c r="C12" s="20" t="n">
        <f aca="false">C9+C10-C11</f>
        <v>-130445877</v>
      </c>
      <c r="D12" s="20" t="n">
        <f aca="false">D9+D10-D11</f>
        <v>-10116394</v>
      </c>
      <c r="E12" s="20" t="n">
        <f aca="false">E9+E10-E11</f>
        <v>105000000</v>
      </c>
      <c r="F12" s="20" t="n">
        <f aca="false">F9+F10-F11</f>
        <v>18040246</v>
      </c>
      <c r="G12" s="20" t="n">
        <f aca="false">G9+G10-G11</f>
        <v>4800000</v>
      </c>
      <c r="H12" s="15" t="n">
        <f aca="false">H9+H10-H11</f>
        <v>-12722025</v>
      </c>
    </row>
    <row r="13" customFormat="false" ht="15" hidden="false" customHeight="false" outlineLevel="0" collapsed="false">
      <c r="B13" s="10" t="s">
        <v>58</v>
      </c>
      <c r="C13" s="12" t="n">
        <f aca="false">③前提!$C$11</f>
        <v>900000</v>
      </c>
      <c r="D13" s="12" t="n">
        <f aca="false">③前提!$D$11</f>
        <v>0</v>
      </c>
      <c r="E13" s="12" t="n">
        <f aca="false">③前提!$E$11</f>
        <v>0</v>
      </c>
      <c r="F13" s="12" t="n">
        <f aca="false">③前提!$F$11</f>
        <v>0</v>
      </c>
      <c r="G13" s="12" t="n">
        <f aca="false">③前提!$G$11</f>
        <v>41000000</v>
      </c>
      <c r="H13" s="8" t="n">
        <f aca="false">SUM(C13:G13)</f>
        <v>41900000</v>
      </c>
    </row>
    <row r="14" customFormat="false" ht="15" hidden="false" customHeight="false" outlineLevel="0" collapsed="false">
      <c r="B14" s="25" t="s">
        <v>147</v>
      </c>
      <c r="C14" s="20" t="n">
        <f aca="false">C12-C13</f>
        <v>-131345877</v>
      </c>
      <c r="D14" s="20" t="n">
        <f aca="false">D12-D13</f>
        <v>-10116394</v>
      </c>
      <c r="E14" s="20" t="n">
        <f aca="false">E12-E13</f>
        <v>105000000</v>
      </c>
      <c r="F14" s="20" t="n">
        <f aca="false">F12-F13</f>
        <v>18040246</v>
      </c>
      <c r="G14" s="20" t="n">
        <f aca="false">G12-G13</f>
        <v>-36200000</v>
      </c>
      <c r="H14" s="15" t="n">
        <f aca="false">H12-H13</f>
        <v>-54622025</v>
      </c>
    </row>
    <row r="15" customFormat="false" ht="15" hidden="false" customHeight="false" outlineLevel="0" collapsed="false">
      <c r="B15" s="13" t="s">
        <v>148</v>
      </c>
      <c r="C15" s="13" t="s">
        <v>149</v>
      </c>
    </row>
    <row r="17" customFormat="false" ht="15" hidden="false" customHeight="false" outlineLevel="0" collapsed="false">
      <c r="B17" s="25" t="s">
        <v>150</v>
      </c>
      <c r="H17" s="8" t="n">
        <f aca="false">H6-E6-F6</f>
        <v>562482693</v>
      </c>
    </row>
    <row r="18" customFormat="false" ht="15" hidden="false" customHeight="false" outlineLevel="0" collapsed="false">
      <c r="B18" s="2" t="s">
        <v>151</v>
      </c>
    </row>
    <row r="19" customFormat="false" ht="15" hidden="false" customHeight="false" outlineLevel="0" collapsed="false">
      <c r="B19" s="25" t="s">
        <v>152</v>
      </c>
      <c r="H19" s="15" t="n">
        <f aca="false">③前提!$C$16+MAX(0,-H14)</f>
        <v>181986237</v>
      </c>
    </row>
    <row r="20" customFormat="false" ht="15" hidden="false" customHeight="false" outlineLevel="0" collapsed="false">
      <c r="B20" s="2" t="s">
        <v>153</v>
      </c>
    </row>
    <row r="21" customFormat="false" ht="15" hidden="false" customHeight="false" outlineLevel="0" collapsed="false">
      <c r="B21" s="25" t="s">
        <v>154</v>
      </c>
      <c r="H21" s="15" t="n">
        <f aca="false">③前提!$C$17+③前提!$C$18-③前提!$C$15</f>
        <v>563399315</v>
      </c>
    </row>
    <row r="22" customFormat="false" ht="15" hidden="false" customHeight="false" outlineLevel="0" collapsed="false">
      <c r="B22" s="2" t="s">
        <v>155</v>
      </c>
    </row>
    <row r="24" customFormat="false" ht="15" hidden="false" customHeight="false" outlineLevel="0" collapsed="false">
      <c r="B24" s="3" t="s">
        <v>156</v>
      </c>
      <c r="C24" s="4"/>
      <c r="D24" s="4"/>
      <c r="E24" s="4"/>
      <c r="F24" s="4"/>
      <c r="G24" s="4"/>
      <c r="H24" s="4"/>
      <c r="I24" s="4"/>
    </row>
    <row r="25" customFormat="false" ht="15" hidden="false" customHeight="false" outlineLevel="0" collapsed="false">
      <c r="B25" s="24" t="s">
        <v>157</v>
      </c>
    </row>
    <row r="26" customFormat="false" ht="15" hidden="false" customHeight="false" outlineLevel="0" collapsed="false">
      <c r="B26" s="24" t="s">
        <v>158</v>
      </c>
    </row>
    <row r="27" customFormat="false" ht="15" hidden="false" customHeight="false" outlineLevel="0" collapsed="false">
      <c r="B27" s="24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11" min="3" style="0" width="15"/>
    <col collapsed="false" customWidth="true" hidden="false" outlineLevel="0" max="12" min="12" style="0" width="40"/>
  </cols>
  <sheetData>
    <row r="1" customFormat="false" ht="20.1" hidden="false" customHeight="false" outlineLevel="0" collapsed="false">
      <c r="B1" s="1" t="s">
        <v>160</v>
      </c>
    </row>
    <row r="2" customFormat="false" ht="15" hidden="false" customHeight="false" outlineLevel="0" collapsed="false">
      <c r="B2" s="2" t="s">
        <v>161</v>
      </c>
    </row>
    <row r="4" customFormat="false" ht="15" hidden="false" customHeight="false" outlineLevel="0" collapsed="false">
      <c r="C4" s="31" t="s">
        <v>162</v>
      </c>
      <c r="D4" s="31"/>
      <c r="E4" s="31"/>
      <c r="F4" s="31" t="s">
        <v>163</v>
      </c>
      <c r="G4" s="31"/>
      <c r="H4" s="31"/>
      <c r="I4" s="31" t="s">
        <v>164</v>
      </c>
      <c r="J4" s="31"/>
      <c r="K4" s="31"/>
    </row>
    <row r="5" customFormat="false" ht="15" hidden="false" customHeight="false" outlineLevel="0" collapsed="false">
      <c r="B5" s="32" t="s">
        <v>3</v>
      </c>
      <c r="C5" s="33" t="s">
        <v>5</v>
      </c>
      <c r="D5" s="33" t="s">
        <v>6</v>
      </c>
      <c r="E5" s="33" t="s">
        <v>7</v>
      </c>
      <c r="F5" s="33" t="s">
        <v>5</v>
      </c>
      <c r="G5" s="33" t="s">
        <v>6</v>
      </c>
      <c r="H5" s="33" t="s">
        <v>7</v>
      </c>
      <c r="I5" s="33" t="s">
        <v>5</v>
      </c>
      <c r="J5" s="33" t="s">
        <v>6</v>
      </c>
      <c r="K5" s="33" t="s">
        <v>7</v>
      </c>
    </row>
    <row r="6" customFormat="false" ht="15" hidden="false" customHeight="false" outlineLevel="0" collapsed="false">
      <c r="B6" s="10" t="s">
        <v>165</v>
      </c>
      <c r="C6" s="12" t="n">
        <f aca="false">③前提!$C$21</f>
        <v>510160224</v>
      </c>
      <c r="D6" s="12" t="n">
        <f aca="false">③前提!$C$21</f>
        <v>510160224</v>
      </c>
      <c r="E6" s="12" t="n">
        <f aca="false">③前提!$C$21</f>
        <v>510160224</v>
      </c>
      <c r="F6" s="12" t="n">
        <f aca="false">(③前提!$C$30+④FY2026着地!$H$17)/2</f>
        <v>657673797</v>
      </c>
      <c r="G6" s="12" t="n">
        <f aca="false">F6*(1+③前提!$E$31)</f>
        <v>657673797</v>
      </c>
      <c r="H6" s="12" t="n">
        <f aca="false">G6*(1+③前提!$F$31)</f>
        <v>657673797</v>
      </c>
      <c r="I6" s="12" t="n">
        <f aca="false">(③前提!$C$30+④FY2026着地!$H$17)/2</f>
        <v>657673797</v>
      </c>
      <c r="J6" s="12" t="n">
        <f aca="false">I6*(1+③前提!$E$31)</f>
        <v>657673797</v>
      </c>
      <c r="K6" s="12" t="n">
        <f aca="false">J6*(1+③前提!$F$31)</f>
        <v>657673797</v>
      </c>
    </row>
    <row r="7" customFormat="false" ht="15" hidden="false" customHeight="false" outlineLevel="0" collapsed="false">
      <c r="B7" s="10" t="s">
        <v>166</v>
      </c>
      <c r="C7" s="12" t="n">
        <f aca="false">C6-③前提!$C$21</f>
        <v>0</v>
      </c>
      <c r="D7" s="12" t="n">
        <f aca="false">D6-③前提!$C$21</f>
        <v>0</v>
      </c>
      <c r="E7" s="12" t="n">
        <f aca="false">E6-③前提!$C$21</f>
        <v>0</v>
      </c>
      <c r="F7" s="12" t="n">
        <f aca="false">F6-③前提!$C$21</f>
        <v>147513573</v>
      </c>
      <c r="G7" s="12" t="n">
        <f aca="false">G6-③前提!$C$21</f>
        <v>147513573</v>
      </c>
      <c r="H7" s="12" t="n">
        <f aca="false">H6-③前提!$C$21</f>
        <v>147513573</v>
      </c>
      <c r="I7" s="12" t="n">
        <f aca="false">I6-③前提!$C$21</f>
        <v>147513573</v>
      </c>
      <c r="J7" s="12" t="n">
        <f aca="false">J6-③前提!$C$21</f>
        <v>147513573</v>
      </c>
      <c r="K7" s="12" t="n">
        <f aca="false">K6-③前提!$C$21</f>
        <v>147513573</v>
      </c>
    </row>
    <row r="8" customFormat="false" ht="15" hidden="false" customHeight="false" outlineLevel="0" collapsed="false">
      <c r="B8" s="10" t="s">
        <v>167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f aca="false">③前提!$D$45</f>
        <v>700000000</v>
      </c>
      <c r="J8" s="12" t="n">
        <f aca="false">③前提!$E$45</f>
        <v>1000000000</v>
      </c>
      <c r="K8" s="12" t="n">
        <f aca="false">③前提!$F$45</f>
        <v>1000000000</v>
      </c>
    </row>
    <row r="9" customFormat="false" ht="15" hidden="false" customHeight="false" outlineLevel="0" collapsed="false">
      <c r="B9" s="10" t="s">
        <v>168</v>
      </c>
      <c r="C9" s="12" t="n">
        <v>0</v>
      </c>
      <c r="D9" s="12" t="n">
        <v>0</v>
      </c>
      <c r="E9" s="12" t="n">
        <v>0</v>
      </c>
      <c r="F9" s="12" t="n">
        <f aca="false">③前提!$D$41</f>
        <v>112500000</v>
      </c>
      <c r="G9" s="12" t="n">
        <f aca="false">③前提!$E$41</f>
        <v>142500000</v>
      </c>
      <c r="H9" s="12" t="n">
        <f aca="false">③前提!$F$41</f>
        <v>142500000</v>
      </c>
      <c r="I9" s="12" t="n">
        <f aca="false">③前提!$D$41</f>
        <v>112500000</v>
      </c>
      <c r="J9" s="12" t="n">
        <f aca="false">③前提!$E$41</f>
        <v>142500000</v>
      </c>
      <c r="K9" s="12" t="n">
        <f aca="false">③前提!$F$41</f>
        <v>142500000</v>
      </c>
    </row>
    <row r="10" customFormat="false" ht="15" hidden="false" customHeight="false" outlineLevel="0" collapsed="false">
      <c r="B10" s="25" t="s">
        <v>169</v>
      </c>
      <c r="C10" s="8" t="n">
        <f aca="false">C6+C8+C9</f>
        <v>510160224</v>
      </c>
      <c r="D10" s="8" t="n">
        <f aca="false">D6+D8+D9</f>
        <v>510160224</v>
      </c>
      <c r="E10" s="8" t="n">
        <f aca="false">E6+E8+E9</f>
        <v>510160224</v>
      </c>
      <c r="F10" s="8" t="n">
        <f aca="false">F6+F8+F9</f>
        <v>770173797</v>
      </c>
      <c r="G10" s="8" t="n">
        <f aca="false">G6+G8+G9</f>
        <v>800173797</v>
      </c>
      <c r="H10" s="8" t="n">
        <f aca="false">H6+H8+H9</f>
        <v>800173797</v>
      </c>
      <c r="I10" s="8" t="n">
        <f aca="false">I6+I8+I9</f>
        <v>1470173797</v>
      </c>
      <c r="J10" s="8" t="n">
        <f aca="false">J6+J8+J9</f>
        <v>1800173797</v>
      </c>
      <c r="K10" s="8" t="n">
        <f aca="false">K6+K8+K9</f>
        <v>1800173797</v>
      </c>
    </row>
    <row r="11" customFormat="false" ht="15" hidden="false" customHeight="false" outlineLevel="0" collapsed="false">
      <c r="B11" s="25" t="s">
        <v>12</v>
      </c>
      <c r="C11" s="8" t="n">
        <f aca="false">③前提!$C$22+C7*③前提!$C$32+C8*③前提!$D$46+C9</f>
        <v>228834629</v>
      </c>
      <c r="D11" s="8" t="n">
        <f aca="false">③前提!$C$22+D7*③前提!$C$32+D8*③前提!$E$46+D9</f>
        <v>228834629</v>
      </c>
      <c r="E11" s="8" t="n">
        <f aca="false">③前提!$C$22+E7*③前提!$C$32+E8*③前提!$F$46+E9</f>
        <v>228834629</v>
      </c>
      <c r="F11" s="8" t="n">
        <f aca="false">③前提!$C$22+F7*③前提!$C$32+F8*③前提!$D$46+F9</f>
        <v>385588700.9</v>
      </c>
      <c r="G11" s="8" t="n">
        <f aca="false">③前提!$C$22+G7*③前提!$C$32+G8*③前提!$E$46+G9</f>
        <v>415588700.9</v>
      </c>
      <c r="H11" s="8" t="n">
        <f aca="false">③前提!$C$22+H7*③前提!$C$32+H8*③前提!$F$46+H9</f>
        <v>415588700.9</v>
      </c>
      <c r="I11" s="8" t="n">
        <f aca="false">③前提!$C$22+I7*③前提!$C$32+I8*③前提!$D$46+I9</f>
        <v>420588700.9</v>
      </c>
      <c r="J11" s="8" t="n">
        <f aca="false">③前提!$C$22+J7*③前提!$C$32+J8*③前提!$E$46+J9</f>
        <v>465588700.9</v>
      </c>
      <c r="K11" s="8" t="n">
        <f aca="false">③前提!$C$22+K7*③前提!$C$32+K8*③前提!$F$46+K9</f>
        <v>465588700.9</v>
      </c>
    </row>
    <row r="12" customFormat="false" ht="15" hidden="false" customHeight="false" outlineLevel="0" collapsed="false">
      <c r="B12" s="10" t="s">
        <v>13</v>
      </c>
      <c r="C12" s="11" t="n">
        <f aca="false">C11/C10</f>
        <v>0.448554431009502</v>
      </c>
      <c r="D12" s="11" t="n">
        <f aca="false">D11/D10</f>
        <v>0.448554431009502</v>
      </c>
      <c r="E12" s="11" t="n">
        <f aca="false">E11/E10</f>
        <v>0.448554431009502</v>
      </c>
      <c r="F12" s="11" t="n">
        <f aca="false">F11/F10</f>
        <v>0.500651544368238</v>
      </c>
      <c r="G12" s="11" t="n">
        <f aca="false">G11/G10</f>
        <v>0.519373044278779</v>
      </c>
      <c r="H12" s="11" t="n">
        <f aca="false">H11/H10</f>
        <v>0.519373044278779</v>
      </c>
      <c r="I12" s="11" t="n">
        <f aca="false">I11/I10</f>
        <v>0.286080939381618</v>
      </c>
      <c r="J12" s="11" t="n">
        <f aca="false">J11/J10</f>
        <v>0.25863541713356</v>
      </c>
      <c r="K12" s="11" t="n">
        <f aca="false">K11/K10</f>
        <v>0.25863541713356</v>
      </c>
    </row>
    <row r="13" customFormat="false" ht="15" hidden="false" customHeight="false" outlineLevel="0" collapsed="false">
      <c r="B13" s="10" t="s">
        <v>137</v>
      </c>
      <c r="C13" s="12" t="n">
        <f aca="false">③前提!$C$26*(1+③前提!$D$50)</f>
        <v>78940164</v>
      </c>
      <c r="D13" s="12" t="n">
        <f aca="false">C13*(1+③前提!$E$50)</f>
        <v>81308368.92</v>
      </c>
      <c r="E13" s="12" t="n">
        <f aca="false">D13*(1+③前提!$F$50)</f>
        <v>83747619.9876</v>
      </c>
      <c r="F13" s="12" t="n">
        <f aca="false">③前提!$C$26*(1+③前提!$D$50)</f>
        <v>78940164</v>
      </c>
      <c r="G13" s="12" t="n">
        <f aca="false">F13*(1+③前提!$E$50)</f>
        <v>81308368.92</v>
      </c>
      <c r="H13" s="12" t="n">
        <f aca="false">G13*(1+③前提!$F$50)</f>
        <v>83747619.9876</v>
      </c>
      <c r="I13" s="12" t="n">
        <f aca="false">③前提!$C$26*(1+③前提!$D$50)</f>
        <v>78940164</v>
      </c>
      <c r="J13" s="12" t="n">
        <f aca="false">I13*(1+③前提!$E$50)</f>
        <v>81308368.92</v>
      </c>
      <c r="K13" s="12" t="n">
        <f aca="false">J13*(1+③前提!$F$50)</f>
        <v>83747619.9876</v>
      </c>
    </row>
    <row r="14" customFormat="false" ht="15" hidden="false" customHeight="false" outlineLevel="0" collapsed="false">
      <c r="B14" s="10" t="s">
        <v>170</v>
      </c>
      <c r="C14" s="12" t="n">
        <f aca="false">(③前提!$C$25-③前提!$C$26)*(1+③前提!$D$51)</f>
        <v>242689570</v>
      </c>
      <c r="D14" s="12" t="n">
        <f aca="false">C14*(1+③前提!$E$51)</f>
        <v>242689570</v>
      </c>
      <c r="E14" s="12" t="n">
        <f aca="false">D14*(1+③前提!$F$51)</f>
        <v>242689570</v>
      </c>
      <c r="F14" s="12" t="n">
        <f aca="false">(③前提!$C$25-③前提!$C$26)*(1+③前提!$D$51)</f>
        <v>242689570</v>
      </c>
      <c r="G14" s="12" t="n">
        <f aca="false">F14*(1+③前提!$E$51)</f>
        <v>242689570</v>
      </c>
      <c r="H14" s="12" t="n">
        <f aca="false">G14*(1+③前提!$F$51)</f>
        <v>242689570</v>
      </c>
      <c r="I14" s="12" t="n">
        <f aca="false">(③前提!$C$25-③前提!$C$26)*(1+③前提!$D$51)</f>
        <v>242689570</v>
      </c>
      <c r="J14" s="12" t="n">
        <f aca="false">I14*(1+③前提!$E$51)</f>
        <v>242689570</v>
      </c>
      <c r="K14" s="12" t="n">
        <f aca="false">J14*(1+③前提!$F$51)</f>
        <v>242689570</v>
      </c>
    </row>
    <row r="15" customFormat="false" ht="15" hidden="false" customHeight="false" outlineLevel="0" collapsed="false">
      <c r="B15" s="10" t="s">
        <v>171</v>
      </c>
      <c r="C15" s="12" t="n">
        <f aca="false">C13+C14</f>
        <v>321629734</v>
      </c>
      <c r="D15" s="12" t="n">
        <f aca="false">D13+D14</f>
        <v>323997938.92</v>
      </c>
      <c r="E15" s="12" t="n">
        <f aca="false">E13+E14</f>
        <v>326437189.9876</v>
      </c>
      <c r="F15" s="12" t="n">
        <f aca="false">F13+F14</f>
        <v>321629734</v>
      </c>
      <c r="G15" s="12" t="n">
        <f aca="false">G13+G14</f>
        <v>323997938.92</v>
      </c>
      <c r="H15" s="12" t="n">
        <f aca="false">H13+H14</f>
        <v>326437189.9876</v>
      </c>
      <c r="I15" s="12" t="n">
        <f aca="false">I13+I14</f>
        <v>321629734</v>
      </c>
      <c r="J15" s="12" t="n">
        <f aca="false">J13+J14</f>
        <v>323997938.92</v>
      </c>
      <c r="K15" s="12" t="n">
        <f aca="false">K13+K14</f>
        <v>326437189.9876</v>
      </c>
    </row>
    <row r="16" customFormat="false" ht="15" hidden="false" customHeight="false" outlineLevel="0" collapsed="false">
      <c r="B16" s="25" t="s">
        <v>16</v>
      </c>
      <c r="C16" s="15" t="n">
        <f aca="false">C11-C15</f>
        <v>-92795105</v>
      </c>
      <c r="D16" s="15" t="n">
        <f aca="false">D11-D15</f>
        <v>-95163309.92</v>
      </c>
      <c r="E16" s="15" t="n">
        <f aca="false">E11-E15</f>
        <v>-97602560.9876</v>
      </c>
      <c r="F16" s="15" t="n">
        <f aca="false">F11-F15</f>
        <v>63958966.9</v>
      </c>
      <c r="G16" s="15" t="n">
        <f aca="false">G11-G15</f>
        <v>91590761.98</v>
      </c>
      <c r="H16" s="15" t="n">
        <f aca="false">H11-H15</f>
        <v>89151510.9124</v>
      </c>
      <c r="I16" s="15" t="n">
        <f aca="false">I11-I15</f>
        <v>98958966.9</v>
      </c>
      <c r="J16" s="15" t="n">
        <f aca="false">J11-J15</f>
        <v>141590761.98</v>
      </c>
      <c r="K16" s="15" t="n">
        <f aca="false">K11-K15</f>
        <v>139151510.9124</v>
      </c>
    </row>
    <row r="17" customFormat="false" ht="15" hidden="false" customHeight="false" outlineLevel="0" collapsed="false">
      <c r="B17" s="10" t="s">
        <v>17</v>
      </c>
      <c r="C17" s="12" t="n">
        <f aca="false">③前提!$D$52</f>
        <v>12000000</v>
      </c>
      <c r="D17" s="12" t="n">
        <f aca="false">③前提!$E$52</f>
        <v>10000000</v>
      </c>
      <c r="E17" s="12" t="n">
        <f aca="false">③前提!$F$52</f>
        <v>8000000</v>
      </c>
      <c r="F17" s="12" t="n">
        <f aca="false">③前提!$D$52</f>
        <v>12000000</v>
      </c>
      <c r="G17" s="12" t="n">
        <f aca="false">③前提!$E$52</f>
        <v>10000000</v>
      </c>
      <c r="H17" s="12" t="n">
        <f aca="false">③前提!$F$52</f>
        <v>8000000</v>
      </c>
      <c r="I17" s="12" t="n">
        <f aca="false">③前提!$D$52</f>
        <v>12000000</v>
      </c>
      <c r="J17" s="12" t="n">
        <f aca="false">③前提!$E$52</f>
        <v>10000000</v>
      </c>
      <c r="K17" s="12" t="n">
        <f aca="false">③前提!$F$52</f>
        <v>8000000</v>
      </c>
    </row>
    <row r="18" customFormat="false" ht="15" hidden="false" customHeight="false" outlineLevel="0" collapsed="false">
      <c r="B18" s="25" t="s">
        <v>19</v>
      </c>
      <c r="C18" s="15" t="n">
        <f aca="false">C16-C17</f>
        <v>-104795105</v>
      </c>
      <c r="D18" s="15" t="n">
        <f aca="false">D16-D17</f>
        <v>-105163309.92</v>
      </c>
      <c r="E18" s="15" t="n">
        <f aca="false">E16-E17</f>
        <v>-105602560.9876</v>
      </c>
      <c r="F18" s="15" t="n">
        <f aca="false">F16-F17</f>
        <v>51958966.9</v>
      </c>
      <c r="G18" s="15" t="n">
        <f aca="false">G16-G17</f>
        <v>81590761.98</v>
      </c>
      <c r="H18" s="15" t="n">
        <f aca="false">H16-H17</f>
        <v>81151510.9124</v>
      </c>
      <c r="I18" s="15" t="n">
        <f aca="false">I16-I17</f>
        <v>86958966.9</v>
      </c>
      <c r="J18" s="15" t="n">
        <f aca="false">J16-J17</f>
        <v>131590761.98</v>
      </c>
      <c r="K18" s="15" t="n">
        <f aca="false">K16-K17</f>
        <v>131151510.9124</v>
      </c>
    </row>
    <row r="19" customFormat="false" ht="15" hidden="false" customHeight="false" outlineLevel="0" collapsed="false">
      <c r="B19" s="10" t="s">
        <v>172</v>
      </c>
      <c r="C19" s="12" t="n">
        <f aca="false">④FY2026着地!$H$19</f>
        <v>181986237</v>
      </c>
      <c r="D19" s="12" t="n">
        <f aca="false">C21</f>
        <v>286781342</v>
      </c>
      <c r="E19" s="12" t="n">
        <f aca="false">D21</f>
        <v>391944651.92</v>
      </c>
      <c r="F19" s="12" t="n">
        <f aca="false">④FY2026着地!$H$19</f>
        <v>181986237</v>
      </c>
      <c r="G19" s="12" t="n">
        <f aca="false">F21</f>
        <v>130027270.1</v>
      </c>
      <c r="H19" s="12" t="n">
        <f aca="false">G21</f>
        <v>48436508.1200001</v>
      </c>
      <c r="I19" s="12" t="n">
        <f aca="false">④FY2026着地!$H$19</f>
        <v>181986237</v>
      </c>
      <c r="J19" s="12" t="n">
        <f aca="false">I21</f>
        <v>95027270.1</v>
      </c>
      <c r="K19" s="12" t="n">
        <f aca="false">J21</f>
        <v>0</v>
      </c>
    </row>
    <row r="20" customFormat="false" ht="15" hidden="false" customHeight="false" outlineLevel="0" collapsed="false">
      <c r="B20" s="10" t="s">
        <v>173</v>
      </c>
      <c r="C20" s="12" t="n">
        <f aca="false">MIN(C19,MAX(0,C18))</f>
        <v>0</v>
      </c>
      <c r="D20" s="12" t="n">
        <f aca="false">MIN(D19,MAX(0,D18))</f>
        <v>0</v>
      </c>
      <c r="E20" s="12" t="n">
        <f aca="false">MIN(E19,MAX(0,E18))</f>
        <v>0</v>
      </c>
      <c r="F20" s="12" t="n">
        <f aca="false">MIN(F19,MAX(0,F18))</f>
        <v>51958966.9</v>
      </c>
      <c r="G20" s="12" t="n">
        <f aca="false">MIN(G19,MAX(0,G18))</f>
        <v>81590761.98</v>
      </c>
      <c r="H20" s="12" t="n">
        <f aca="false">MIN(H19,MAX(0,H18))</f>
        <v>48436508.1200001</v>
      </c>
      <c r="I20" s="12" t="n">
        <f aca="false">MIN(I19,MAX(0,I18))</f>
        <v>86958966.9</v>
      </c>
      <c r="J20" s="12" t="n">
        <f aca="false">MIN(J19,MAX(0,J18))</f>
        <v>95027270.1</v>
      </c>
      <c r="K20" s="12" t="n">
        <f aca="false">MIN(K19,MAX(0,K18))</f>
        <v>0</v>
      </c>
    </row>
    <row r="21" customFormat="false" ht="15" hidden="false" customHeight="false" outlineLevel="0" collapsed="false">
      <c r="B21" s="10" t="s">
        <v>174</v>
      </c>
      <c r="C21" s="12" t="n">
        <f aca="false">C19-C20+MAX(0,-C18)</f>
        <v>286781342</v>
      </c>
      <c r="D21" s="12" t="n">
        <f aca="false">D19-D20+MAX(0,-D18)</f>
        <v>391944651.92</v>
      </c>
      <c r="E21" s="12" t="n">
        <f aca="false">E19-E20+MAX(0,-E18)</f>
        <v>497547212.9076</v>
      </c>
      <c r="F21" s="12" t="n">
        <f aca="false">F19-F20+MAX(0,-F18)</f>
        <v>130027270.1</v>
      </c>
      <c r="G21" s="12" t="n">
        <f aca="false">G19-G20+MAX(0,-G18)</f>
        <v>48436508.1200001</v>
      </c>
      <c r="H21" s="12" t="n">
        <f aca="false">H19-H20+MAX(0,-H18)</f>
        <v>0</v>
      </c>
      <c r="I21" s="12" t="n">
        <f aca="false">I19-I20+MAX(0,-I18)</f>
        <v>95027270.1</v>
      </c>
      <c r="J21" s="12" t="n">
        <f aca="false">J19-J20+MAX(0,-J18)</f>
        <v>0</v>
      </c>
      <c r="K21" s="12" t="n">
        <f aca="false">K19-K20+MAX(0,-K18)</f>
        <v>0</v>
      </c>
    </row>
    <row r="22" customFormat="false" ht="15" hidden="false" customHeight="false" outlineLevel="0" collapsed="false">
      <c r="B22" s="10" t="s">
        <v>20</v>
      </c>
      <c r="C22" s="12" t="n">
        <f aca="false">MAX(0,C18-C20)*③前提!$D$53+③前提!$D$54</f>
        <v>0</v>
      </c>
      <c r="D22" s="12" t="n">
        <f aca="false">MAX(0,D18-D20)*③前提!$E$53+③前提!$E$54</f>
        <v>70000</v>
      </c>
      <c r="E22" s="12" t="n">
        <f aca="false">MAX(0,E18-E20)*③前提!$F$53+③前提!$F$54</f>
        <v>70000</v>
      </c>
      <c r="F22" s="12" t="n">
        <f aca="false">MAX(0,F18-F20)*③前提!$D$53+③前提!$D$54</f>
        <v>0</v>
      </c>
      <c r="G22" s="12" t="n">
        <f aca="false">MAX(0,G18-G20)*③前提!$E$53+③前提!$E$54</f>
        <v>70000</v>
      </c>
      <c r="H22" s="12" t="n">
        <f aca="false">MAX(0,H18-H20)*③前提!$F$53+③前提!$F$54</f>
        <v>11193100.949416</v>
      </c>
      <c r="I22" s="12" t="n">
        <f aca="false">MAX(0,I18-I20)*③前提!$D$53+③前提!$D$54</f>
        <v>0</v>
      </c>
      <c r="J22" s="12" t="n">
        <f aca="false">MAX(0,J18-J20)*③前提!$E$53+③前提!$E$54</f>
        <v>12501587.2392</v>
      </c>
      <c r="K22" s="12" t="n">
        <f aca="false">MAX(0,K18-K20)*③前提!$F$53+③前提!$F$54</f>
        <v>44661513.710216</v>
      </c>
    </row>
    <row r="23" customFormat="false" ht="15" hidden="false" customHeight="false" outlineLevel="0" collapsed="false">
      <c r="B23" s="25" t="s">
        <v>22</v>
      </c>
      <c r="C23" s="8" t="n">
        <f aca="false">C18-C22</f>
        <v>-104795105</v>
      </c>
      <c r="D23" s="8" t="n">
        <f aca="false">D18-D22</f>
        <v>-105233309.92</v>
      </c>
      <c r="E23" s="8" t="n">
        <f aca="false">E18-E22</f>
        <v>-105672560.9876</v>
      </c>
      <c r="F23" s="8" t="n">
        <f aca="false">F18-F22</f>
        <v>51958966.9</v>
      </c>
      <c r="G23" s="8" t="n">
        <f aca="false">G18-G22</f>
        <v>81520761.98</v>
      </c>
      <c r="H23" s="8" t="n">
        <f aca="false">H18-H22</f>
        <v>69958409.962984</v>
      </c>
      <c r="I23" s="8" t="n">
        <f aca="false">I18-I22</f>
        <v>86958966.9</v>
      </c>
      <c r="J23" s="8" t="n">
        <f aca="false">J18-J22</f>
        <v>119089174.7408</v>
      </c>
      <c r="K23" s="8" t="n">
        <f aca="false">K18-K22</f>
        <v>86489997.202184</v>
      </c>
    </row>
    <row r="24" customFormat="false" ht="15" hidden="false" customHeight="false" outlineLevel="0" collapsed="false">
      <c r="B24" s="10" t="s">
        <v>175</v>
      </c>
      <c r="C24" s="12" t="n">
        <f aca="false">C10-C11</f>
        <v>281325595</v>
      </c>
      <c r="D24" s="12" t="n">
        <f aca="false">D10-D11</f>
        <v>281325595</v>
      </c>
      <c r="E24" s="12" t="n">
        <f aca="false">E10-E11</f>
        <v>281325595</v>
      </c>
      <c r="F24" s="12" t="n">
        <f aca="false">F10-F11</f>
        <v>384585096.1</v>
      </c>
      <c r="G24" s="12" t="n">
        <f aca="false">G10-G11</f>
        <v>384585096.1</v>
      </c>
      <c r="H24" s="12" t="n">
        <f aca="false">H10-H11</f>
        <v>384585096.1</v>
      </c>
      <c r="I24" s="12" t="n">
        <f aca="false">I10-I11</f>
        <v>1049585096.1</v>
      </c>
      <c r="J24" s="12" t="n">
        <f aca="false">J10-J11</f>
        <v>1334585096.1</v>
      </c>
      <c r="K24" s="12" t="n">
        <f aca="false">K10-K11</f>
        <v>1334585096.1</v>
      </c>
    </row>
    <row r="26" customFormat="false" ht="15" hidden="false" customHeight="false" outlineLevel="0" collapsed="false">
      <c r="B26" s="24" t="s">
        <v>176</v>
      </c>
    </row>
    <row r="27" customFormat="false" ht="15" hidden="false" customHeight="false" outlineLevel="0" collapsed="false">
      <c r="B27" s="24" t="s">
        <v>177</v>
      </c>
    </row>
    <row r="28" customFormat="false" ht="15" hidden="false" customHeight="false" outlineLevel="0" collapsed="false">
      <c r="B28" s="24" t="s">
        <v>178</v>
      </c>
    </row>
    <row r="29" customFormat="false" ht="15" hidden="false" customHeight="false" outlineLevel="0" collapsed="false">
      <c r="B29" s="24" t="s">
        <v>179</v>
      </c>
    </row>
  </sheetData>
  <mergeCells count="3">
    <mergeCell ref="C4:E4"/>
    <mergeCell ref="F4:H4"/>
    <mergeCell ref="I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7" min="3" style="0" width="16"/>
    <col collapsed="false" customWidth="true" hidden="false" outlineLevel="0" max="8" min="8" style="0" width="44"/>
  </cols>
  <sheetData>
    <row r="1" customFormat="false" ht="20.1" hidden="false" customHeight="false" outlineLevel="0" collapsed="false">
      <c r="B1" s="34" t="s">
        <v>180</v>
      </c>
    </row>
    <row r="2" customFormat="false" ht="15" hidden="false" customHeight="false" outlineLevel="0" collapsed="false">
      <c r="B2" s="13" t="s">
        <v>181</v>
      </c>
    </row>
    <row r="5" customFormat="false" ht="15" hidden="false" customHeight="false" outlineLevel="0" collapsed="false">
      <c r="B5" s="3" t="s">
        <v>182</v>
      </c>
      <c r="C5" s="4"/>
      <c r="D5" s="4"/>
      <c r="E5" s="4"/>
      <c r="F5" s="4"/>
      <c r="G5" s="4"/>
    </row>
    <row r="6" customFormat="false" ht="15" hidden="false" customHeight="false" outlineLevel="0" collapsed="false">
      <c r="B6" s="5" t="s">
        <v>3</v>
      </c>
      <c r="C6" s="5" t="s">
        <v>94</v>
      </c>
      <c r="D6" s="6" t="s">
        <v>132</v>
      </c>
      <c r="E6" s="5" t="s">
        <v>133</v>
      </c>
      <c r="F6" s="5" t="s">
        <v>102</v>
      </c>
      <c r="G6" s="5" t="s">
        <v>134</v>
      </c>
    </row>
    <row r="7" customFormat="false" ht="15" hidden="false" customHeight="false" outlineLevel="0" collapsed="false">
      <c r="B7" s="10" t="s">
        <v>135</v>
      </c>
      <c r="C7" s="12" t="n">
        <f aca="false">③前提!$C$21*③前提!C$65</f>
        <v>0</v>
      </c>
      <c r="D7" s="12" t="n">
        <f aca="false">③前提!$C$21*③前提!D$65</f>
        <v>191153872.976371</v>
      </c>
      <c r="E7" s="12" t="n">
        <f aca="false">③前提!$C$21*③前提!E$65</f>
        <v>155114364.067033</v>
      </c>
      <c r="F7" s="12" t="n">
        <f aca="false">③前提!$C$21*③前提!F$65</f>
        <v>163891986.956596</v>
      </c>
      <c r="G7" s="8" t="n">
        <f aca="false">SUM(C7:F7)</f>
        <v>510160224</v>
      </c>
    </row>
    <row r="8" customFormat="false" ht="15" hidden="false" customHeight="false" outlineLevel="0" collapsed="false">
      <c r="B8" s="10" t="s">
        <v>183</v>
      </c>
      <c r="C8" s="12" t="n">
        <f aca="false">0</f>
        <v>0</v>
      </c>
      <c r="D8" s="12" t="n">
        <f aca="false">0</f>
        <v>0</v>
      </c>
      <c r="E8" s="12" t="n">
        <f aca="false">②シナリオ比較!$F$7</f>
        <v>147513573</v>
      </c>
      <c r="F8" s="12" t="n">
        <f aca="false">0</f>
        <v>0</v>
      </c>
      <c r="G8" s="8" t="n">
        <f aca="false">SUM(C8:F8)</f>
        <v>147513573</v>
      </c>
    </row>
    <row r="9" customFormat="false" ht="15" hidden="false" customHeight="false" outlineLevel="0" collapsed="false">
      <c r="B9" s="10" t="s">
        <v>168</v>
      </c>
      <c r="C9" s="12" t="n">
        <f aca="false">SUMIF(③前提!$G$36:$G$40,"本部",③前提!D$36:D$40)</f>
        <v>92500000</v>
      </c>
      <c r="D9" s="12" t="n">
        <f aca="false">SUMIF(③前提!$G$36:$G$40,"EC/酒販店卸",③前提!D$36:D$40)</f>
        <v>0</v>
      </c>
      <c r="E9" s="12" t="n">
        <f aca="false">SUMIF(③前提!$G$36:$G$40,"ワインテック",③前提!D$36:D$40)</f>
        <v>0</v>
      </c>
      <c r="F9" s="12" t="n">
        <f aca="false">SUMIF(③前提!$G$36:$G$40,"その他",③前提!D$36:D$40)</f>
        <v>20000000</v>
      </c>
      <c r="G9" s="8" t="n">
        <f aca="false">SUM(C9:F9)</f>
        <v>112500000</v>
      </c>
    </row>
    <row r="10" customFormat="false" ht="15" hidden="false" customHeight="false" outlineLevel="0" collapsed="false">
      <c r="B10" s="25" t="s">
        <v>184</v>
      </c>
      <c r="C10" s="8" t="n">
        <f aca="false">SUM(C7:C9)</f>
        <v>92500000</v>
      </c>
      <c r="D10" s="8" t="n">
        <f aca="false">SUM(D7:D9)</f>
        <v>191153872.976371</v>
      </c>
      <c r="E10" s="8" t="n">
        <f aca="false">SUM(E7:E9)</f>
        <v>302627937.067033</v>
      </c>
      <c r="F10" s="8" t="n">
        <f aca="false">SUM(F7:F9)</f>
        <v>183891986.956596</v>
      </c>
      <c r="G10" s="8" t="n">
        <f aca="false">SUM(C10:F10)</f>
        <v>770173797</v>
      </c>
    </row>
    <row r="11" customFormat="false" ht="15" hidden="false" customHeight="false" outlineLevel="0" collapsed="false">
      <c r="B11" s="10" t="s">
        <v>185</v>
      </c>
      <c r="C11" s="12" t="n">
        <f aca="false">③前提!$C$22*③前提!C$66</f>
        <v>0</v>
      </c>
      <c r="D11" s="12" t="n">
        <f aca="false">③前提!$C$22*③前提!D$66</f>
        <v>47620404.9162576</v>
      </c>
      <c r="E11" s="12" t="n">
        <f aca="false">③前提!$C$22*③前提!E$66</f>
        <v>37079948.9098094</v>
      </c>
      <c r="F11" s="12" t="n">
        <f aca="false">③前提!$C$22*③前提!F$66</f>
        <v>144134275.173933</v>
      </c>
      <c r="G11" s="8" t="n">
        <f aca="false">SUM(C11:F11)</f>
        <v>228834629</v>
      </c>
    </row>
    <row r="12" customFormat="false" ht="15" hidden="false" customHeight="false" outlineLevel="0" collapsed="false">
      <c r="B12" s="10" t="s">
        <v>186</v>
      </c>
      <c r="C12" s="12" t="n">
        <f aca="false">C8*③前提!$C$32</f>
        <v>0</v>
      </c>
      <c r="D12" s="12" t="n">
        <f aca="false">D8*③前提!$C$32</f>
        <v>0</v>
      </c>
      <c r="E12" s="12" t="n">
        <f aca="false">E8*③前提!$C$32</f>
        <v>44254071.9</v>
      </c>
      <c r="F12" s="12" t="n">
        <f aca="false">F8*③前提!$C$32</f>
        <v>0</v>
      </c>
      <c r="G12" s="8" t="n">
        <f aca="false">SUM(C12:F12)</f>
        <v>44254071.9</v>
      </c>
    </row>
    <row r="13" customFormat="false" ht="15" hidden="false" customHeight="false" outlineLevel="0" collapsed="false">
      <c r="B13" s="10" t="s">
        <v>187</v>
      </c>
      <c r="C13" s="12" t="n">
        <f aca="false">C9</f>
        <v>92500000</v>
      </c>
      <c r="D13" s="12" t="n">
        <f aca="false">D9</f>
        <v>0</v>
      </c>
      <c r="E13" s="12" t="n">
        <f aca="false">E9</f>
        <v>0</v>
      </c>
      <c r="F13" s="12" t="n">
        <f aca="false">F9</f>
        <v>20000000</v>
      </c>
      <c r="G13" s="8" t="n">
        <f aca="false">SUM(C13:F13)</f>
        <v>112500000</v>
      </c>
    </row>
    <row r="14" customFormat="false" ht="15" hidden="false" customHeight="false" outlineLevel="0" collapsed="false">
      <c r="B14" s="25" t="s">
        <v>188</v>
      </c>
      <c r="C14" s="8" t="n">
        <f aca="false">SUM(C11:C13)</f>
        <v>92500000</v>
      </c>
      <c r="D14" s="8" t="n">
        <f aca="false">SUM(D11:D13)</f>
        <v>47620404.9162576</v>
      </c>
      <c r="E14" s="8" t="n">
        <f aca="false">SUM(E11:E13)</f>
        <v>81334020.8098094</v>
      </c>
      <c r="F14" s="8" t="n">
        <f aca="false">SUM(F11:F13)</f>
        <v>164134275.173933</v>
      </c>
      <c r="G14" s="8" t="n">
        <f aca="false">SUM(C14:F14)</f>
        <v>385588700.9</v>
      </c>
    </row>
    <row r="15" customFormat="false" ht="15" hidden="false" customHeight="false" outlineLevel="0" collapsed="false">
      <c r="B15" s="10" t="s">
        <v>137</v>
      </c>
      <c r="C15" s="12" t="n">
        <f aca="false">②シナリオ比較!$F$13*③前提!C$67</f>
        <v>33152711.362977</v>
      </c>
      <c r="D15" s="12" t="n">
        <f aca="false">②シナリオ比較!$F$13*③前提!D$67</f>
        <v>13427557.982704</v>
      </c>
      <c r="E15" s="12" t="n">
        <f aca="false">②シナリオ比較!$F$13*③前提!E$67</f>
        <v>25500831.2505342</v>
      </c>
      <c r="F15" s="12" t="n">
        <f aca="false">②シナリオ比較!$F$13*③前提!F$67</f>
        <v>6859063.40378476</v>
      </c>
      <c r="G15" s="8" t="n">
        <f aca="false">SUM(C15:F15)</f>
        <v>78940164</v>
      </c>
    </row>
    <row r="16" customFormat="false" ht="15" hidden="false" customHeight="false" outlineLevel="0" collapsed="false">
      <c r="B16" s="10" t="s">
        <v>170</v>
      </c>
      <c r="C16" s="12" t="n">
        <f aca="false">②シナリオ比較!$F$14*③前提!C$68</f>
        <v>42587764.1055064</v>
      </c>
      <c r="D16" s="12" t="n">
        <f aca="false">②シナリオ比較!$F$14*③前提!D$68</f>
        <v>30749576.4763376</v>
      </c>
      <c r="E16" s="12" t="n">
        <f aca="false">②シナリオ比較!$F$14*③前提!E$68</f>
        <v>55485763.4615215</v>
      </c>
      <c r="F16" s="12" t="n">
        <f aca="false">②シナリオ比較!$F$14*③前提!F$68</f>
        <v>113866465.956635</v>
      </c>
      <c r="G16" s="8" t="n">
        <f aca="false">SUM(C16:F16)</f>
        <v>242689570</v>
      </c>
    </row>
    <row r="17" customFormat="false" ht="15" hidden="false" customHeight="false" outlineLevel="0" collapsed="false">
      <c r="B17" s="25" t="s">
        <v>189</v>
      </c>
      <c r="C17" s="8" t="n">
        <f aca="false">C15+C16</f>
        <v>75740475.4684835</v>
      </c>
      <c r="D17" s="8" t="n">
        <f aca="false">D15+D16</f>
        <v>44177134.4590417</v>
      </c>
      <c r="E17" s="8" t="n">
        <f aca="false">E15+E16</f>
        <v>80986594.7120556</v>
      </c>
      <c r="F17" s="8" t="n">
        <f aca="false">F15+F16</f>
        <v>120725529.360419</v>
      </c>
      <c r="G17" s="8" t="n">
        <f aca="false">SUM(C17:F17)</f>
        <v>321629734</v>
      </c>
    </row>
    <row r="18" customFormat="false" ht="15" hidden="false" customHeight="false" outlineLevel="0" collapsed="false">
      <c r="B18" s="25" t="s">
        <v>34</v>
      </c>
      <c r="C18" s="15" t="n">
        <f aca="false">C14-C17</f>
        <v>16759524.5315165</v>
      </c>
      <c r="D18" s="15" t="n">
        <f aca="false">D14-D17</f>
        <v>3443270.45721597</v>
      </c>
      <c r="E18" s="15" t="n">
        <f aca="false">E14-E17</f>
        <v>347426.097753793</v>
      </c>
      <c r="F18" s="15" t="n">
        <f aca="false">F14-F17</f>
        <v>43408745.8135137</v>
      </c>
      <c r="G18" s="8" t="n">
        <f aca="false">SUM(C18:F18)</f>
        <v>63958966.9</v>
      </c>
    </row>
    <row r="19" customFormat="false" ht="15" hidden="false" customHeight="false" outlineLevel="0" collapsed="false">
      <c r="B19" s="10" t="s">
        <v>190</v>
      </c>
      <c r="C19" s="12" t="n">
        <f aca="false">$C17</f>
        <v>75740475.4684835</v>
      </c>
      <c r="D19" s="12" t="n">
        <f aca="false">-$C17*D14/SUM($D14:$F14)</f>
        <v>-12306145.2020618</v>
      </c>
      <c r="E19" s="12" t="n">
        <f aca="false">-$C17*E14/SUM($D14:$F14)</f>
        <v>-21018474.5743588</v>
      </c>
      <c r="F19" s="12" t="n">
        <f aca="false">-$C17*F14/SUM($D14:$F14)</f>
        <v>-42415855.6920629</v>
      </c>
      <c r="G19" s="8" t="n">
        <f aca="false">SUM(C19:F19)</f>
        <v>0</v>
      </c>
    </row>
    <row r="20" customFormat="false" ht="15" hidden="false" customHeight="false" outlineLevel="0" collapsed="false">
      <c r="B20" s="25" t="s">
        <v>191</v>
      </c>
      <c r="C20" s="15" t="n">
        <f aca="false">C18+C19</f>
        <v>92500000</v>
      </c>
      <c r="D20" s="15" t="n">
        <f aca="false">D18+D19</f>
        <v>-8862874.74484583</v>
      </c>
      <c r="E20" s="15" t="n">
        <f aca="false">E18+E19</f>
        <v>-20671048.476605</v>
      </c>
      <c r="F20" s="15" t="n">
        <f aca="false">F18+F19</f>
        <v>992890.121450789</v>
      </c>
      <c r="G20" s="8" t="n">
        <f aca="false">SUM(C20:F20)</f>
        <v>63958966.9</v>
      </c>
    </row>
    <row r="21" customFormat="false" ht="15" hidden="false" customHeight="false" outlineLevel="0" collapsed="false">
      <c r="B21" s="13" t="s">
        <v>192</v>
      </c>
      <c r="G21" s="12" t="n">
        <f aca="false">G18-②シナリオ比較!$F$16</f>
        <v>0</v>
      </c>
    </row>
    <row r="23" customFormat="false" ht="15" hidden="false" customHeight="false" outlineLevel="0" collapsed="false">
      <c r="B23" s="3" t="s">
        <v>193</v>
      </c>
      <c r="C23" s="4"/>
      <c r="D23" s="4"/>
      <c r="E23" s="4"/>
      <c r="F23" s="4"/>
      <c r="G23" s="4"/>
    </row>
    <row r="24" customFormat="false" ht="15" hidden="false" customHeight="false" outlineLevel="0" collapsed="false">
      <c r="B24" s="5" t="s">
        <v>3</v>
      </c>
      <c r="C24" s="5" t="s">
        <v>94</v>
      </c>
      <c r="D24" s="6" t="s">
        <v>132</v>
      </c>
      <c r="E24" s="5" t="s">
        <v>133</v>
      </c>
      <c r="F24" s="5" t="s">
        <v>102</v>
      </c>
      <c r="G24" s="5" t="s">
        <v>134</v>
      </c>
    </row>
    <row r="25" customFormat="false" ht="15" hidden="false" customHeight="false" outlineLevel="0" collapsed="false">
      <c r="B25" s="10" t="s">
        <v>135</v>
      </c>
      <c r="C25" s="12" t="n">
        <f aca="false">③前提!$C$21*③前提!C$65</f>
        <v>0</v>
      </c>
      <c r="D25" s="12" t="n">
        <f aca="false">③前提!$C$21*③前提!D$65</f>
        <v>191153872.976371</v>
      </c>
      <c r="E25" s="12" t="n">
        <f aca="false">③前提!$C$21*③前提!E$65</f>
        <v>155114364.067033</v>
      </c>
      <c r="F25" s="12" t="n">
        <f aca="false">③前提!$C$21*③前提!F$65</f>
        <v>163891986.956596</v>
      </c>
      <c r="G25" s="8" t="n">
        <f aca="false">SUM(C25:F25)</f>
        <v>510160224</v>
      </c>
    </row>
    <row r="26" customFormat="false" ht="15" hidden="false" customHeight="false" outlineLevel="0" collapsed="false">
      <c r="B26" s="10" t="s">
        <v>183</v>
      </c>
      <c r="C26" s="12" t="n">
        <f aca="false">0</f>
        <v>0</v>
      </c>
      <c r="D26" s="12" t="n">
        <f aca="false">0</f>
        <v>0</v>
      </c>
      <c r="E26" s="12" t="n">
        <f aca="false">②シナリオ比較!$G$7</f>
        <v>147513573</v>
      </c>
      <c r="F26" s="12" t="n">
        <f aca="false">0</f>
        <v>0</v>
      </c>
      <c r="G26" s="8" t="n">
        <f aca="false">SUM(C26:F26)</f>
        <v>147513573</v>
      </c>
    </row>
    <row r="27" customFormat="false" ht="15" hidden="false" customHeight="false" outlineLevel="0" collapsed="false">
      <c r="B27" s="10" t="s">
        <v>168</v>
      </c>
      <c r="C27" s="12" t="n">
        <f aca="false">SUMIF(③前提!$G$36:$G$40,"本部",③前提!E$36:E$40)</f>
        <v>122500000</v>
      </c>
      <c r="D27" s="12" t="n">
        <f aca="false">SUMIF(③前提!$G$36:$G$40,"EC/酒販店卸",③前提!E$36:E$40)</f>
        <v>0</v>
      </c>
      <c r="E27" s="12" t="n">
        <f aca="false">SUMIF(③前提!$G$36:$G$40,"ワインテック",③前提!E$36:E$40)</f>
        <v>0</v>
      </c>
      <c r="F27" s="12" t="n">
        <f aca="false">SUMIF(③前提!$G$36:$G$40,"その他",③前提!E$36:E$40)</f>
        <v>20000000</v>
      </c>
      <c r="G27" s="8" t="n">
        <f aca="false">SUM(C27:F27)</f>
        <v>142500000</v>
      </c>
    </row>
    <row r="28" customFormat="false" ht="15" hidden="false" customHeight="false" outlineLevel="0" collapsed="false">
      <c r="B28" s="25" t="s">
        <v>184</v>
      </c>
      <c r="C28" s="8" t="n">
        <f aca="false">SUM(C25:C27)</f>
        <v>122500000</v>
      </c>
      <c r="D28" s="8" t="n">
        <f aca="false">SUM(D25:D27)</f>
        <v>191153872.976371</v>
      </c>
      <c r="E28" s="8" t="n">
        <f aca="false">SUM(E25:E27)</f>
        <v>302627937.067033</v>
      </c>
      <c r="F28" s="8" t="n">
        <f aca="false">SUM(F25:F27)</f>
        <v>183891986.956596</v>
      </c>
      <c r="G28" s="8" t="n">
        <f aca="false">SUM(C28:F28)</f>
        <v>800173797</v>
      </c>
    </row>
    <row r="29" customFormat="false" ht="15" hidden="false" customHeight="false" outlineLevel="0" collapsed="false">
      <c r="B29" s="10" t="s">
        <v>185</v>
      </c>
      <c r="C29" s="12" t="n">
        <f aca="false">③前提!$C$22*③前提!C$66</f>
        <v>0</v>
      </c>
      <c r="D29" s="12" t="n">
        <f aca="false">③前提!$C$22*③前提!D$66</f>
        <v>47620404.9162576</v>
      </c>
      <c r="E29" s="12" t="n">
        <f aca="false">③前提!$C$22*③前提!E$66</f>
        <v>37079948.9098094</v>
      </c>
      <c r="F29" s="12" t="n">
        <f aca="false">③前提!$C$22*③前提!F$66</f>
        <v>144134275.173933</v>
      </c>
      <c r="G29" s="8" t="n">
        <f aca="false">SUM(C29:F29)</f>
        <v>228834629</v>
      </c>
    </row>
    <row r="30" customFormat="false" ht="15" hidden="false" customHeight="false" outlineLevel="0" collapsed="false">
      <c r="B30" s="10" t="s">
        <v>186</v>
      </c>
      <c r="C30" s="12" t="n">
        <f aca="false">C26*③前提!$C$32</f>
        <v>0</v>
      </c>
      <c r="D30" s="12" t="n">
        <f aca="false">D26*③前提!$C$32</f>
        <v>0</v>
      </c>
      <c r="E30" s="12" t="n">
        <f aca="false">E26*③前提!$C$32</f>
        <v>44254071.9</v>
      </c>
      <c r="F30" s="12" t="n">
        <f aca="false">F26*③前提!$C$32</f>
        <v>0</v>
      </c>
      <c r="G30" s="8" t="n">
        <f aca="false">SUM(C30:F30)</f>
        <v>44254071.9</v>
      </c>
    </row>
    <row r="31" customFormat="false" ht="15" hidden="false" customHeight="false" outlineLevel="0" collapsed="false">
      <c r="B31" s="10" t="s">
        <v>187</v>
      </c>
      <c r="C31" s="12" t="n">
        <f aca="false">C27</f>
        <v>122500000</v>
      </c>
      <c r="D31" s="12" t="n">
        <f aca="false">D27</f>
        <v>0</v>
      </c>
      <c r="E31" s="12" t="n">
        <f aca="false">E27</f>
        <v>0</v>
      </c>
      <c r="F31" s="12" t="n">
        <f aca="false">F27</f>
        <v>20000000</v>
      </c>
      <c r="G31" s="8" t="n">
        <f aca="false">SUM(C31:F31)</f>
        <v>142500000</v>
      </c>
    </row>
    <row r="32" customFormat="false" ht="15" hidden="false" customHeight="false" outlineLevel="0" collapsed="false">
      <c r="B32" s="25" t="s">
        <v>188</v>
      </c>
      <c r="C32" s="8" t="n">
        <f aca="false">SUM(C29:C31)</f>
        <v>122500000</v>
      </c>
      <c r="D32" s="8" t="n">
        <f aca="false">SUM(D29:D31)</f>
        <v>47620404.9162576</v>
      </c>
      <c r="E32" s="8" t="n">
        <f aca="false">SUM(E29:E31)</f>
        <v>81334020.8098094</v>
      </c>
      <c r="F32" s="8" t="n">
        <f aca="false">SUM(F29:F31)</f>
        <v>164134275.173933</v>
      </c>
      <c r="G32" s="8" t="n">
        <f aca="false">SUM(C32:F32)</f>
        <v>415588700.9</v>
      </c>
    </row>
    <row r="33" customFormat="false" ht="15" hidden="false" customHeight="false" outlineLevel="0" collapsed="false">
      <c r="B33" s="10" t="s">
        <v>137</v>
      </c>
      <c r="C33" s="12" t="n">
        <f aca="false">②シナリオ比較!$G$13*③前提!C$67</f>
        <v>34147292.7038664</v>
      </c>
      <c r="D33" s="12" t="n">
        <f aca="false">②シナリオ比較!$G$13*③前提!D$67</f>
        <v>13830384.7221852</v>
      </c>
      <c r="E33" s="12" t="n">
        <f aca="false">②シナリオ比較!$G$13*③前提!E$67</f>
        <v>26265856.1880502</v>
      </c>
      <c r="F33" s="12" t="n">
        <f aca="false">②シナリオ比較!$G$13*③前提!F$67</f>
        <v>7064835.3058983</v>
      </c>
      <c r="G33" s="8" t="n">
        <f aca="false">SUM(C33:F33)</f>
        <v>81308368.92</v>
      </c>
    </row>
    <row r="34" customFormat="false" ht="15" hidden="false" customHeight="false" outlineLevel="0" collapsed="false">
      <c r="B34" s="10" t="s">
        <v>170</v>
      </c>
      <c r="C34" s="12" t="n">
        <f aca="false">②シナリオ比較!$G$14*③前提!C$68</f>
        <v>42587764.1055064</v>
      </c>
      <c r="D34" s="12" t="n">
        <f aca="false">②シナリオ比較!$G$14*③前提!D$68</f>
        <v>30749576.4763376</v>
      </c>
      <c r="E34" s="12" t="n">
        <f aca="false">②シナリオ比較!$G$14*③前提!E$68</f>
        <v>55485763.4615215</v>
      </c>
      <c r="F34" s="12" t="n">
        <f aca="false">②シナリオ比較!$G$14*③前提!F$68</f>
        <v>113866465.956635</v>
      </c>
      <c r="G34" s="8" t="n">
        <f aca="false">SUM(C34:F34)</f>
        <v>242689570</v>
      </c>
    </row>
    <row r="35" customFormat="false" ht="15" hidden="false" customHeight="false" outlineLevel="0" collapsed="false">
      <c r="B35" s="25" t="s">
        <v>189</v>
      </c>
      <c r="C35" s="8" t="n">
        <f aca="false">C33+C34</f>
        <v>76735056.8093728</v>
      </c>
      <c r="D35" s="8" t="n">
        <f aca="false">D33+D34</f>
        <v>44579961.1985228</v>
      </c>
      <c r="E35" s="8" t="n">
        <f aca="false">E33+E34</f>
        <v>81751619.6495717</v>
      </c>
      <c r="F35" s="8" t="n">
        <f aca="false">F33+F34</f>
        <v>120931301.262533</v>
      </c>
      <c r="G35" s="8" t="n">
        <f aca="false">SUM(C35:F35)</f>
        <v>323997938.92</v>
      </c>
    </row>
    <row r="36" customFormat="false" ht="15" hidden="false" customHeight="false" outlineLevel="0" collapsed="false">
      <c r="B36" s="25" t="s">
        <v>34</v>
      </c>
      <c r="C36" s="15" t="n">
        <f aca="false">C32-C35</f>
        <v>45764943.1906272</v>
      </c>
      <c r="D36" s="15" t="n">
        <f aca="false">D32-D35</f>
        <v>3040443.71773484</v>
      </c>
      <c r="E36" s="15" t="n">
        <f aca="false">E32-E35</f>
        <v>-417598.839762241</v>
      </c>
      <c r="F36" s="15" t="n">
        <f aca="false">F32-F35</f>
        <v>43202973.9114001</v>
      </c>
      <c r="G36" s="8" t="n">
        <f aca="false">SUM(C36:F36)</f>
        <v>91590761.98</v>
      </c>
    </row>
    <row r="37" customFormat="false" ht="15" hidden="false" customHeight="false" outlineLevel="0" collapsed="false">
      <c r="B37" s="10" t="s">
        <v>190</v>
      </c>
      <c r="C37" s="12" t="n">
        <f aca="false">$C35</f>
        <v>76735056.8093728</v>
      </c>
      <c r="D37" s="12" t="n">
        <f aca="false">-$C35*D32/SUM($D32:$F32)</f>
        <v>-12467742.5820695</v>
      </c>
      <c r="E37" s="12" t="n">
        <f aca="false">-$C35*E32/SUM($D32:$F32)</f>
        <v>-21294477.3654201</v>
      </c>
      <c r="F37" s="12" t="n">
        <f aca="false">-$C35*F32/SUM($D32:$F32)</f>
        <v>-42972836.8618832</v>
      </c>
      <c r="G37" s="8" t="n">
        <f aca="false">SUM(C37:F37)</f>
        <v>0</v>
      </c>
    </row>
    <row r="38" customFormat="false" ht="15" hidden="false" customHeight="false" outlineLevel="0" collapsed="false">
      <c r="B38" s="25" t="s">
        <v>191</v>
      </c>
      <c r="C38" s="15" t="n">
        <f aca="false">C36+C37</f>
        <v>122500000</v>
      </c>
      <c r="D38" s="15" t="n">
        <f aca="false">D36+D37</f>
        <v>-9427298.86433467</v>
      </c>
      <c r="E38" s="15" t="n">
        <f aca="false">E36+E37</f>
        <v>-21712076.2051824</v>
      </c>
      <c r="F38" s="15" t="n">
        <f aca="false">F36+F37</f>
        <v>230137.049516976</v>
      </c>
      <c r="G38" s="8" t="n">
        <f aca="false">SUM(C38:F38)</f>
        <v>91590761.98</v>
      </c>
    </row>
    <row r="39" customFormat="false" ht="15" hidden="false" customHeight="false" outlineLevel="0" collapsed="false">
      <c r="B39" s="13" t="s">
        <v>192</v>
      </c>
      <c r="G39" s="12" t="n">
        <f aca="false">G36-②シナリオ比較!$G$16</f>
        <v>0</v>
      </c>
    </row>
    <row r="41" customFormat="false" ht="15" hidden="false" customHeight="false" outlineLevel="0" collapsed="false">
      <c r="B41" s="3" t="s">
        <v>194</v>
      </c>
      <c r="C41" s="4"/>
      <c r="D41" s="4"/>
      <c r="E41" s="4"/>
      <c r="F41" s="4"/>
      <c r="G41" s="4"/>
    </row>
    <row r="42" customFormat="false" ht="15" hidden="false" customHeight="false" outlineLevel="0" collapsed="false">
      <c r="B42" s="5" t="s">
        <v>3</v>
      </c>
      <c r="C42" s="5" t="s">
        <v>94</v>
      </c>
      <c r="D42" s="6" t="s">
        <v>132</v>
      </c>
      <c r="E42" s="5" t="s">
        <v>133</v>
      </c>
      <c r="F42" s="5" t="s">
        <v>102</v>
      </c>
      <c r="G42" s="5" t="s">
        <v>134</v>
      </c>
    </row>
    <row r="43" customFormat="false" ht="15" hidden="false" customHeight="false" outlineLevel="0" collapsed="false">
      <c r="B43" s="10" t="s">
        <v>135</v>
      </c>
      <c r="C43" s="12" t="n">
        <f aca="false">③前提!$C$21*③前提!C$65</f>
        <v>0</v>
      </c>
      <c r="D43" s="12" t="n">
        <f aca="false">③前提!$C$21*③前提!D$65</f>
        <v>191153872.976371</v>
      </c>
      <c r="E43" s="12" t="n">
        <f aca="false">③前提!$C$21*③前提!E$65</f>
        <v>155114364.067033</v>
      </c>
      <c r="F43" s="12" t="n">
        <f aca="false">③前提!$C$21*③前提!F$65</f>
        <v>163891986.956596</v>
      </c>
      <c r="G43" s="8" t="n">
        <f aca="false">SUM(C43:F43)</f>
        <v>510160224</v>
      </c>
    </row>
    <row r="44" customFormat="false" ht="15" hidden="false" customHeight="false" outlineLevel="0" collapsed="false">
      <c r="B44" s="10" t="s">
        <v>183</v>
      </c>
      <c r="C44" s="12" t="n">
        <f aca="false">0</f>
        <v>0</v>
      </c>
      <c r="D44" s="12" t="n">
        <f aca="false">0</f>
        <v>0</v>
      </c>
      <c r="E44" s="12" t="n">
        <f aca="false">②シナリオ比較!$H$7</f>
        <v>147513573</v>
      </c>
      <c r="F44" s="12" t="n">
        <f aca="false">0</f>
        <v>0</v>
      </c>
      <c r="G44" s="8" t="n">
        <f aca="false">SUM(C44:F44)</f>
        <v>147513573</v>
      </c>
    </row>
    <row r="45" customFormat="false" ht="15" hidden="false" customHeight="false" outlineLevel="0" collapsed="false">
      <c r="B45" s="10" t="s">
        <v>168</v>
      </c>
      <c r="C45" s="12" t="n">
        <f aca="false">SUMIF(③前提!$G$36:$G$40,"本部",③前提!F$36:F$40)</f>
        <v>122500000</v>
      </c>
      <c r="D45" s="12" t="n">
        <f aca="false">SUMIF(③前提!$G$36:$G$40,"EC/酒販店卸",③前提!F$36:F$40)</f>
        <v>0</v>
      </c>
      <c r="E45" s="12" t="n">
        <f aca="false">SUMIF(③前提!$G$36:$G$40,"ワインテック",③前提!F$36:F$40)</f>
        <v>0</v>
      </c>
      <c r="F45" s="12" t="n">
        <f aca="false">SUMIF(③前提!$G$36:$G$40,"その他",③前提!F$36:F$40)</f>
        <v>20000000</v>
      </c>
      <c r="G45" s="8" t="n">
        <f aca="false">SUM(C45:F45)</f>
        <v>142500000</v>
      </c>
    </row>
    <row r="46" customFormat="false" ht="15" hidden="false" customHeight="false" outlineLevel="0" collapsed="false">
      <c r="B46" s="25" t="s">
        <v>184</v>
      </c>
      <c r="C46" s="8" t="n">
        <f aca="false">SUM(C43:C45)</f>
        <v>122500000</v>
      </c>
      <c r="D46" s="8" t="n">
        <f aca="false">SUM(D43:D45)</f>
        <v>191153872.976371</v>
      </c>
      <c r="E46" s="8" t="n">
        <f aca="false">SUM(E43:E45)</f>
        <v>302627937.067033</v>
      </c>
      <c r="F46" s="8" t="n">
        <f aca="false">SUM(F43:F45)</f>
        <v>183891986.956596</v>
      </c>
      <c r="G46" s="8" t="n">
        <f aca="false">SUM(C46:F46)</f>
        <v>800173797</v>
      </c>
    </row>
    <row r="47" customFormat="false" ht="15" hidden="false" customHeight="false" outlineLevel="0" collapsed="false">
      <c r="B47" s="10" t="s">
        <v>185</v>
      </c>
      <c r="C47" s="12" t="n">
        <f aca="false">③前提!$C$22*③前提!C$66</f>
        <v>0</v>
      </c>
      <c r="D47" s="12" t="n">
        <f aca="false">③前提!$C$22*③前提!D$66</f>
        <v>47620404.9162576</v>
      </c>
      <c r="E47" s="12" t="n">
        <f aca="false">③前提!$C$22*③前提!E$66</f>
        <v>37079948.9098094</v>
      </c>
      <c r="F47" s="12" t="n">
        <f aca="false">③前提!$C$22*③前提!F$66</f>
        <v>144134275.173933</v>
      </c>
      <c r="G47" s="8" t="n">
        <f aca="false">SUM(C47:F47)</f>
        <v>228834629</v>
      </c>
    </row>
    <row r="48" customFormat="false" ht="15" hidden="false" customHeight="false" outlineLevel="0" collapsed="false">
      <c r="B48" s="10" t="s">
        <v>186</v>
      </c>
      <c r="C48" s="12" t="n">
        <f aca="false">C44*③前提!$C$32</f>
        <v>0</v>
      </c>
      <c r="D48" s="12" t="n">
        <f aca="false">D44*③前提!$C$32</f>
        <v>0</v>
      </c>
      <c r="E48" s="12" t="n">
        <f aca="false">E44*③前提!$C$32</f>
        <v>44254071.9</v>
      </c>
      <c r="F48" s="12" t="n">
        <f aca="false">F44*③前提!$C$32</f>
        <v>0</v>
      </c>
      <c r="G48" s="8" t="n">
        <f aca="false">SUM(C48:F48)</f>
        <v>44254071.9</v>
      </c>
    </row>
    <row r="49" customFormat="false" ht="15" hidden="false" customHeight="false" outlineLevel="0" collapsed="false">
      <c r="B49" s="10" t="s">
        <v>187</v>
      </c>
      <c r="C49" s="12" t="n">
        <f aca="false">C45</f>
        <v>122500000</v>
      </c>
      <c r="D49" s="12" t="n">
        <f aca="false">D45</f>
        <v>0</v>
      </c>
      <c r="E49" s="12" t="n">
        <f aca="false">E45</f>
        <v>0</v>
      </c>
      <c r="F49" s="12" t="n">
        <f aca="false">F45</f>
        <v>20000000</v>
      </c>
      <c r="G49" s="8" t="n">
        <f aca="false">SUM(C49:F49)</f>
        <v>142500000</v>
      </c>
    </row>
    <row r="50" customFormat="false" ht="15" hidden="false" customHeight="false" outlineLevel="0" collapsed="false">
      <c r="B50" s="25" t="s">
        <v>188</v>
      </c>
      <c r="C50" s="8" t="n">
        <f aca="false">SUM(C47:C49)</f>
        <v>122500000</v>
      </c>
      <c r="D50" s="8" t="n">
        <f aca="false">SUM(D47:D49)</f>
        <v>47620404.9162576</v>
      </c>
      <c r="E50" s="8" t="n">
        <f aca="false">SUM(E47:E49)</f>
        <v>81334020.8098094</v>
      </c>
      <c r="F50" s="8" t="n">
        <f aca="false">SUM(F47:F49)</f>
        <v>164134275.173933</v>
      </c>
      <c r="G50" s="8" t="n">
        <f aca="false">SUM(C50:F50)</f>
        <v>415588700.9</v>
      </c>
    </row>
    <row r="51" customFormat="false" ht="15" hidden="false" customHeight="false" outlineLevel="0" collapsed="false">
      <c r="B51" s="10" t="s">
        <v>137</v>
      </c>
      <c r="C51" s="12" t="n">
        <f aca="false">②シナリオ比較!$H$13*③前提!C$67</f>
        <v>35171711.4849824</v>
      </c>
      <c r="D51" s="12" t="n">
        <f aca="false">②シナリオ比較!$H$13*③前提!D$67</f>
        <v>14245296.2638507</v>
      </c>
      <c r="E51" s="12" t="n">
        <f aca="false">②シナリオ比較!$H$13*③前提!E$67</f>
        <v>27053831.8736917</v>
      </c>
      <c r="F51" s="12" t="n">
        <f aca="false">②シナリオ比較!$H$13*③前提!F$67</f>
        <v>7276780.36507525</v>
      </c>
      <c r="G51" s="8" t="n">
        <f aca="false">SUM(C51:F51)</f>
        <v>83747619.9876</v>
      </c>
    </row>
    <row r="52" customFormat="false" ht="15" hidden="false" customHeight="false" outlineLevel="0" collapsed="false">
      <c r="B52" s="10" t="s">
        <v>170</v>
      </c>
      <c r="C52" s="12" t="n">
        <f aca="false">②シナリオ比較!$H$14*③前提!C$68</f>
        <v>42587764.1055064</v>
      </c>
      <c r="D52" s="12" t="n">
        <f aca="false">②シナリオ比較!$H$14*③前提!D$68</f>
        <v>30749576.4763376</v>
      </c>
      <c r="E52" s="12" t="n">
        <f aca="false">②シナリオ比較!$H$14*③前提!E$68</f>
        <v>55485763.4615215</v>
      </c>
      <c r="F52" s="12" t="n">
        <f aca="false">②シナリオ比較!$H$14*③前提!F$68</f>
        <v>113866465.956635</v>
      </c>
      <c r="G52" s="8" t="n">
        <f aca="false">SUM(C52:F52)</f>
        <v>242689570</v>
      </c>
    </row>
    <row r="53" customFormat="false" ht="15" hidden="false" customHeight="false" outlineLevel="0" collapsed="false">
      <c r="B53" s="25" t="s">
        <v>189</v>
      </c>
      <c r="C53" s="8" t="n">
        <f aca="false">C51+C52</f>
        <v>77759475.5904888</v>
      </c>
      <c r="D53" s="8" t="n">
        <f aca="false">D51+D52</f>
        <v>44994872.7401883</v>
      </c>
      <c r="E53" s="8" t="n">
        <f aca="false">E51+E52</f>
        <v>82539595.3352132</v>
      </c>
      <c r="F53" s="8" t="n">
        <f aca="false">F51+F52</f>
        <v>121143246.32171</v>
      </c>
      <c r="G53" s="8" t="n">
        <f aca="false">SUM(C53:F53)</f>
        <v>326437189.9876</v>
      </c>
    </row>
    <row r="54" customFormat="false" ht="15" hidden="false" customHeight="false" outlineLevel="0" collapsed="false">
      <c r="B54" s="25" t="s">
        <v>34</v>
      </c>
      <c r="C54" s="15" t="n">
        <f aca="false">C50-C53</f>
        <v>44740524.4095112</v>
      </c>
      <c r="D54" s="15" t="n">
        <f aca="false">D50-D53</f>
        <v>2625532.17606929</v>
      </c>
      <c r="E54" s="15" t="n">
        <f aca="false">E50-E53</f>
        <v>-1205574.52540374</v>
      </c>
      <c r="F54" s="15" t="n">
        <f aca="false">F50-F53</f>
        <v>42991028.8522232</v>
      </c>
      <c r="G54" s="8" t="n">
        <f aca="false">SUM(C54:F54)</f>
        <v>89151510.9124</v>
      </c>
    </row>
    <row r="55" customFormat="false" ht="15" hidden="false" customHeight="false" outlineLevel="0" collapsed="false">
      <c r="B55" s="10" t="s">
        <v>190</v>
      </c>
      <c r="C55" s="12" t="n">
        <f aca="false">$C53</f>
        <v>77759475.5904888</v>
      </c>
      <c r="D55" s="12" t="n">
        <f aca="false">-$C53*D50/SUM($D50:$F50)</f>
        <v>-12634187.8834775</v>
      </c>
      <c r="E55" s="12" t="n">
        <f aca="false">-$C53*E50/SUM($D50:$F50)</f>
        <v>-21578760.2402133</v>
      </c>
      <c r="F55" s="12" t="n">
        <f aca="false">-$C53*F50/SUM($D50:$F50)</f>
        <v>-43546527.466798</v>
      </c>
      <c r="G55" s="8" t="n">
        <f aca="false">SUM(C55:F55)</f>
        <v>0</v>
      </c>
    </row>
    <row r="56" customFormat="false" ht="15" hidden="false" customHeight="false" outlineLevel="0" collapsed="false">
      <c r="B56" s="25" t="s">
        <v>191</v>
      </c>
      <c r="C56" s="15" t="n">
        <f aca="false">C54+C55</f>
        <v>122500000</v>
      </c>
      <c r="D56" s="15" t="n">
        <f aca="false">D54+D55</f>
        <v>-10008655.7074082</v>
      </c>
      <c r="E56" s="15" t="n">
        <f aca="false">E54+E55</f>
        <v>-22784334.765617</v>
      </c>
      <c r="F56" s="15" t="n">
        <f aca="false">F54+F55</f>
        <v>-555498.61457485</v>
      </c>
      <c r="G56" s="8" t="n">
        <f aca="false">SUM(C56:F56)</f>
        <v>89151510.9124</v>
      </c>
    </row>
    <row r="57" customFormat="false" ht="15" hidden="false" customHeight="false" outlineLevel="0" collapsed="false">
      <c r="B57" s="13" t="s">
        <v>192</v>
      </c>
      <c r="G57" s="12" t="n">
        <f aca="false">G54-②シナリオ比較!$H$16</f>
        <v>0</v>
      </c>
    </row>
    <row r="59" customFormat="false" ht="15" hidden="false" customHeight="false" outlineLevel="0" collapsed="false">
      <c r="B59" s="24" t="s">
        <v>195</v>
      </c>
    </row>
    <row r="60" customFormat="false" ht="15" hidden="false" customHeight="false" outlineLevel="0" collapsed="false">
      <c r="B60" s="24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5" min="3" style="0" width="13"/>
  </cols>
  <sheetData>
    <row r="1" customFormat="false" ht="20.1" hidden="false" customHeight="false" outlineLevel="0" collapsed="false">
      <c r="B1" s="34" t="s">
        <v>197</v>
      </c>
    </row>
    <row r="2" customFormat="false" ht="15" hidden="false" customHeight="false" outlineLevel="0" collapsed="false">
      <c r="B2" s="13" t="s">
        <v>198</v>
      </c>
    </row>
    <row r="5" customFormat="false" ht="15" hidden="false" customHeight="false" outlineLevel="0" collapsed="false">
      <c r="B5" s="3" t="s">
        <v>199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customFormat="false" ht="15" hidden="false" customHeight="false" outlineLevel="0" collapsed="false">
      <c r="B6" s="5" t="s">
        <v>3</v>
      </c>
      <c r="C6" s="6" t="s">
        <v>200</v>
      </c>
      <c r="D6" s="6" t="s">
        <v>201</v>
      </c>
      <c r="E6" s="6" t="s">
        <v>202</v>
      </c>
      <c r="F6" s="6" t="s">
        <v>203</v>
      </c>
      <c r="G6" s="6" t="s">
        <v>204</v>
      </c>
      <c r="H6" s="6" t="s">
        <v>205</v>
      </c>
      <c r="I6" s="6" t="s">
        <v>206</v>
      </c>
      <c r="J6" s="6" t="s">
        <v>207</v>
      </c>
      <c r="K6" s="6" t="s">
        <v>208</v>
      </c>
      <c r="L6" s="6" t="s">
        <v>209</v>
      </c>
      <c r="M6" s="6" t="s">
        <v>210</v>
      </c>
      <c r="N6" s="6" t="s">
        <v>211</v>
      </c>
      <c r="O6" s="5" t="s">
        <v>212</v>
      </c>
    </row>
    <row r="7" customFormat="false" ht="15" hidden="false" customHeight="false" outlineLevel="0" collapsed="false">
      <c r="B7" s="10" t="s">
        <v>27</v>
      </c>
      <c r="C7" s="12" t="n">
        <f aca="false">(⑤部門別損益!C7+⑤部門別損益!C8)/12+IF(③前提!$G$36="本部",IF(③前提!$H$36=0,③前提!$D$36/12,IF(③前提!$H$36=1,③前提!$D$36,0)),0)+IF(③前提!$G$37="本部",IF(③前提!$H$37=0,③前提!$D$37/12,IF(③前提!$H$37=1,③前提!$D$37,0)),0)+IF(③前提!$G$38="本部",IF(③前提!$H$38=0,③前提!$D$38/12,IF(③前提!$H$38=1,③前提!$D$38,0)),0)+IF(③前提!$G$39="本部",IF(③前提!$H$39=0,③前提!$D$39/12,IF(③前提!$H$39=1,③前提!$D$39,0)),0)+IF(③前提!$G$40="本部",IF(③前提!$H$40=0,③前提!$D$40/12,IF(③前提!$H$40=1,③前提!$D$40,0)),0)</f>
        <v>7708333.33333333</v>
      </c>
      <c r="D7" s="12" t="n">
        <f aca="false">(⑤部門別損益!C7+⑤部門別損益!C8)/12+IF(③前提!$G$36="本部",IF(③前提!$H$36=0,③前提!$D$36/12,IF(③前提!$H$36=2,③前提!$D$36,0)),0)+IF(③前提!$G$37="本部",IF(③前提!$H$37=0,③前提!$D$37/12,IF(③前提!$H$37=2,③前提!$D$37,0)),0)+IF(③前提!$G$38="本部",IF(③前提!$H$38=0,③前提!$D$38/12,IF(③前提!$H$38=2,③前提!$D$38,0)),0)+IF(③前提!$G$39="本部",IF(③前提!$H$39=0,③前提!$D$39/12,IF(③前提!$H$39=2,③前提!$D$39,0)),0)+IF(③前提!$G$40="本部",IF(③前提!$H$40=0,③前提!$D$40/12,IF(③前提!$H$40=2,③前提!$D$40,0)),0)</f>
        <v>7708333.33333333</v>
      </c>
      <c r="E7" s="12" t="n">
        <f aca="false">(⑤部門別損益!C7+⑤部門別損益!C8)/12+IF(③前提!$G$36="本部",IF(③前提!$H$36=0,③前提!$D$36/12,IF(③前提!$H$36=3,③前提!$D$36,0)),0)+IF(③前提!$G$37="本部",IF(③前提!$H$37=0,③前提!$D$37/12,IF(③前提!$H$37=3,③前提!$D$37,0)),0)+IF(③前提!$G$38="本部",IF(③前提!$H$38=0,③前提!$D$38/12,IF(③前提!$H$38=3,③前提!$D$38,0)),0)+IF(③前提!$G$39="本部",IF(③前提!$H$39=0,③前提!$D$39/12,IF(③前提!$H$39=3,③前提!$D$39,0)),0)+IF(③前提!$G$40="本部",IF(③前提!$H$40=0,③前提!$D$40/12,IF(③前提!$H$40=3,③前提!$D$40,0)),0)</f>
        <v>7708333.33333333</v>
      </c>
      <c r="F7" s="12" t="n">
        <f aca="false">(⑤部門別損益!C7+⑤部門別損益!C8)/12+IF(③前提!$G$36="本部",IF(③前提!$H$36=0,③前提!$D$36/12,IF(③前提!$H$36=4,③前提!$D$36,0)),0)+IF(③前提!$G$37="本部",IF(③前提!$H$37=0,③前提!$D$37/12,IF(③前提!$H$37=4,③前提!$D$37,0)),0)+IF(③前提!$G$38="本部",IF(③前提!$H$38=0,③前提!$D$38/12,IF(③前提!$H$38=4,③前提!$D$38,0)),0)+IF(③前提!$G$39="本部",IF(③前提!$H$39=0,③前提!$D$39/12,IF(③前提!$H$39=4,③前提!$D$39,0)),0)+IF(③前提!$G$40="本部",IF(③前提!$H$40=0,③前提!$D$40/12,IF(③前提!$H$40=4,③前提!$D$40,0)),0)</f>
        <v>7708333.33333333</v>
      </c>
      <c r="G7" s="12" t="n">
        <f aca="false">(⑤部門別損益!C7+⑤部門別損益!C8)/12+IF(③前提!$G$36="本部",IF(③前提!$H$36=0,③前提!$D$36/12,IF(③前提!$H$36=5,③前提!$D$36,0)),0)+IF(③前提!$G$37="本部",IF(③前提!$H$37=0,③前提!$D$37/12,IF(③前提!$H$37=5,③前提!$D$37,0)),0)+IF(③前提!$G$38="本部",IF(③前提!$H$38=0,③前提!$D$38/12,IF(③前提!$H$38=5,③前提!$D$38,0)),0)+IF(③前提!$G$39="本部",IF(③前提!$H$39=0,③前提!$D$39/12,IF(③前提!$H$39=5,③前提!$D$39,0)),0)+IF(③前提!$G$40="本部",IF(③前提!$H$40=0,③前提!$D$40/12,IF(③前提!$H$40=5,③前提!$D$40,0)),0)</f>
        <v>7708333.33333333</v>
      </c>
      <c r="H7" s="12" t="n">
        <f aca="false">(⑤部門別損益!C7+⑤部門別損益!C8)/12+IF(③前提!$G$36="本部",IF(③前提!$H$36=0,③前提!$D$36/12,IF(③前提!$H$36=6,③前提!$D$36,0)),0)+IF(③前提!$G$37="本部",IF(③前提!$H$37=0,③前提!$D$37/12,IF(③前提!$H$37=6,③前提!$D$37,0)),0)+IF(③前提!$G$38="本部",IF(③前提!$H$38=0,③前提!$D$38/12,IF(③前提!$H$38=6,③前提!$D$38,0)),0)+IF(③前提!$G$39="本部",IF(③前提!$H$39=0,③前提!$D$39/12,IF(③前提!$H$39=6,③前提!$D$39,0)),0)+IF(③前提!$G$40="本部",IF(③前提!$H$40=0,③前提!$D$40/12,IF(③前提!$H$40=6,③前提!$D$40,0)),0)</f>
        <v>7708333.33333333</v>
      </c>
      <c r="I7" s="12" t="n">
        <f aca="false">(⑤部門別損益!C7+⑤部門別損益!C8)/12+IF(③前提!$G$36="本部",IF(③前提!$H$36=0,③前提!$D$36/12,IF(③前提!$H$36=7,③前提!$D$36,0)),0)+IF(③前提!$G$37="本部",IF(③前提!$H$37=0,③前提!$D$37/12,IF(③前提!$H$37=7,③前提!$D$37,0)),0)+IF(③前提!$G$38="本部",IF(③前提!$H$38=0,③前提!$D$38/12,IF(③前提!$H$38=7,③前提!$D$38,0)),0)+IF(③前提!$G$39="本部",IF(③前提!$H$39=0,③前提!$D$39/12,IF(③前提!$H$39=7,③前提!$D$39,0)),0)+IF(③前提!$G$40="本部",IF(③前提!$H$40=0,③前提!$D$40/12,IF(③前提!$H$40=7,③前提!$D$40,0)),0)</f>
        <v>7708333.33333333</v>
      </c>
      <c r="J7" s="12" t="n">
        <f aca="false">(⑤部門別損益!C7+⑤部門別損益!C8)/12+IF(③前提!$G$36="本部",IF(③前提!$H$36=0,③前提!$D$36/12,IF(③前提!$H$36=8,③前提!$D$36,0)),0)+IF(③前提!$G$37="本部",IF(③前提!$H$37=0,③前提!$D$37/12,IF(③前提!$H$37=8,③前提!$D$37,0)),0)+IF(③前提!$G$38="本部",IF(③前提!$H$38=0,③前提!$D$38/12,IF(③前提!$H$38=8,③前提!$D$38,0)),0)+IF(③前提!$G$39="本部",IF(③前提!$H$39=0,③前提!$D$39/12,IF(③前提!$H$39=8,③前提!$D$39,0)),0)+IF(③前提!$G$40="本部",IF(③前提!$H$40=0,③前提!$D$40/12,IF(③前提!$H$40=8,③前提!$D$40,0)),0)</f>
        <v>7708333.33333333</v>
      </c>
      <c r="K7" s="12" t="n">
        <f aca="false">(⑤部門別損益!C7+⑤部門別損益!C8)/12+IF(③前提!$G$36="本部",IF(③前提!$H$36=0,③前提!$D$36/12,IF(③前提!$H$36=9,③前提!$D$36,0)),0)+IF(③前提!$G$37="本部",IF(③前提!$H$37=0,③前提!$D$37/12,IF(③前提!$H$37=9,③前提!$D$37,0)),0)+IF(③前提!$G$38="本部",IF(③前提!$H$38=0,③前提!$D$38/12,IF(③前提!$H$38=9,③前提!$D$38,0)),0)+IF(③前提!$G$39="本部",IF(③前提!$H$39=0,③前提!$D$39/12,IF(③前提!$H$39=9,③前提!$D$39,0)),0)+IF(③前提!$G$40="本部",IF(③前提!$H$40=0,③前提!$D$40/12,IF(③前提!$H$40=9,③前提!$D$40,0)),0)</f>
        <v>7708333.33333333</v>
      </c>
      <c r="L7" s="12" t="n">
        <f aca="false">(⑤部門別損益!C7+⑤部門別損益!C8)/12+IF(③前提!$G$36="本部",IF(③前提!$H$36=0,③前提!$D$36/12,IF(③前提!$H$36=10,③前提!$D$36,0)),0)+IF(③前提!$G$37="本部",IF(③前提!$H$37=0,③前提!$D$37/12,IF(③前提!$H$37=10,③前提!$D$37,0)),0)+IF(③前提!$G$38="本部",IF(③前提!$H$38=0,③前提!$D$38/12,IF(③前提!$H$38=10,③前提!$D$38,0)),0)+IF(③前提!$G$39="本部",IF(③前提!$H$39=0,③前提!$D$39/12,IF(③前提!$H$39=10,③前提!$D$39,0)),0)+IF(③前提!$G$40="本部",IF(③前提!$H$40=0,③前提!$D$40/12,IF(③前提!$H$40=10,③前提!$D$40,0)),0)</f>
        <v>7708333.33333333</v>
      </c>
      <c r="M7" s="12" t="n">
        <f aca="false">(⑤部門別損益!C7+⑤部門別損益!C8)/12+IF(③前提!$G$36="本部",IF(③前提!$H$36=0,③前提!$D$36/12,IF(③前提!$H$36=11,③前提!$D$36,0)),0)+IF(③前提!$G$37="本部",IF(③前提!$H$37=0,③前提!$D$37/12,IF(③前提!$H$37=11,③前提!$D$37,0)),0)+IF(③前提!$G$38="本部",IF(③前提!$H$38=0,③前提!$D$38/12,IF(③前提!$H$38=11,③前提!$D$38,0)),0)+IF(③前提!$G$39="本部",IF(③前提!$H$39=0,③前提!$D$39/12,IF(③前提!$H$39=11,③前提!$D$39,0)),0)+IF(③前提!$G$40="本部",IF(③前提!$H$40=0,③前提!$D$40/12,IF(③前提!$H$40=11,③前提!$D$40,0)),0)</f>
        <v>7708333.33333333</v>
      </c>
      <c r="N7" s="12" t="n">
        <f aca="false">(⑤部門別損益!C7+⑤部門別損益!C8)/12+IF(③前提!$G$36="本部",IF(③前提!$H$36=0,③前提!$D$36/12,IF(③前提!$H$36=12,③前提!$D$36,0)),0)+IF(③前提!$G$37="本部",IF(③前提!$H$37=0,③前提!$D$37/12,IF(③前提!$H$37=12,③前提!$D$37,0)),0)+IF(③前提!$G$38="本部",IF(③前提!$H$38=0,③前提!$D$38/12,IF(③前提!$H$38=12,③前提!$D$38,0)),0)+IF(③前提!$G$39="本部",IF(③前提!$H$39=0,③前提!$D$39/12,IF(③前提!$H$39=12,③前提!$D$39,0)),0)+IF(③前提!$G$40="本部",IF(③前提!$H$40=0,③前提!$D$40/12,IF(③前提!$H$40=12,③前提!$D$40,0)),0)</f>
        <v>7708333.33333333</v>
      </c>
      <c r="O7" s="8" t="n">
        <f aca="false">SUM(C7:N7)</f>
        <v>92500000</v>
      </c>
    </row>
    <row r="8" customFormat="false" ht="15" hidden="false" customHeight="false" outlineLevel="0" collapsed="false">
      <c r="B8" s="10" t="s">
        <v>33</v>
      </c>
      <c r="C8" s="12" t="n">
        <f aca="false">(⑤部門別損益!C11+⑤部門別損益!C12)/12+IF(③前提!$G$36="本部",IF(③前提!$H$36=0,③前提!$D$36/12,IF(③前提!$H$36=1,③前提!$D$36,0)),0)+IF(③前提!$G$37="本部",IF(③前提!$H$37=0,③前提!$D$37/12,IF(③前提!$H$37=1,③前提!$D$37,0)),0)+IF(③前提!$G$38="本部",IF(③前提!$H$38=0,③前提!$D$38/12,IF(③前提!$H$38=1,③前提!$D$38,0)),0)+IF(③前提!$G$39="本部",IF(③前提!$H$39=0,③前提!$D$39/12,IF(③前提!$H$39=1,③前提!$D$39,0)),0)+IF(③前提!$G$40="本部",IF(③前提!$H$40=0,③前提!$D$40/12,IF(③前提!$H$40=1,③前提!$D$40,0)),0)</f>
        <v>7708333.33333333</v>
      </c>
      <c r="D8" s="12" t="n">
        <f aca="false">(⑤部門別損益!C11+⑤部門別損益!C12)/12+IF(③前提!$G$36="本部",IF(③前提!$H$36=0,③前提!$D$36/12,IF(③前提!$H$36=2,③前提!$D$36,0)),0)+IF(③前提!$G$37="本部",IF(③前提!$H$37=0,③前提!$D$37/12,IF(③前提!$H$37=2,③前提!$D$37,0)),0)+IF(③前提!$G$38="本部",IF(③前提!$H$38=0,③前提!$D$38/12,IF(③前提!$H$38=2,③前提!$D$38,0)),0)+IF(③前提!$G$39="本部",IF(③前提!$H$39=0,③前提!$D$39/12,IF(③前提!$H$39=2,③前提!$D$39,0)),0)+IF(③前提!$G$40="本部",IF(③前提!$H$40=0,③前提!$D$40/12,IF(③前提!$H$40=2,③前提!$D$40,0)),0)</f>
        <v>7708333.33333333</v>
      </c>
      <c r="E8" s="12" t="n">
        <f aca="false">(⑤部門別損益!C11+⑤部門別損益!C12)/12+IF(③前提!$G$36="本部",IF(③前提!$H$36=0,③前提!$D$36/12,IF(③前提!$H$36=3,③前提!$D$36,0)),0)+IF(③前提!$G$37="本部",IF(③前提!$H$37=0,③前提!$D$37/12,IF(③前提!$H$37=3,③前提!$D$37,0)),0)+IF(③前提!$G$38="本部",IF(③前提!$H$38=0,③前提!$D$38/12,IF(③前提!$H$38=3,③前提!$D$38,0)),0)+IF(③前提!$G$39="本部",IF(③前提!$H$39=0,③前提!$D$39/12,IF(③前提!$H$39=3,③前提!$D$39,0)),0)+IF(③前提!$G$40="本部",IF(③前提!$H$40=0,③前提!$D$40/12,IF(③前提!$H$40=3,③前提!$D$40,0)),0)</f>
        <v>7708333.33333333</v>
      </c>
      <c r="F8" s="12" t="n">
        <f aca="false">(⑤部門別損益!C11+⑤部門別損益!C12)/12+IF(③前提!$G$36="本部",IF(③前提!$H$36=0,③前提!$D$36/12,IF(③前提!$H$36=4,③前提!$D$36,0)),0)+IF(③前提!$G$37="本部",IF(③前提!$H$37=0,③前提!$D$37/12,IF(③前提!$H$37=4,③前提!$D$37,0)),0)+IF(③前提!$G$38="本部",IF(③前提!$H$38=0,③前提!$D$38/12,IF(③前提!$H$38=4,③前提!$D$38,0)),0)+IF(③前提!$G$39="本部",IF(③前提!$H$39=0,③前提!$D$39/12,IF(③前提!$H$39=4,③前提!$D$39,0)),0)+IF(③前提!$G$40="本部",IF(③前提!$H$40=0,③前提!$D$40/12,IF(③前提!$H$40=4,③前提!$D$40,0)),0)</f>
        <v>7708333.33333333</v>
      </c>
      <c r="G8" s="12" t="n">
        <f aca="false">(⑤部門別損益!C11+⑤部門別損益!C12)/12+IF(③前提!$G$36="本部",IF(③前提!$H$36=0,③前提!$D$36/12,IF(③前提!$H$36=5,③前提!$D$36,0)),0)+IF(③前提!$G$37="本部",IF(③前提!$H$37=0,③前提!$D$37/12,IF(③前提!$H$37=5,③前提!$D$37,0)),0)+IF(③前提!$G$38="本部",IF(③前提!$H$38=0,③前提!$D$38/12,IF(③前提!$H$38=5,③前提!$D$38,0)),0)+IF(③前提!$G$39="本部",IF(③前提!$H$39=0,③前提!$D$39/12,IF(③前提!$H$39=5,③前提!$D$39,0)),0)+IF(③前提!$G$40="本部",IF(③前提!$H$40=0,③前提!$D$40/12,IF(③前提!$H$40=5,③前提!$D$40,0)),0)</f>
        <v>7708333.33333333</v>
      </c>
      <c r="H8" s="12" t="n">
        <f aca="false">(⑤部門別損益!C11+⑤部門別損益!C12)/12+IF(③前提!$G$36="本部",IF(③前提!$H$36=0,③前提!$D$36/12,IF(③前提!$H$36=6,③前提!$D$36,0)),0)+IF(③前提!$G$37="本部",IF(③前提!$H$37=0,③前提!$D$37/12,IF(③前提!$H$37=6,③前提!$D$37,0)),0)+IF(③前提!$G$38="本部",IF(③前提!$H$38=0,③前提!$D$38/12,IF(③前提!$H$38=6,③前提!$D$38,0)),0)+IF(③前提!$G$39="本部",IF(③前提!$H$39=0,③前提!$D$39/12,IF(③前提!$H$39=6,③前提!$D$39,0)),0)+IF(③前提!$G$40="本部",IF(③前提!$H$40=0,③前提!$D$40/12,IF(③前提!$H$40=6,③前提!$D$40,0)),0)</f>
        <v>7708333.33333333</v>
      </c>
      <c r="I8" s="12" t="n">
        <f aca="false">(⑤部門別損益!C11+⑤部門別損益!C12)/12+IF(③前提!$G$36="本部",IF(③前提!$H$36=0,③前提!$D$36/12,IF(③前提!$H$36=7,③前提!$D$36,0)),0)+IF(③前提!$G$37="本部",IF(③前提!$H$37=0,③前提!$D$37/12,IF(③前提!$H$37=7,③前提!$D$37,0)),0)+IF(③前提!$G$38="本部",IF(③前提!$H$38=0,③前提!$D$38/12,IF(③前提!$H$38=7,③前提!$D$38,0)),0)+IF(③前提!$G$39="本部",IF(③前提!$H$39=0,③前提!$D$39/12,IF(③前提!$H$39=7,③前提!$D$39,0)),0)+IF(③前提!$G$40="本部",IF(③前提!$H$40=0,③前提!$D$40/12,IF(③前提!$H$40=7,③前提!$D$40,0)),0)</f>
        <v>7708333.33333333</v>
      </c>
      <c r="J8" s="12" t="n">
        <f aca="false">(⑤部門別損益!C11+⑤部門別損益!C12)/12+IF(③前提!$G$36="本部",IF(③前提!$H$36=0,③前提!$D$36/12,IF(③前提!$H$36=8,③前提!$D$36,0)),0)+IF(③前提!$G$37="本部",IF(③前提!$H$37=0,③前提!$D$37/12,IF(③前提!$H$37=8,③前提!$D$37,0)),0)+IF(③前提!$G$38="本部",IF(③前提!$H$38=0,③前提!$D$38/12,IF(③前提!$H$38=8,③前提!$D$38,0)),0)+IF(③前提!$G$39="本部",IF(③前提!$H$39=0,③前提!$D$39/12,IF(③前提!$H$39=8,③前提!$D$39,0)),0)+IF(③前提!$G$40="本部",IF(③前提!$H$40=0,③前提!$D$40/12,IF(③前提!$H$40=8,③前提!$D$40,0)),0)</f>
        <v>7708333.33333333</v>
      </c>
      <c r="K8" s="12" t="n">
        <f aca="false">(⑤部門別損益!C11+⑤部門別損益!C12)/12+IF(③前提!$G$36="本部",IF(③前提!$H$36=0,③前提!$D$36/12,IF(③前提!$H$36=9,③前提!$D$36,0)),0)+IF(③前提!$G$37="本部",IF(③前提!$H$37=0,③前提!$D$37/12,IF(③前提!$H$37=9,③前提!$D$37,0)),0)+IF(③前提!$G$38="本部",IF(③前提!$H$38=0,③前提!$D$38/12,IF(③前提!$H$38=9,③前提!$D$38,0)),0)+IF(③前提!$G$39="本部",IF(③前提!$H$39=0,③前提!$D$39/12,IF(③前提!$H$39=9,③前提!$D$39,0)),0)+IF(③前提!$G$40="本部",IF(③前提!$H$40=0,③前提!$D$40/12,IF(③前提!$H$40=9,③前提!$D$40,0)),0)</f>
        <v>7708333.33333333</v>
      </c>
      <c r="L8" s="12" t="n">
        <f aca="false">(⑤部門別損益!C11+⑤部門別損益!C12)/12+IF(③前提!$G$36="本部",IF(③前提!$H$36=0,③前提!$D$36/12,IF(③前提!$H$36=10,③前提!$D$36,0)),0)+IF(③前提!$G$37="本部",IF(③前提!$H$37=0,③前提!$D$37/12,IF(③前提!$H$37=10,③前提!$D$37,0)),0)+IF(③前提!$G$38="本部",IF(③前提!$H$38=0,③前提!$D$38/12,IF(③前提!$H$38=10,③前提!$D$38,0)),0)+IF(③前提!$G$39="本部",IF(③前提!$H$39=0,③前提!$D$39/12,IF(③前提!$H$39=10,③前提!$D$39,0)),0)+IF(③前提!$G$40="本部",IF(③前提!$H$40=0,③前提!$D$40/12,IF(③前提!$H$40=10,③前提!$D$40,0)),0)</f>
        <v>7708333.33333333</v>
      </c>
      <c r="M8" s="12" t="n">
        <f aca="false">(⑤部門別損益!C11+⑤部門別損益!C12)/12+IF(③前提!$G$36="本部",IF(③前提!$H$36=0,③前提!$D$36/12,IF(③前提!$H$36=11,③前提!$D$36,0)),0)+IF(③前提!$G$37="本部",IF(③前提!$H$37=0,③前提!$D$37/12,IF(③前提!$H$37=11,③前提!$D$37,0)),0)+IF(③前提!$G$38="本部",IF(③前提!$H$38=0,③前提!$D$38/12,IF(③前提!$H$38=11,③前提!$D$38,0)),0)+IF(③前提!$G$39="本部",IF(③前提!$H$39=0,③前提!$D$39/12,IF(③前提!$H$39=11,③前提!$D$39,0)),0)+IF(③前提!$G$40="本部",IF(③前提!$H$40=0,③前提!$D$40/12,IF(③前提!$H$40=11,③前提!$D$40,0)),0)</f>
        <v>7708333.33333333</v>
      </c>
      <c r="N8" s="12" t="n">
        <f aca="false">(⑤部門別損益!C11+⑤部門別損益!C12)/12+IF(③前提!$G$36="本部",IF(③前提!$H$36=0,③前提!$D$36/12,IF(③前提!$H$36=12,③前提!$D$36,0)),0)+IF(③前提!$G$37="本部",IF(③前提!$H$37=0,③前提!$D$37/12,IF(③前提!$H$37=12,③前提!$D$37,0)),0)+IF(③前提!$G$38="本部",IF(③前提!$H$38=0,③前提!$D$38/12,IF(③前提!$H$38=12,③前提!$D$38,0)),0)+IF(③前提!$G$39="本部",IF(③前提!$H$39=0,③前提!$D$39/12,IF(③前提!$H$39=12,③前提!$D$39,0)),0)+IF(③前提!$G$40="本部",IF(③前提!$H$40=0,③前提!$D$40/12,IF(③前提!$H$40=12,③前提!$D$40,0)),0)</f>
        <v>7708333.33333333</v>
      </c>
      <c r="O8" s="8" t="n">
        <f aca="false">SUM(C8:N8)</f>
        <v>92500000</v>
      </c>
    </row>
    <row r="9" customFormat="false" ht="15" hidden="false" customHeight="false" outlineLevel="0" collapsed="false">
      <c r="B9" s="10" t="s">
        <v>14</v>
      </c>
      <c r="C9" s="12" t="n">
        <f aca="false">⑤部門別損益!C17/12</f>
        <v>6311706.28904029</v>
      </c>
      <c r="D9" s="12" t="n">
        <f aca="false">⑤部門別損益!C17/12</f>
        <v>6311706.28904029</v>
      </c>
      <c r="E9" s="12" t="n">
        <f aca="false">⑤部門別損益!C17/12</f>
        <v>6311706.28904029</v>
      </c>
      <c r="F9" s="12" t="n">
        <f aca="false">⑤部門別損益!C17/12</f>
        <v>6311706.28904029</v>
      </c>
      <c r="G9" s="12" t="n">
        <f aca="false">⑤部門別損益!C17/12</f>
        <v>6311706.28904029</v>
      </c>
      <c r="H9" s="12" t="n">
        <f aca="false">⑤部門別損益!C17/12</f>
        <v>6311706.28904029</v>
      </c>
      <c r="I9" s="12" t="n">
        <f aca="false">⑤部門別損益!C17/12</f>
        <v>6311706.28904029</v>
      </c>
      <c r="J9" s="12" t="n">
        <f aca="false">⑤部門別損益!C17/12</f>
        <v>6311706.28904029</v>
      </c>
      <c r="K9" s="12" t="n">
        <f aca="false">⑤部門別損益!C17/12</f>
        <v>6311706.28904029</v>
      </c>
      <c r="L9" s="12" t="n">
        <f aca="false">⑤部門別損益!C17/12</f>
        <v>6311706.28904029</v>
      </c>
      <c r="M9" s="12" t="n">
        <f aca="false">⑤部門別損益!C17/12</f>
        <v>6311706.28904029</v>
      </c>
      <c r="N9" s="12" t="n">
        <f aca="false">⑤部門別損益!C17/12</f>
        <v>6311706.28904029</v>
      </c>
      <c r="O9" s="8" t="n">
        <f aca="false">SUM(C9:N9)</f>
        <v>75740475.4684835</v>
      </c>
    </row>
    <row r="10" customFormat="false" ht="15" hidden="false" customHeight="false" outlineLevel="0" collapsed="false">
      <c r="B10" s="25" t="s">
        <v>34</v>
      </c>
      <c r="C10" s="15" t="n">
        <f aca="false">C8-C9</f>
        <v>1396627.04429304</v>
      </c>
      <c r="D10" s="15" t="n">
        <f aca="false">D8-D9</f>
        <v>1396627.04429304</v>
      </c>
      <c r="E10" s="15" t="n">
        <f aca="false">E8-E9</f>
        <v>1396627.04429304</v>
      </c>
      <c r="F10" s="15" t="n">
        <f aca="false">F8-F9</f>
        <v>1396627.04429304</v>
      </c>
      <c r="G10" s="15" t="n">
        <f aca="false">G8-G9</f>
        <v>1396627.04429304</v>
      </c>
      <c r="H10" s="15" t="n">
        <f aca="false">H8-H9</f>
        <v>1396627.04429304</v>
      </c>
      <c r="I10" s="15" t="n">
        <f aca="false">I8-I9</f>
        <v>1396627.04429304</v>
      </c>
      <c r="J10" s="15" t="n">
        <f aca="false">J8-J9</f>
        <v>1396627.04429304</v>
      </c>
      <c r="K10" s="15" t="n">
        <f aca="false">K8-K9</f>
        <v>1396627.04429304</v>
      </c>
      <c r="L10" s="15" t="n">
        <f aca="false">L8-L9</f>
        <v>1396627.04429304</v>
      </c>
      <c r="M10" s="15" t="n">
        <f aca="false">M8-M9</f>
        <v>1396627.04429304</v>
      </c>
      <c r="N10" s="15" t="n">
        <f aca="false">N8-N9</f>
        <v>1396627.04429304</v>
      </c>
      <c r="O10" s="8" t="n">
        <f aca="false">SUM(C10:N10)</f>
        <v>16759524.5315165</v>
      </c>
    </row>
    <row r="12" customFormat="false" ht="15" hidden="false" customHeight="false" outlineLevel="0" collapsed="false">
      <c r="B12" s="3" t="s">
        <v>213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customFormat="false" ht="15" hidden="false" customHeight="false" outlineLevel="0" collapsed="false">
      <c r="B13" s="5" t="s">
        <v>3</v>
      </c>
      <c r="C13" s="6" t="s">
        <v>200</v>
      </c>
      <c r="D13" s="6" t="s">
        <v>201</v>
      </c>
      <c r="E13" s="6" t="s">
        <v>202</v>
      </c>
      <c r="F13" s="6" t="s">
        <v>203</v>
      </c>
      <c r="G13" s="6" t="s">
        <v>204</v>
      </c>
      <c r="H13" s="6" t="s">
        <v>205</v>
      </c>
      <c r="I13" s="6" t="s">
        <v>206</v>
      </c>
      <c r="J13" s="6" t="s">
        <v>207</v>
      </c>
      <c r="K13" s="6" t="s">
        <v>208</v>
      </c>
      <c r="L13" s="6" t="s">
        <v>209</v>
      </c>
      <c r="M13" s="6" t="s">
        <v>210</v>
      </c>
      <c r="N13" s="6" t="s">
        <v>211</v>
      </c>
      <c r="O13" s="5" t="s">
        <v>212</v>
      </c>
    </row>
    <row r="14" customFormat="false" ht="15" hidden="false" customHeight="false" outlineLevel="0" collapsed="false">
      <c r="B14" s="10" t="s">
        <v>27</v>
      </c>
      <c r="C14" s="12" t="n">
        <f aca="false">(⑤部門別損益!D7+⑤部門別損益!D8)/12+IF(③前提!$G$36="EC/酒販店卸",IF(③前提!$H$36=0,③前提!$D$36/12,IF(③前提!$H$36=1,③前提!$D$36,0)),0)+IF(③前提!$G$37="EC/酒販店卸",IF(③前提!$H$37=0,③前提!$D$37/12,IF(③前提!$H$37=1,③前提!$D$37,0)),0)+IF(③前提!$G$38="EC/酒販店卸",IF(③前提!$H$38=0,③前提!$D$38/12,IF(③前提!$H$38=1,③前提!$D$38,0)),0)+IF(③前提!$G$39="EC/酒販店卸",IF(③前提!$H$39=0,③前提!$D$39/12,IF(③前提!$H$39=1,③前提!$D$39,0)),0)+IF(③前提!$G$40="EC/酒販店卸",IF(③前提!$H$40=0,③前提!$D$40/12,IF(③前提!$H$40=1,③前提!$D$40,0)),0)</f>
        <v>15929489.4146976</v>
      </c>
      <c r="D14" s="12" t="n">
        <f aca="false">(⑤部門別損益!D7+⑤部門別損益!D8)/12+IF(③前提!$G$36="EC/酒販店卸",IF(③前提!$H$36=0,③前提!$D$36/12,IF(③前提!$H$36=2,③前提!$D$36,0)),0)+IF(③前提!$G$37="EC/酒販店卸",IF(③前提!$H$37=0,③前提!$D$37/12,IF(③前提!$H$37=2,③前提!$D$37,0)),0)+IF(③前提!$G$38="EC/酒販店卸",IF(③前提!$H$38=0,③前提!$D$38/12,IF(③前提!$H$38=2,③前提!$D$38,0)),0)+IF(③前提!$G$39="EC/酒販店卸",IF(③前提!$H$39=0,③前提!$D$39/12,IF(③前提!$H$39=2,③前提!$D$39,0)),0)+IF(③前提!$G$40="EC/酒販店卸",IF(③前提!$H$40=0,③前提!$D$40/12,IF(③前提!$H$40=2,③前提!$D$40,0)),0)</f>
        <v>15929489.4146976</v>
      </c>
      <c r="E14" s="12" t="n">
        <f aca="false">(⑤部門別損益!D7+⑤部門別損益!D8)/12+IF(③前提!$G$36="EC/酒販店卸",IF(③前提!$H$36=0,③前提!$D$36/12,IF(③前提!$H$36=3,③前提!$D$36,0)),0)+IF(③前提!$G$37="EC/酒販店卸",IF(③前提!$H$37=0,③前提!$D$37/12,IF(③前提!$H$37=3,③前提!$D$37,0)),0)+IF(③前提!$G$38="EC/酒販店卸",IF(③前提!$H$38=0,③前提!$D$38/12,IF(③前提!$H$38=3,③前提!$D$38,0)),0)+IF(③前提!$G$39="EC/酒販店卸",IF(③前提!$H$39=0,③前提!$D$39/12,IF(③前提!$H$39=3,③前提!$D$39,0)),0)+IF(③前提!$G$40="EC/酒販店卸",IF(③前提!$H$40=0,③前提!$D$40/12,IF(③前提!$H$40=3,③前提!$D$40,0)),0)</f>
        <v>15929489.4146976</v>
      </c>
      <c r="F14" s="12" t="n">
        <f aca="false">(⑤部門別損益!D7+⑤部門別損益!D8)/12+IF(③前提!$G$36="EC/酒販店卸",IF(③前提!$H$36=0,③前提!$D$36/12,IF(③前提!$H$36=4,③前提!$D$36,0)),0)+IF(③前提!$G$37="EC/酒販店卸",IF(③前提!$H$37=0,③前提!$D$37/12,IF(③前提!$H$37=4,③前提!$D$37,0)),0)+IF(③前提!$G$38="EC/酒販店卸",IF(③前提!$H$38=0,③前提!$D$38/12,IF(③前提!$H$38=4,③前提!$D$38,0)),0)+IF(③前提!$G$39="EC/酒販店卸",IF(③前提!$H$39=0,③前提!$D$39/12,IF(③前提!$H$39=4,③前提!$D$39,0)),0)+IF(③前提!$G$40="EC/酒販店卸",IF(③前提!$H$40=0,③前提!$D$40/12,IF(③前提!$H$40=4,③前提!$D$40,0)),0)</f>
        <v>15929489.4146976</v>
      </c>
      <c r="G14" s="12" t="n">
        <f aca="false">(⑤部門別損益!D7+⑤部門別損益!D8)/12+IF(③前提!$G$36="EC/酒販店卸",IF(③前提!$H$36=0,③前提!$D$36/12,IF(③前提!$H$36=5,③前提!$D$36,0)),0)+IF(③前提!$G$37="EC/酒販店卸",IF(③前提!$H$37=0,③前提!$D$37/12,IF(③前提!$H$37=5,③前提!$D$37,0)),0)+IF(③前提!$G$38="EC/酒販店卸",IF(③前提!$H$38=0,③前提!$D$38/12,IF(③前提!$H$38=5,③前提!$D$38,0)),0)+IF(③前提!$G$39="EC/酒販店卸",IF(③前提!$H$39=0,③前提!$D$39/12,IF(③前提!$H$39=5,③前提!$D$39,0)),0)+IF(③前提!$G$40="EC/酒販店卸",IF(③前提!$H$40=0,③前提!$D$40/12,IF(③前提!$H$40=5,③前提!$D$40,0)),0)</f>
        <v>15929489.4146976</v>
      </c>
      <c r="H14" s="12" t="n">
        <f aca="false">(⑤部門別損益!D7+⑤部門別損益!D8)/12+IF(③前提!$G$36="EC/酒販店卸",IF(③前提!$H$36=0,③前提!$D$36/12,IF(③前提!$H$36=6,③前提!$D$36,0)),0)+IF(③前提!$G$37="EC/酒販店卸",IF(③前提!$H$37=0,③前提!$D$37/12,IF(③前提!$H$37=6,③前提!$D$37,0)),0)+IF(③前提!$G$38="EC/酒販店卸",IF(③前提!$H$38=0,③前提!$D$38/12,IF(③前提!$H$38=6,③前提!$D$38,0)),0)+IF(③前提!$G$39="EC/酒販店卸",IF(③前提!$H$39=0,③前提!$D$39/12,IF(③前提!$H$39=6,③前提!$D$39,0)),0)+IF(③前提!$G$40="EC/酒販店卸",IF(③前提!$H$40=0,③前提!$D$40/12,IF(③前提!$H$40=6,③前提!$D$40,0)),0)</f>
        <v>15929489.4146976</v>
      </c>
      <c r="I14" s="12" t="n">
        <f aca="false">(⑤部門別損益!D7+⑤部門別損益!D8)/12+IF(③前提!$G$36="EC/酒販店卸",IF(③前提!$H$36=0,③前提!$D$36/12,IF(③前提!$H$36=7,③前提!$D$36,0)),0)+IF(③前提!$G$37="EC/酒販店卸",IF(③前提!$H$37=0,③前提!$D$37/12,IF(③前提!$H$37=7,③前提!$D$37,0)),0)+IF(③前提!$G$38="EC/酒販店卸",IF(③前提!$H$38=0,③前提!$D$38/12,IF(③前提!$H$38=7,③前提!$D$38,0)),0)+IF(③前提!$G$39="EC/酒販店卸",IF(③前提!$H$39=0,③前提!$D$39/12,IF(③前提!$H$39=7,③前提!$D$39,0)),0)+IF(③前提!$G$40="EC/酒販店卸",IF(③前提!$H$40=0,③前提!$D$40/12,IF(③前提!$H$40=7,③前提!$D$40,0)),0)</f>
        <v>15929489.4146976</v>
      </c>
      <c r="J14" s="12" t="n">
        <f aca="false">(⑤部門別損益!D7+⑤部門別損益!D8)/12+IF(③前提!$G$36="EC/酒販店卸",IF(③前提!$H$36=0,③前提!$D$36/12,IF(③前提!$H$36=8,③前提!$D$36,0)),0)+IF(③前提!$G$37="EC/酒販店卸",IF(③前提!$H$37=0,③前提!$D$37/12,IF(③前提!$H$37=8,③前提!$D$37,0)),0)+IF(③前提!$G$38="EC/酒販店卸",IF(③前提!$H$38=0,③前提!$D$38/12,IF(③前提!$H$38=8,③前提!$D$38,0)),0)+IF(③前提!$G$39="EC/酒販店卸",IF(③前提!$H$39=0,③前提!$D$39/12,IF(③前提!$H$39=8,③前提!$D$39,0)),0)+IF(③前提!$G$40="EC/酒販店卸",IF(③前提!$H$40=0,③前提!$D$40/12,IF(③前提!$H$40=8,③前提!$D$40,0)),0)</f>
        <v>15929489.4146976</v>
      </c>
      <c r="K14" s="12" t="n">
        <f aca="false">(⑤部門別損益!D7+⑤部門別損益!D8)/12+IF(③前提!$G$36="EC/酒販店卸",IF(③前提!$H$36=0,③前提!$D$36/12,IF(③前提!$H$36=9,③前提!$D$36,0)),0)+IF(③前提!$G$37="EC/酒販店卸",IF(③前提!$H$37=0,③前提!$D$37/12,IF(③前提!$H$37=9,③前提!$D$37,0)),0)+IF(③前提!$G$38="EC/酒販店卸",IF(③前提!$H$38=0,③前提!$D$38/12,IF(③前提!$H$38=9,③前提!$D$38,0)),0)+IF(③前提!$G$39="EC/酒販店卸",IF(③前提!$H$39=0,③前提!$D$39/12,IF(③前提!$H$39=9,③前提!$D$39,0)),0)+IF(③前提!$G$40="EC/酒販店卸",IF(③前提!$H$40=0,③前提!$D$40/12,IF(③前提!$H$40=9,③前提!$D$40,0)),0)</f>
        <v>15929489.4146976</v>
      </c>
      <c r="L14" s="12" t="n">
        <f aca="false">(⑤部門別損益!D7+⑤部門別損益!D8)/12+IF(③前提!$G$36="EC/酒販店卸",IF(③前提!$H$36=0,③前提!$D$36/12,IF(③前提!$H$36=10,③前提!$D$36,0)),0)+IF(③前提!$G$37="EC/酒販店卸",IF(③前提!$H$37=0,③前提!$D$37/12,IF(③前提!$H$37=10,③前提!$D$37,0)),0)+IF(③前提!$G$38="EC/酒販店卸",IF(③前提!$H$38=0,③前提!$D$38/12,IF(③前提!$H$38=10,③前提!$D$38,0)),0)+IF(③前提!$G$39="EC/酒販店卸",IF(③前提!$H$39=0,③前提!$D$39/12,IF(③前提!$H$39=10,③前提!$D$39,0)),0)+IF(③前提!$G$40="EC/酒販店卸",IF(③前提!$H$40=0,③前提!$D$40/12,IF(③前提!$H$40=10,③前提!$D$40,0)),0)</f>
        <v>15929489.4146976</v>
      </c>
      <c r="M14" s="12" t="n">
        <f aca="false">(⑤部門別損益!D7+⑤部門別損益!D8)/12+IF(③前提!$G$36="EC/酒販店卸",IF(③前提!$H$36=0,③前提!$D$36/12,IF(③前提!$H$36=11,③前提!$D$36,0)),0)+IF(③前提!$G$37="EC/酒販店卸",IF(③前提!$H$37=0,③前提!$D$37/12,IF(③前提!$H$37=11,③前提!$D$37,0)),0)+IF(③前提!$G$38="EC/酒販店卸",IF(③前提!$H$38=0,③前提!$D$38/12,IF(③前提!$H$38=11,③前提!$D$38,0)),0)+IF(③前提!$G$39="EC/酒販店卸",IF(③前提!$H$39=0,③前提!$D$39/12,IF(③前提!$H$39=11,③前提!$D$39,0)),0)+IF(③前提!$G$40="EC/酒販店卸",IF(③前提!$H$40=0,③前提!$D$40/12,IF(③前提!$H$40=11,③前提!$D$40,0)),0)</f>
        <v>15929489.4146976</v>
      </c>
      <c r="N14" s="12" t="n">
        <f aca="false">(⑤部門別損益!D7+⑤部門別損益!D8)/12+IF(③前提!$G$36="EC/酒販店卸",IF(③前提!$H$36=0,③前提!$D$36/12,IF(③前提!$H$36=12,③前提!$D$36,0)),0)+IF(③前提!$G$37="EC/酒販店卸",IF(③前提!$H$37=0,③前提!$D$37/12,IF(③前提!$H$37=12,③前提!$D$37,0)),0)+IF(③前提!$G$38="EC/酒販店卸",IF(③前提!$H$38=0,③前提!$D$38/12,IF(③前提!$H$38=12,③前提!$D$38,0)),0)+IF(③前提!$G$39="EC/酒販店卸",IF(③前提!$H$39=0,③前提!$D$39/12,IF(③前提!$H$39=12,③前提!$D$39,0)),0)+IF(③前提!$G$40="EC/酒販店卸",IF(③前提!$H$40=0,③前提!$D$40/12,IF(③前提!$H$40=12,③前提!$D$40,0)),0)</f>
        <v>15929489.4146976</v>
      </c>
      <c r="O14" s="8" t="n">
        <f aca="false">SUM(C14:N14)</f>
        <v>191153872.976371</v>
      </c>
    </row>
    <row r="15" customFormat="false" ht="15" hidden="false" customHeight="false" outlineLevel="0" collapsed="false">
      <c r="B15" s="10" t="s">
        <v>33</v>
      </c>
      <c r="C15" s="12" t="n">
        <f aca="false">(⑤部門別損益!D11+⑤部門別損益!D12)/12+IF(③前提!$G$36="EC/酒販店卸",IF(③前提!$H$36=0,③前提!$D$36/12,IF(③前提!$H$36=1,③前提!$D$36,0)),0)+IF(③前提!$G$37="EC/酒販店卸",IF(③前提!$H$37=0,③前提!$D$37/12,IF(③前提!$H$37=1,③前提!$D$37,0)),0)+IF(③前提!$G$38="EC/酒販店卸",IF(③前提!$H$38=0,③前提!$D$38/12,IF(③前提!$H$38=1,③前提!$D$38,0)),0)+IF(③前提!$G$39="EC/酒販店卸",IF(③前提!$H$39=0,③前提!$D$39/12,IF(③前提!$H$39=1,③前提!$D$39,0)),0)+IF(③前提!$G$40="EC/酒販店卸",IF(③前提!$H$40=0,③前提!$D$40/12,IF(③前提!$H$40=1,③前提!$D$40,0)),0)</f>
        <v>3968367.0763548</v>
      </c>
      <c r="D15" s="12" t="n">
        <f aca="false">(⑤部門別損益!D11+⑤部門別損益!D12)/12+IF(③前提!$G$36="EC/酒販店卸",IF(③前提!$H$36=0,③前提!$D$36/12,IF(③前提!$H$36=2,③前提!$D$36,0)),0)+IF(③前提!$G$37="EC/酒販店卸",IF(③前提!$H$37=0,③前提!$D$37/12,IF(③前提!$H$37=2,③前提!$D$37,0)),0)+IF(③前提!$G$38="EC/酒販店卸",IF(③前提!$H$38=0,③前提!$D$38/12,IF(③前提!$H$38=2,③前提!$D$38,0)),0)+IF(③前提!$G$39="EC/酒販店卸",IF(③前提!$H$39=0,③前提!$D$39/12,IF(③前提!$H$39=2,③前提!$D$39,0)),0)+IF(③前提!$G$40="EC/酒販店卸",IF(③前提!$H$40=0,③前提!$D$40/12,IF(③前提!$H$40=2,③前提!$D$40,0)),0)</f>
        <v>3968367.0763548</v>
      </c>
      <c r="E15" s="12" t="n">
        <f aca="false">(⑤部門別損益!D11+⑤部門別損益!D12)/12+IF(③前提!$G$36="EC/酒販店卸",IF(③前提!$H$36=0,③前提!$D$36/12,IF(③前提!$H$36=3,③前提!$D$36,0)),0)+IF(③前提!$G$37="EC/酒販店卸",IF(③前提!$H$37=0,③前提!$D$37/12,IF(③前提!$H$37=3,③前提!$D$37,0)),0)+IF(③前提!$G$38="EC/酒販店卸",IF(③前提!$H$38=0,③前提!$D$38/12,IF(③前提!$H$38=3,③前提!$D$38,0)),0)+IF(③前提!$G$39="EC/酒販店卸",IF(③前提!$H$39=0,③前提!$D$39/12,IF(③前提!$H$39=3,③前提!$D$39,0)),0)+IF(③前提!$G$40="EC/酒販店卸",IF(③前提!$H$40=0,③前提!$D$40/12,IF(③前提!$H$40=3,③前提!$D$40,0)),0)</f>
        <v>3968367.0763548</v>
      </c>
      <c r="F15" s="12" t="n">
        <f aca="false">(⑤部門別損益!D11+⑤部門別損益!D12)/12+IF(③前提!$G$36="EC/酒販店卸",IF(③前提!$H$36=0,③前提!$D$36/12,IF(③前提!$H$36=4,③前提!$D$36,0)),0)+IF(③前提!$G$37="EC/酒販店卸",IF(③前提!$H$37=0,③前提!$D$37/12,IF(③前提!$H$37=4,③前提!$D$37,0)),0)+IF(③前提!$G$38="EC/酒販店卸",IF(③前提!$H$38=0,③前提!$D$38/12,IF(③前提!$H$38=4,③前提!$D$38,0)),0)+IF(③前提!$G$39="EC/酒販店卸",IF(③前提!$H$39=0,③前提!$D$39/12,IF(③前提!$H$39=4,③前提!$D$39,0)),0)+IF(③前提!$G$40="EC/酒販店卸",IF(③前提!$H$40=0,③前提!$D$40/12,IF(③前提!$H$40=4,③前提!$D$40,0)),0)</f>
        <v>3968367.0763548</v>
      </c>
      <c r="G15" s="12" t="n">
        <f aca="false">(⑤部門別損益!D11+⑤部門別損益!D12)/12+IF(③前提!$G$36="EC/酒販店卸",IF(③前提!$H$36=0,③前提!$D$36/12,IF(③前提!$H$36=5,③前提!$D$36,0)),0)+IF(③前提!$G$37="EC/酒販店卸",IF(③前提!$H$37=0,③前提!$D$37/12,IF(③前提!$H$37=5,③前提!$D$37,0)),0)+IF(③前提!$G$38="EC/酒販店卸",IF(③前提!$H$38=0,③前提!$D$38/12,IF(③前提!$H$38=5,③前提!$D$38,0)),0)+IF(③前提!$G$39="EC/酒販店卸",IF(③前提!$H$39=0,③前提!$D$39/12,IF(③前提!$H$39=5,③前提!$D$39,0)),0)+IF(③前提!$G$40="EC/酒販店卸",IF(③前提!$H$40=0,③前提!$D$40/12,IF(③前提!$H$40=5,③前提!$D$40,0)),0)</f>
        <v>3968367.0763548</v>
      </c>
      <c r="H15" s="12" t="n">
        <f aca="false">(⑤部門別損益!D11+⑤部門別損益!D12)/12+IF(③前提!$G$36="EC/酒販店卸",IF(③前提!$H$36=0,③前提!$D$36/12,IF(③前提!$H$36=6,③前提!$D$36,0)),0)+IF(③前提!$G$37="EC/酒販店卸",IF(③前提!$H$37=0,③前提!$D$37/12,IF(③前提!$H$37=6,③前提!$D$37,0)),0)+IF(③前提!$G$38="EC/酒販店卸",IF(③前提!$H$38=0,③前提!$D$38/12,IF(③前提!$H$38=6,③前提!$D$38,0)),0)+IF(③前提!$G$39="EC/酒販店卸",IF(③前提!$H$39=0,③前提!$D$39/12,IF(③前提!$H$39=6,③前提!$D$39,0)),0)+IF(③前提!$G$40="EC/酒販店卸",IF(③前提!$H$40=0,③前提!$D$40/12,IF(③前提!$H$40=6,③前提!$D$40,0)),0)</f>
        <v>3968367.0763548</v>
      </c>
      <c r="I15" s="12" t="n">
        <f aca="false">(⑤部門別損益!D11+⑤部門別損益!D12)/12+IF(③前提!$G$36="EC/酒販店卸",IF(③前提!$H$36=0,③前提!$D$36/12,IF(③前提!$H$36=7,③前提!$D$36,0)),0)+IF(③前提!$G$37="EC/酒販店卸",IF(③前提!$H$37=0,③前提!$D$37/12,IF(③前提!$H$37=7,③前提!$D$37,0)),0)+IF(③前提!$G$38="EC/酒販店卸",IF(③前提!$H$38=0,③前提!$D$38/12,IF(③前提!$H$38=7,③前提!$D$38,0)),0)+IF(③前提!$G$39="EC/酒販店卸",IF(③前提!$H$39=0,③前提!$D$39/12,IF(③前提!$H$39=7,③前提!$D$39,0)),0)+IF(③前提!$G$40="EC/酒販店卸",IF(③前提!$H$40=0,③前提!$D$40/12,IF(③前提!$H$40=7,③前提!$D$40,0)),0)</f>
        <v>3968367.0763548</v>
      </c>
      <c r="J15" s="12" t="n">
        <f aca="false">(⑤部門別損益!D11+⑤部門別損益!D12)/12+IF(③前提!$G$36="EC/酒販店卸",IF(③前提!$H$36=0,③前提!$D$36/12,IF(③前提!$H$36=8,③前提!$D$36,0)),0)+IF(③前提!$G$37="EC/酒販店卸",IF(③前提!$H$37=0,③前提!$D$37/12,IF(③前提!$H$37=8,③前提!$D$37,0)),0)+IF(③前提!$G$38="EC/酒販店卸",IF(③前提!$H$38=0,③前提!$D$38/12,IF(③前提!$H$38=8,③前提!$D$38,0)),0)+IF(③前提!$G$39="EC/酒販店卸",IF(③前提!$H$39=0,③前提!$D$39/12,IF(③前提!$H$39=8,③前提!$D$39,0)),0)+IF(③前提!$G$40="EC/酒販店卸",IF(③前提!$H$40=0,③前提!$D$40/12,IF(③前提!$H$40=8,③前提!$D$40,0)),0)</f>
        <v>3968367.0763548</v>
      </c>
      <c r="K15" s="12" t="n">
        <f aca="false">(⑤部門別損益!D11+⑤部門別損益!D12)/12+IF(③前提!$G$36="EC/酒販店卸",IF(③前提!$H$36=0,③前提!$D$36/12,IF(③前提!$H$36=9,③前提!$D$36,0)),0)+IF(③前提!$G$37="EC/酒販店卸",IF(③前提!$H$37=0,③前提!$D$37/12,IF(③前提!$H$37=9,③前提!$D$37,0)),0)+IF(③前提!$G$38="EC/酒販店卸",IF(③前提!$H$38=0,③前提!$D$38/12,IF(③前提!$H$38=9,③前提!$D$38,0)),0)+IF(③前提!$G$39="EC/酒販店卸",IF(③前提!$H$39=0,③前提!$D$39/12,IF(③前提!$H$39=9,③前提!$D$39,0)),0)+IF(③前提!$G$40="EC/酒販店卸",IF(③前提!$H$40=0,③前提!$D$40/12,IF(③前提!$H$40=9,③前提!$D$40,0)),0)</f>
        <v>3968367.0763548</v>
      </c>
      <c r="L15" s="12" t="n">
        <f aca="false">(⑤部門別損益!D11+⑤部門別損益!D12)/12+IF(③前提!$G$36="EC/酒販店卸",IF(③前提!$H$36=0,③前提!$D$36/12,IF(③前提!$H$36=10,③前提!$D$36,0)),0)+IF(③前提!$G$37="EC/酒販店卸",IF(③前提!$H$37=0,③前提!$D$37/12,IF(③前提!$H$37=10,③前提!$D$37,0)),0)+IF(③前提!$G$38="EC/酒販店卸",IF(③前提!$H$38=0,③前提!$D$38/12,IF(③前提!$H$38=10,③前提!$D$38,0)),0)+IF(③前提!$G$39="EC/酒販店卸",IF(③前提!$H$39=0,③前提!$D$39/12,IF(③前提!$H$39=10,③前提!$D$39,0)),0)+IF(③前提!$G$40="EC/酒販店卸",IF(③前提!$H$40=0,③前提!$D$40/12,IF(③前提!$H$40=10,③前提!$D$40,0)),0)</f>
        <v>3968367.0763548</v>
      </c>
      <c r="M15" s="12" t="n">
        <f aca="false">(⑤部門別損益!D11+⑤部門別損益!D12)/12+IF(③前提!$G$36="EC/酒販店卸",IF(③前提!$H$36=0,③前提!$D$36/12,IF(③前提!$H$36=11,③前提!$D$36,0)),0)+IF(③前提!$G$37="EC/酒販店卸",IF(③前提!$H$37=0,③前提!$D$37/12,IF(③前提!$H$37=11,③前提!$D$37,0)),0)+IF(③前提!$G$38="EC/酒販店卸",IF(③前提!$H$38=0,③前提!$D$38/12,IF(③前提!$H$38=11,③前提!$D$38,0)),0)+IF(③前提!$G$39="EC/酒販店卸",IF(③前提!$H$39=0,③前提!$D$39/12,IF(③前提!$H$39=11,③前提!$D$39,0)),0)+IF(③前提!$G$40="EC/酒販店卸",IF(③前提!$H$40=0,③前提!$D$40/12,IF(③前提!$H$40=11,③前提!$D$40,0)),0)</f>
        <v>3968367.0763548</v>
      </c>
      <c r="N15" s="12" t="n">
        <f aca="false">(⑤部門別損益!D11+⑤部門別損益!D12)/12+IF(③前提!$G$36="EC/酒販店卸",IF(③前提!$H$36=0,③前提!$D$36/12,IF(③前提!$H$36=12,③前提!$D$36,0)),0)+IF(③前提!$G$37="EC/酒販店卸",IF(③前提!$H$37=0,③前提!$D$37/12,IF(③前提!$H$37=12,③前提!$D$37,0)),0)+IF(③前提!$G$38="EC/酒販店卸",IF(③前提!$H$38=0,③前提!$D$38/12,IF(③前提!$H$38=12,③前提!$D$38,0)),0)+IF(③前提!$G$39="EC/酒販店卸",IF(③前提!$H$39=0,③前提!$D$39/12,IF(③前提!$H$39=12,③前提!$D$39,0)),0)+IF(③前提!$G$40="EC/酒販店卸",IF(③前提!$H$40=0,③前提!$D$40/12,IF(③前提!$H$40=12,③前提!$D$40,0)),0)</f>
        <v>3968367.0763548</v>
      </c>
      <c r="O15" s="8" t="n">
        <f aca="false">SUM(C15:N15)</f>
        <v>47620404.9162576</v>
      </c>
    </row>
    <row r="16" customFormat="false" ht="15" hidden="false" customHeight="false" outlineLevel="0" collapsed="false">
      <c r="B16" s="10" t="s">
        <v>14</v>
      </c>
      <c r="C16" s="12" t="n">
        <f aca="false">⑤部門別損益!D17/12</f>
        <v>3681427.87158681</v>
      </c>
      <c r="D16" s="12" t="n">
        <f aca="false">⑤部門別損益!D17/12</f>
        <v>3681427.87158681</v>
      </c>
      <c r="E16" s="12" t="n">
        <f aca="false">⑤部門別損益!D17/12</f>
        <v>3681427.87158681</v>
      </c>
      <c r="F16" s="12" t="n">
        <f aca="false">⑤部門別損益!D17/12</f>
        <v>3681427.87158681</v>
      </c>
      <c r="G16" s="12" t="n">
        <f aca="false">⑤部門別損益!D17/12</f>
        <v>3681427.87158681</v>
      </c>
      <c r="H16" s="12" t="n">
        <f aca="false">⑤部門別損益!D17/12</f>
        <v>3681427.87158681</v>
      </c>
      <c r="I16" s="12" t="n">
        <f aca="false">⑤部門別損益!D17/12</f>
        <v>3681427.87158681</v>
      </c>
      <c r="J16" s="12" t="n">
        <f aca="false">⑤部門別損益!D17/12</f>
        <v>3681427.87158681</v>
      </c>
      <c r="K16" s="12" t="n">
        <f aca="false">⑤部門別損益!D17/12</f>
        <v>3681427.87158681</v>
      </c>
      <c r="L16" s="12" t="n">
        <f aca="false">⑤部門別損益!D17/12</f>
        <v>3681427.87158681</v>
      </c>
      <c r="M16" s="12" t="n">
        <f aca="false">⑤部門別損益!D17/12</f>
        <v>3681427.87158681</v>
      </c>
      <c r="N16" s="12" t="n">
        <f aca="false">⑤部門別損益!D17/12</f>
        <v>3681427.87158681</v>
      </c>
      <c r="O16" s="8" t="n">
        <f aca="false">SUM(C16:N16)</f>
        <v>44177134.4590417</v>
      </c>
    </row>
    <row r="17" customFormat="false" ht="15" hidden="false" customHeight="false" outlineLevel="0" collapsed="false">
      <c r="B17" s="25" t="s">
        <v>34</v>
      </c>
      <c r="C17" s="15" t="n">
        <f aca="false">C15-C16</f>
        <v>286939.204767997</v>
      </c>
      <c r="D17" s="15" t="n">
        <f aca="false">D15-D16</f>
        <v>286939.204767997</v>
      </c>
      <c r="E17" s="15" t="n">
        <f aca="false">E15-E16</f>
        <v>286939.204767997</v>
      </c>
      <c r="F17" s="15" t="n">
        <f aca="false">F15-F16</f>
        <v>286939.204767997</v>
      </c>
      <c r="G17" s="15" t="n">
        <f aca="false">G15-G16</f>
        <v>286939.204767997</v>
      </c>
      <c r="H17" s="15" t="n">
        <f aca="false">H15-H16</f>
        <v>286939.204767997</v>
      </c>
      <c r="I17" s="15" t="n">
        <f aca="false">I15-I16</f>
        <v>286939.204767997</v>
      </c>
      <c r="J17" s="15" t="n">
        <f aca="false">J15-J16</f>
        <v>286939.204767997</v>
      </c>
      <c r="K17" s="15" t="n">
        <f aca="false">K15-K16</f>
        <v>286939.204767997</v>
      </c>
      <c r="L17" s="15" t="n">
        <f aca="false">L15-L16</f>
        <v>286939.204767997</v>
      </c>
      <c r="M17" s="15" t="n">
        <f aca="false">M15-M16</f>
        <v>286939.204767997</v>
      </c>
      <c r="N17" s="15" t="n">
        <f aca="false">N15-N16</f>
        <v>286939.204767997</v>
      </c>
      <c r="O17" s="8" t="n">
        <f aca="false">SUM(C17:N17)</f>
        <v>3443270.45721596</v>
      </c>
    </row>
    <row r="19" customFormat="false" ht="15" hidden="false" customHeight="false" outlineLevel="0" collapsed="false">
      <c r="B19" s="3" t="s">
        <v>214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customFormat="false" ht="15" hidden="false" customHeight="false" outlineLevel="0" collapsed="false">
      <c r="B20" s="5" t="s">
        <v>3</v>
      </c>
      <c r="C20" s="6" t="s">
        <v>200</v>
      </c>
      <c r="D20" s="6" t="s">
        <v>201</v>
      </c>
      <c r="E20" s="6" t="s">
        <v>202</v>
      </c>
      <c r="F20" s="6" t="s">
        <v>203</v>
      </c>
      <c r="G20" s="6" t="s">
        <v>204</v>
      </c>
      <c r="H20" s="6" t="s">
        <v>205</v>
      </c>
      <c r="I20" s="6" t="s">
        <v>206</v>
      </c>
      <c r="J20" s="6" t="s">
        <v>207</v>
      </c>
      <c r="K20" s="6" t="s">
        <v>208</v>
      </c>
      <c r="L20" s="6" t="s">
        <v>209</v>
      </c>
      <c r="M20" s="6" t="s">
        <v>210</v>
      </c>
      <c r="N20" s="6" t="s">
        <v>211</v>
      </c>
      <c r="O20" s="5" t="s">
        <v>212</v>
      </c>
    </row>
    <row r="21" customFormat="false" ht="15" hidden="false" customHeight="false" outlineLevel="0" collapsed="false">
      <c r="B21" s="10" t="s">
        <v>27</v>
      </c>
      <c r="C21" s="12" t="n">
        <f aca="false">(⑤部門別損益!E7+⑤部門別損益!E8)/12+IF(③前提!$G$36="ワインテック",IF(③前提!$H$36=0,③前提!$D$36/12,IF(③前提!$H$36=1,③前提!$D$36,0)),0)+IF(③前提!$G$37="ワインテック",IF(③前提!$H$37=0,③前提!$D$37/12,IF(③前提!$H$37=1,③前提!$D$37,0)),0)+IF(③前提!$G$38="ワインテック",IF(③前提!$H$38=0,③前提!$D$38/12,IF(③前提!$H$38=1,③前提!$D$38,0)),0)+IF(③前提!$G$39="ワインテック",IF(③前提!$H$39=0,③前提!$D$39/12,IF(③前提!$H$39=1,③前提!$D$39,0)),0)+IF(③前提!$G$40="ワインテック",IF(③前提!$H$40=0,③前提!$D$40/12,IF(③前提!$H$40=1,③前提!$D$40,0)),0)</f>
        <v>25218994.7555861</v>
      </c>
      <c r="D21" s="12" t="n">
        <f aca="false">(⑤部門別損益!E7+⑤部門別損益!E8)/12+IF(③前提!$G$36="ワインテック",IF(③前提!$H$36=0,③前提!$D$36/12,IF(③前提!$H$36=2,③前提!$D$36,0)),0)+IF(③前提!$G$37="ワインテック",IF(③前提!$H$37=0,③前提!$D$37/12,IF(③前提!$H$37=2,③前提!$D$37,0)),0)+IF(③前提!$G$38="ワインテック",IF(③前提!$H$38=0,③前提!$D$38/12,IF(③前提!$H$38=2,③前提!$D$38,0)),0)+IF(③前提!$G$39="ワインテック",IF(③前提!$H$39=0,③前提!$D$39/12,IF(③前提!$H$39=2,③前提!$D$39,0)),0)+IF(③前提!$G$40="ワインテック",IF(③前提!$H$40=0,③前提!$D$40/12,IF(③前提!$H$40=2,③前提!$D$40,0)),0)</f>
        <v>25218994.7555861</v>
      </c>
      <c r="E21" s="12" t="n">
        <f aca="false">(⑤部門別損益!E7+⑤部門別損益!E8)/12+IF(③前提!$G$36="ワインテック",IF(③前提!$H$36=0,③前提!$D$36/12,IF(③前提!$H$36=3,③前提!$D$36,0)),0)+IF(③前提!$G$37="ワインテック",IF(③前提!$H$37=0,③前提!$D$37/12,IF(③前提!$H$37=3,③前提!$D$37,0)),0)+IF(③前提!$G$38="ワインテック",IF(③前提!$H$38=0,③前提!$D$38/12,IF(③前提!$H$38=3,③前提!$D$38,0)),0)+IF(③前提!$G$39="ワインテック",IF(③前提!$H$39=0,③前提!$D$39/12,IF(③前提!$H$39=3,③前提!$D$39,0)),0)+IF(③前提!$G$40="ワインテック",IF(③前提!$H$40=0,③前提!$D$40/12,IF(③前提!$H$40=3,③前提!$D$40,0)),0)</f>
        <v>25218994.7555861</v>
      </c>
      <c r="F21" s="12" t="n">
        <f aca="false">(⑤部門別損益!E7+⑤部門別損益!E8)/12+IF(③前提!$G$36="ワインテック",IF(③前提!$H$36=0,③前提!$D$36/12,IF(③前提!$H$36=4,③前提!$D$36,0)),0)+IF(③前提!$G$37="ワインテック",IF(③前提!$H$37=0,③前提!$D$37/12,IF(③前提!$H$37=4,③前提!$D$37,0)),0)+IF(③前提!$G$38="ワインテック",IF(③前提!$H$38=0,③前提!$D$38/12,IF(③前提!$H$38=4,③前提!$D$38,0)),0)+IF(③前提!$G$39="ワインテック",IF(③前提!$H$39=0,③前提!$D$39/12,IF(③前提!$H$39=4,③前提!$D$39,0)),0)+IF(③前提!$G$40="ワインテック",IF(③前提!$H$40=0,③前提!$D$40/12,IF(③前提!$H$40=4,③前提!$D$40,0)),0)</f>
        <v>25218994.7555861</v>
      </c>
      <c r="G21" s="12" t="n">
        <f aca="false">(⑤部門別損益!E7+⑤部門別損益!E8)/12+IF(③前提!$G$36="ワインテック",IF(③前提!$H$36=0,③前提!$D$36/12,IF(③前提!$H$36=5,③前提!$D$36,0)),0)+IF(③前提!$G$37="ワインテック",IF(③前提!$H$37=0,③前提!$D$37/12,IF(③前提!$H$37=5,③前提!$D$37,0)),0)+IF(③前提!$G$38="ワインテック",IF(③前提!$H$38=0,③前提!$D$38/12,IF(③前提!$H$38=5,③前提!$D$38,0)),0)+IF(③前提!$G$39="ワインテック",IF(③前提!$H$39=0,③前提!$D$39/12,IF(③前提!$H$39=5,③前提!$D$39,0)),0)+IF(③前提!$G$40="ワインテック",IF(③前提!$H$40=0,③前提!$D$40/12,IF(③前提!$H$40=5,③前提!$D$40,0)),0)</f>
        <v>25218994.7555861</v>
      </c>
      <c r="H21" s="12" t="n">
        <f aca="false">(⑤部門別損益!E7+⑤部門別損益!E8)/12+IF(③前提!$G$36="ワインテック",IF(③前提!$H$36=0,③前提!$D$36/12,IF(③前提!$H$36=6,③前提!$D$36,0)),0)+IF(③前提!$G$37="ワインテック",IF(③前提!$H$37=0,③前提!$D$37/12,IF(③前提!$H$37=6,③前提!$D$37,0)),0)+IF(③前提!$G$38="ワインテック",IF(③前提!$H$38=0,③前提!$D$38/12,IF(③前提!$H$38=6,③前提!$D$38,0)),0)+IF(③前提!$G$39="ワインテック",IF(③前提!$H$39=0,③前提!$D$39/12,IF(③前提!$H$39=6,③前提!$D$39,0)),0)+IF(③前提!$G$40="ワインテック",IF(③前提!$H$40=0,③前提!$D$40/12,IF(③前提!$H$40=6,③前提!$D$40,0)),0)</f>
        <v>25218994.7555861</v>
      </c>
      <c r="I21" s="12" t="n">
        <f aca="false">(⑤部門別損益!E7+⑤部門別損益!E8)/12+IF(③前提!$G$36="ワインテック",IF(③前提!$H$36=0,③前提!$D$36/12,IF(③前提!$H$36=7,③前提!$D$36,0)),0)+IF(③前提!$G$37="ワインテック",IF(③前提!$H$37=0,③前提!$D$37/12,IF(③前提!$H$37=7,③前提!$D$37,0)),0)+IF(③前提!$G$38="ワインテック",IF(③前提!$H$38=0,③前提!$D$38/12,IF(③前提!$H$38=7,③前提!$D$38,0)),0)+IF(③前提!$G$39="ワインテック",IF(③前提!$H$39=0,③前提!$D$39/12,IF(③前提!$H$39=7,③前提!$D$39,0)),0)+IF(③前提!$G$40="ワインテック",IF(③前提!$H$40=0,③前提!$D$40/12,IF(③前提!$H$40=7,③前提!$D$40,0)),0)</f>
        <v>25218994.7555861</v>
      </c>
      <c r="J21" s="12" t="n">
        <f aca="false">(⑤部門別損益!E7+⑤部門別損益!E8)/12+IF(③前提!$G$36="ワインテック",IF(③前提!$H$36=0,③前提!$D$36/12,IF(③前提!$H$36=8,③前提!$D$36,0)),0)+IF(③前提!$G$37="ワインテック",IF(③前提!$H$37=0,③前提!$D$37/12,IF(③前提!$H$37=8,③前提!$D$37,0)),0)+IF(③前提!$G$38="ワインテック",IF(③前提!$H$38=0,③前提!$D$38/12,IF(③前提!$H$38=8,③前提!$D$38,0)),0)+IF(③前提!$G$39="ワインテック",IF(③前提!$H$39=0,③前提!$D$39/12,IF(③前提!$H$39=8,③前提!$D$39,0)),0)+IF(③前提!$G$40="ワインテック",IF(③前提!$H$40=0,③前提!$D$40/12,IF(③前提!$H$40=8,③前提!$D$40,0)),0)</f>
        <v>25218994.7555861</v>
      </c>
      <c r="K21" s="12" t="n">
        <f aca="false">(⑤部門別損益!E7+⑤部門別損益!E8)/12+IF(③前提!$G$36="ワインテック",IF(③前提!$H$36=0,③前提!$D$36/12,IF(③前提!$H$36=9,③前提!$D$36,0)),0)+IF(③前提!$G$37="ワインテック",IF(③前提!$H$37=0,③前提!$D$37/12,IF(③前提!$H$37=9,③前提!$D$37,0)),0)+IF(③前提!$G$38="ワインテック",IF(③前提!$H$38=0,③前提!$D$38/12,IF(③前提!$H$38=9,③前提!$D$38,0)),0)+IF(③前提!$G$39="ワインテック",IF(③前提!$H$39=0,③前提!$D$39/12,IF(③前提!$H$39=9,③前提!$D$39,0)),0)+IF(③前提!$G$40="ワインテック",IF(③前提!$H$40=0,③前提!$D$40/12,IF(③前提!$H$40=9,③前提!$D$40,0)),0)</f>
        <v>25218994.7555861</v>
      </c>
      <c r="L21" s="12" t="n">
        <f aca="false">(⑤部門別損益!E7+⑤部門別損益!E8)/12+IF(③前提!$G$36="ワインテック",IF(③前提!$H$36=0,③前提!$D$36/12,IF(③前提!$H$36=10,③前提!$D$36,0)),0)+IF(③前提!$G$37="ワインテック",IF(③前提!$H$37=0,③前提!$D$37/12,IF(③前提!$H$37=10,③前提!$D$37,0)),0)+IF(③前提!$G$38="ワインテック",IF(③前提!$H$38=0,③前提!$D$38/12,IF(③前提!$H$38=10,③前提!$D$38,0)),0)+IF(③前提!$G$39="ワインテック",IF(③前提!$H$39=0,③前提!$D$39/12,IF(③前提!$H$39=10,③前提!$D$39,0)),0)+IF(③前提!$G$40="ワインテック",IF(③前提!$H$40=0,③前提!$D$40/12,IF(③前提!$H$40=10,③前提!$D$40,0)),0)</f>
        <v>25218994.7555861</v>
      </c>
      <c r="M21" s="12" t="n">
        <f aca="false">(⑤部門別損益!E7+⑤部門別損益!E8)/12+IF(③前提!$G$36="ワインテック",IF(③前提!$H$36=0,③前提!$D$36/12,IF(③前提!$H$36=11,③前提!$D$36,0)),0)+IF(③前提!$G$37="ワインテック",IF(③前提!$H$37=0,③前提!$D$37/12,IF(③前提!$H$37=11,③前提!$D$37,0)),0)+IF(③前提!$G$38="ワインテック",IF(③前提!$H$38=0,③前提!$D$38/12,IF(③前提!$H$38=11,③前提!$D$38,0)),0)+IF(③前提!$G$39="ワインテック",IF(③前提!$H$39=0,③前提!$D$39/12,IF(③前提!$H$39=11,③前提!$D$39,0)),0)+IF(③前提!$G$40="ワインテック",IF(③前提!$H$40=0,③前提!$D$40/12,IF(③前提!$H$40=11,③前提!$D$40,0)),0)</f>
        <v>25218994.7555861</v>
      </c>
      <c r="N21" s="12" t="n">
        <f aca="false">(⑤部門別損益!E7+⑤部門別損益!E8)/12+IF(③前提!$G$36="ワインテック",IF(③前提!$H$36=0,③前提!$D$36/12,IF(③前提!$H$36=12,③前提!$D$36,0)),0)+IF(③前提!$G$37="ワインテック",IF(③前提!$H$37=0,③前提!$D$37/12,IF(③前提!$H$37=12,③前提!$D$37,0)),0)+IF(③前提!$G$38="ワインテック",IF(③前提!$H$38=0,③前提!$D$38/12,IF(③前提!$H$38=12,③前提!$D$38,0)),0)+IF(③前提!$G$39="ワインテック",IF(③前提!$H$39=0,③前提!$D$39/12,IF(③前提!$H$39=12,③前提!$D$39,0)),0)+IF(③前提!$G$40="ワインテック",IF(③前提!$H$40=0,③前提!$D$40/12,IF(③前提!$H$40=12,③前提!$D$40,0)),0)</f>
        <v>25218994.7555861</v>
      </c>
      <c r="O21" s="8" t="n">
        <f aca="false">SUM(C21:N21)</f>
        <v>302627937.067033</v>
      </c>
    </row>
    <row r="22" customFormat="false" ht="15" hidden="false" customHeight="false" outlineLevel="0" collapsed="false">
      <c r="B22" s="10" t="s">
        <v>33</v>
      </c>
      <c r="C22" s="12" t="n">
        <f aca="false">(⑤部門別損益!E11+⑤部門別損益!E12)/12+IF(③前提!$G$36="ワインテック",IF(③前提!$H$36=0,③前提!$D$36/12,IF(③前提!$H$36=1,③前提!$D$36,0)),0)+IF(③前提!$G$37="ワインテック",IF(③前提!$H$37=0,③前提!$D$37/12,IF(③前提!$H$37=1,③前提!$D$37,0)),0)+IF(③前提!$G$38="ワインテック",IF(③前提!$H$38=0,③前提!$D$38/12,IF(③前提!$H$38=1,③前提!$D$38,0)),0)+IF(③前提!$G$39="ワインテック",IF(③前提!$H$39=0,③前提!$D$39/12,IF(③前提!$H$39=1,③前提!$D$39,0)),0)+IF(③前提!$G$40="ワインテック",IF(③前提!$H$40=0,③前提!$D$40/12,IF(③前提!$H$40=1,③前提!$D$40,0)),0)</f>
        <v>6777835.06748412</v>
      </c>
      <c r="D22" s="12" t="n">
        <f aca="false">(⑤部門別損益!E11+⑤部門別損益!E12)/12+IF(③前提!$G$36="ワインテック",IF(③前提!$H$36=0,③前提!$D$36/12,IF(③前提!$H$36=2,③前提!$D$36,0)),0)+IF(③前提!$G$37="ワインテック",IF(③前提!$H$37=0,③前提!$D$37/12,IF(③前提!$H$37=2,③前提!$D$37,0)),0)+IF(③前提!$G$38="ワインテック",IF(③前提!$H$38=0,③前提!$D$38/12,IF(③前提!$H$38=2,③前提!$D$38,0)),0)+IF(③前提!$G$39="ワインテック",IF(③前提!$H$39=0,③前提!$D$39/12,IF(③前提!$H$39=2,③前提!$D$39,0)),0)+IF(③前提!$G$40="ワインテック",IF(③前提!$H$40=0,③前提!$D$40/12,IF(③前提!$H$40=2,③前提!$D$40,0)),0)</f>
        <v>6777835.06748412</v>
      </c>
      <c r="E22" s="12" t="n">
        <f aca="false">(⑤部門別損益!E11+⑤部門別損益!E12)/12+IF(③前提!$G$36="ワインテック",IF(③前提!$H$36=0,③前提!$D$36/12,IF(③前提!$H$36=3,③前提!$D$36,0)),0)+IF(③前提!$G$37="ワインテック",IF(③前提!$H$37=0,③前提!$D$37/12,IF(③前提!$H$37=3,③前提!$D$37,0)),0)+IF(③前提!$G$38="ワインテック",IF(③前提!$H$38=0,③前提!$D$38/12,IF(③前提!$H$38=3,③前提!$D$38,0)),0)+IF(③前提!$G$39="ワインテック",IF(③前提!$H$39=0,③前提!$D$39/12,IF(③前提!$H$39=3,③前提!$D$39,0)),0)+IF(③前提!$G$40="ワインテック",IF(③前提!$H$40=0,③前提!$D$40/12,IF(③前提!$H$40=3,③前提!$D$40,0)),0)</f>
        <v>6777835.06748412</v>
      </c>
      <c r="F22" s="12" t="n">
        <f aca="false">(⑤部門別損益!E11+⑤部門別損益!E12)/12+IF(③前提!$G$36="ワインテック",IF(③前提!$H$36=0,③前提!$D$36/12,IF(③前提!$H$36=4,③前提!$D$36,0)),0)+IF(③前提!$G$37="ワインテック",IF(③前提!$H$37=0,③前提!$D$37/12,IF(③前提!$H$37=4,③前提!$D$37,0)),0)+IF(③前提!$G$38="ワインテック",IF(③前提!$H$38=0,③前提!$D$38/12,IF(③前提!$H$38=4,③前提!$D$38,0)),0)+IF(③前提!$G$39="ワインテック",IF(③前提!$H$39=0,③前提!$D$39/12,IF(③前提!$H$39=4,③前提!$D$39,0)),0)+IF(③前提!$G$40="ワインテック",IF(③前提!$H$40=0,③前提!$D$40/12,IF(③前提!$H$40=4,③前提!$D$40,0)),0)</f>
        <v>6777835.06748412</v>
      </c>
      <c r="G22" s="12" t="n">
        <f aca="false">(⑤部門別損益!E11+⑤部門別損益!E12)/12+IF(③前提!$G$36="ワインテック",IF(③前提!$H$36=0,③前提!$D$36/12,IF(③前提!$H$36=5,③前提!$D$36,0)),0)+IF(③前提!$G$37="ワインテック",IF(③前提!$H$37=0,③前提!$D$37/12,IF(③前提!$H$37=5,③前提!$D$37,0)),0)+IF(③前提!$G$38="ワインテック",IF(③前提!$H$38=0,③前提!$D$38/12,IF(③前提!$H$38=5,③前提!$D$38,0)),0)+IF(③前提!$G$39="ワインテック",IF(③前提!$H$39=0,③前提!$D$39/12,IF(③前提!$H$39=5,③前提!$D$39,0)),0)+IF(③前提!$G$40="ワインテック",IF(③前提!$H$40=0,③前提!$D$40/12,IF(③前提!$H$40=5,③前提!$D$40,0)),0)</f>
        <v>6777835.06748412</v>
      </c>
      <c r="H22" s="12" t="n">
        <f aca="false">(⑤部門別損益!E11+⑤部門別損益!E12)/12+IF(③前提!$G$36="ワインテック",IF(③前提!$H$36=0,③前提!$D$36/12,IF(③前提!$H$36=6,③前提!$D$36,0)),0)+IF(③前提!$G$37="ワインテック",IF(③前提!$H$37=0,③前提!$D$37/12,IF(③前提!$H$37=6,③前提!$D$37,0)),0)+IF(③前提!$G$38="ワインテック",IF(③前提!$H$38=0,③前提!$D$38/12,IF(③前提!$H$38=6,③前提!$D$38,0)),0)+IF(③前提!$G$39="ワインテック",IF(③前提!$H$39=0,③前提!$D$39/12,IF(③前提!$H$39=6,③前提!$D$39,0)),0)+IF(③前提!$G$40="ワインテック",IF(③前提!$H$40=0,③前提!$D$40/12,IF(③前提!$H$40=6,③前提!$D$40,0)),0)</f>
        <v>6777835.06748412</v>
      </c>
      <c r="I22" s="12" t="n">
        <f aca="false">(⑤部門別損益!E11+⑤部門別損益!E12)/12+IF(③前提!$G$36="ワインテック",IF(③前提!$H$36=0,③前提!$D$36/12,IF(③前提!$H$36=7,③前提!$D$36,0)),0)+IF(③前提!$G$37="ワインテック",IF(③前提!$H$37=0,③前提!$D$37/12,IF(③前提!$H$37=7,③前提!$D$37,0)),0)+IF(③前提!$G$38="ワインテック",IF(③前提!$H$38=0,③前提!$D$38/12,IF(③前提!$H$38=7,③前提!$D$38,0)),0)+IF(③前提!$G$39="ワインテック",IF(③前提!$H$39=0,③前提!$D$39/12,IF(③前提!$H$39=7,③前提!$D$39,0)),0)+IF(③前提!$G$40="ワインテック",IF(③前提!$H$40=0,③前提!$D$40/12,IF(③前提!$H$40=7,③前提!$D$40,0)),0)</f>
        <v>6777835.06748412</v>
      </c>
      <c r="J22" s="12" t="n">
        <f aca="false">(⑤部門別損益!E11+⑤部門別損益!E12)/12+IF(③前提!$G$36="ワインテック",IF(③前提!$H$36=0,③前提!$D$36/12,IF(③前提!$H$36=8,③前提!$D$36,0)),0)+IF(③前提!$G$37="ワインテック",IF(③前提!$H$37=0,③前提!$D$37/12,IF(③前提!$H$37=8,③前提!$D$37,0)),0)+IF(③前提!$G$38="ワインテック",IF(③前提!$H$38=0,③前提!$D$38/12,IF(③前提!$H$38=8,③前提!$D$38,0)),0)+IF(③前提!$G$39="ワインテック",IF(③前提!$H$39=0,③前提!$D$39/12,IF(③前提!$H$39=8,③前提!$D$39,0)),0)+IF(③前提!$G$40="ワインテック",IF(③前提!$H$40=0,③前提!$D$40/12,IF(③前提!$H$40=8,③前提!$D$40,0)),0)</f>
        <v>6777835.06748412</v>
      </c>
      <c r="K22" s="12" t="n">
        <f aca="false">(⑤部門別損益!E11+⑤部門別損益!E12)/12+IF(③前提!$G$36="ワインテック",IF(③前提!$H$36=0,③前提!$D$36/12,IF(③前提!$H$36=9,③前提!$D$36,0)),0)+IF(③前提!$G$37="ワインテック",IF(③前提!$H$37=0,③前提!$D$37/12,IF(③前提!$H$37=9,③前提!$D$37,0)),0)+IF(③前提!$G$38="ワインテック",IF(③前提!$H$38=0,③前提!$D$38/12,IF(③前提!$H$38=9,③前提!$D$38,0)),0)+IF(③前提!$G$39="ワインテック",IF(③前提!$H$39=0,③前提!$D$39/12,IF(③前提!$H$39=9,③前提!$D$39,0)),0)+IF(③前提!$G$40="ワインテック",IF(③前提!$H$40=0,③前提!$D$40/12,IF(③前提!$H$40=9,③前提!$D$40,0)),0)</f>
        <v>6777835.06748412</v>
      </c>
      <c r="L22" s="12" t="n">
        <f aca="false">(⑤部門別損益!E11+⑤部門別損益!E12)/12+IF(③前提!$G$36="ワインテック",IF(③前提!$H$36=0,③前提!$D$36/12,IF(③前提!$H$36=10,③前提!$D$36,0)),0)+IF(③前提!$G$37="ワインテック",IF(③前提!$H$37=0,③前提!$D$37/12,IF(③前提!$H$37=10,③前提!$D$37,0)),0)+IF(③前提!$G$38="ワインテック",IF(③前提!$H$38=0,③前提!$D$38/12,IF(③前提!$H$38=10,③前提!$D$38,0)),0)+IF(③前提!$G$39="ワインテック",IF(③前提!$H$39=0,③前提!$D$39/12,IF(③前提!$H$39=10,③前提!$D$39,0)),0)+IF(③前提!$G$40="ワインテック",IF(③前提!$H$40=0,③前提!$D$40/12,IF(③前提!$H$40=10,③前提!$D$40,0)),0)</f>
        <v>6777835.06748412</v>
      </c>
      <c r="M22" s="12" t="n">
        <f aca="false">(⑤部門別損益!E11+⑤部門別損益!E12)/12+IF(③前提!$G$36="ワインテック",IF(③前提!$H$36=0,③前提!$D$36/12,IF(③前提!$H$36=11,③前提!$D$36,0)),0)+IF(③前提!$G$37="ワインテック",IF(③前提!$H$37=0,③前提!$D$37/12,IF(③前提!$H$37=11,③前提!$D$37,0)),0)+IF(③前提!$G$38="ワインテック",IF(③前提!$H$38=0,③前提!$D$38/12,IF(③前提!$H$38=11,③前提!$D$38,0)),0)+IF(③前提!$G$39="ワインテック",IF(③前提!$H$39=0,③前提!$D$39/12,IF(③前提!$H$39=11,③前提!$D$39,0)),0)+IF(③前提!$G$40="ワインテック",IF(③前提!$H$40=0,③前提!$D$40/12,IF(③前提!$H$40=11,③前提!$D$40,0)),0)</f>
        <v>6777835.06748412</v>
      </c>
      <c r="N22" s="12" t="n">
        <f aca="false">(⑤部門別損益!E11+⑤部門別損益!E12)/12+IF(③前提!$G$36="ワインテック",IF(③前提!$H$36=0,③前提!$D$36/12,IF(③前提!$H$36=12,③前提!$D$36,0)),0)+IF(③前提!$G$37="ワインテック",IF(③前提!$H$37=0,③前提!$D$37/12,IF(③前提!$H$37=12,③前提!$D$37,0)),0)+IF(③前提!$G$38="ワインテック",IF(③前提!$H$38=0,③前提!$D$38/12,IF(③前提!$H$38=12,③前提!$D$38,0)),0)+IF(③前提!$G$39="ワインテック",IF(③前提!$H$39=0,③前提!$D$39/12,IF(③前提!$H$39=12,③前提!$D$39,0)),0)+IF(③前提!$G$40="ワインテック",IF(③前提!$H$40=0,③前提!$D$40/12,IF(③前提!$H$40=12,③前提!$D$40,0)),0)</f>
        <v>6777835.06748412</v>
      </c>
      <c r="O22" s="8" t="n">
        <f aca="false">SUM(C22:N22)</f>
        <v>81334020.8098094</v>
      </c>
    </row>
    <row r="23" customFormat="false" ht="15" hidden="false" customHeight="false" outlineLevel="0" collapsed="false">
      <c r="B23" s="10" t="s">
        <v>14</v>
      </c>
      <c r="C23" s="12" t="n">
        <f aca="false">⑤部門別損益!E17/12</f>
        <v>6748882.8926713</v>
      </c>
      <c r="D23" s="12" t="n">
        <f aca="false">⑤部門別損益!E17/12</f>
        <v>6748882.8926713</v>
      </c>
      <c r="E23" s="12" t="n">
        <f aca="false">⑤部門別損益!E17/12</f>
        <v>6748882.8926713</v>
      </c>
      <c r="F23" s="12" t="n">
        <f aca="false">⑤部門別損益!E17/12</f>
        <v>6748882.8926713</v>
      </c>
      <c r="G23" s="12" t="n">
        <f aca="false">⑤部門別損益!E17/12</f>
        <v>6748882.8926713</v>
      </c>
      <c r="H23" s="12" t="n">
        <f aca="false">⑤部門別損益!E17/12</f>
        <v>6748882.8926713</v>
      </c>
      <c r="I23" s="12" t="n">
        <f aca="false">⑤部門別損益!E17/12</f>
        <v>6748882.8926713</v>
      </c>
      <c r="J23" s="12" t="n">
        <f aca="false">⑤部門別損益!E17/12</f>
        <v>6748882.8926713</v>
      </c>
      <c r="K23" s="12" t="n">
        <f aca="false">⑤部門別損益!E17/12</f>
        <v>6748882.8926713</v>
      </c>
      <c r="L23" s="12" t="n">
        <f aca="false">⑤部門別損益!E17/12</f>
        <v>6748882.8926713</v>
      </c>
      <c r="M23" s="12" t="n">
        <f aca="false">⑤部門別損益!E17/12</f>
        <v>6748882.8926713</v>
      </c>
      <c r="N23" s="12" t="n">
        <f aca="false">⑤部門別損益!E17/12</f>
        <v>6748882.8926713</v>
      </c>
      <c r="O23" s="8" t="n">
        <f aca="false">SUM(C23:N23)</f>
        <v>80986594.7120556</v>
      </c>
    </row>
    <row r="24" customFormat="false" ht="15" hidden="false" customHeight="false" outlineLevel="0" collapsed="false">
      <c r="B24" s="25" t="s">
        <v>34</v>
      </c>
      <c r="C24" s="15" t="n">
        <f aca="false">C22-C23</f>
        <v>28952.1748128161</v>
      </c>
      <c r="D24" s="15" t="n">
        <f aca="false">D22-D23</f>
        <v>28952.1748128161</v>
      </c>
      <c r="E24" s="15" t="n">
        <f aca="false">E22-E23</f>
        <v>28952.1748128161</v>
      </c>
      <c r="F24" s="15" t="n">
        <f aca="false">F22-F23</f>
        <v>28952.1748128161</v>
      </c>
      <c r="G24" s="15" t="n">
        <f aca="false">G22-G23</f>
        <v>28952.1748128161</v>
      </c>
      <c r="H24" s="15" t="n">
        <f aca="false">H22-H23</f>
        <v>28952.1748128161</v>
      </c>
      <c r="I24" s="15" t="n">
        <f aca="false">I22-I23</f>
        <v>28952.1748128161</v>
      </c>
      <c r="J24" s="15" t="n">
        <f aca="false">J22-J23</f>
        <v>28952.1748128161</v>
      </c>
      <c r="K24" s="15" t="n">
        <f aca="false">K22-K23</f>
        <v>28952.1748128161</v>
      </c>
      <c r="L24" s="15" t="n">
        <f aca="false">L22-L23</f>
        <v>28952.1748128161</v>
      </c>
      <c r="M24" s="15" t="n">
        <f aca="false">M22-M23</f>
        <v>28952.1748128161</v>
      </c>
      <c r="N24" s="15" t="n">
        <f aca="false">N22-N23</f>
        <v>28952.1748128161</v>
      </c>
      <c r="O24" s="8" t="n">
        <f aca="false">SUM(C24:N24)</f>
        <v>347426.097753793</v>
      </c>
    </row>
    <row r="26" customFormat="false" ht="15" hidden="false" customHeight="false" outlineLevel="0" collapsed="false">
      <c r="B26" s="3" t="s">
        <v>215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customFormat="false" ht="15" hidden="false" customHeight="false" outlineLevel="0" collapsed="false">
      <c r="B27" s="5" t="s">
        <v>3</v>
      </c>
      <c r="C27" s="6" t="s">
        <v>200</v>
      </c>
      <c r="D27" s="6" t="s">
        <v>201</v>
      </c>
      <c r="E27" s="6" t="s">
        <v>202</v>
      </c>
      <c r="F27" s="6" t="s">
        <v>203</v>
      </c>
      <c r="G27" s="6" t="s">
        <v>204</v>
      </c>
      <c r="H27" s="6" t="s">
        <v>205</v>
      </c>
      <c r="I27" s="6" t="s">
        <v>206</v>
      </c>
      <c r="J27" s="6" t="s">
        <v>207</v>
      </c>
      <c r="K27" s="6" t="s">
        <v>208</v>
      </c>
      <c r="L27" s="6" t="s">
        <v>209</v>
      </c>
      <c r="M27" s="6" t="s">
        <v>210</v>
      </c>
      <c r="N27" s="6" t="s">
        <v>211</v>
      </c>
      <c r="O27" s="5" t="s">
        <v>212</v>
      </c>
    </row>
    <row r="28" customFormat="false" ht="15" hidden="false" customHeight="false" outlineLevel="0" collapsed="false">
      <c r="B28" s="10" t="s">
        <v>27</v>
      </c>
      <c r="C28" s="12" t="n">
        <f aca="false">(⑤部門別損益!F7+⑤部門別損益!F8)/12+IF(③前提!$G$36="その他",IF(③前提!$H$36=0,③前提!$D$36/12,IF(③前提!$H$36=1,③前提!$D$36,0)),0)+IF(③前提!$G$37="その他",IF(③前提!$H$37=0,③前提!$D$37/12,IF(③前提!$H$37=1,③前提!$D$37,0)),0)+IF(③前提!$G$38="その他",IF(③前提!$H$38=0,③前提!$D$38/12,IF(③前提!$H$38=1,③前提!$D$38,0)),0)+IF(③前提!$G$39="その他",IF(③前提!$H$39=0,③前提!$D$39/12,IF(③前提!$H$39=1,③前提!$D$39,0)),0)+IF(③前提!$G$40="その他",IF(③前提!$H$40=0,③前提!$D$40/12,IF(③前提!$H$40=1,③前提!$D$40,0)),0)</f>
        <v>15324332.246383</v>
      </c>
      <c r="D28" s="12" t="n">
        <f aca="false">(⑤部門別損益!F7+⑤部門別損益!F8)/12+IF(③前提!$G$36="その他",IF(③前提!$H$36=0,③前提!$D$36/12,IF(③前提!$H$36=2,③前提!$D$36,0)),0)+IF(③前提!$G$37="その他",IF(③前提!$H$37=0,③前提!$D$37/12,IF(③前提!$H$37=2,③前提!$D$37,0)),0)+IF(③前提!$G$38="その他",IF(③前提!$H$38=0,③前提!$D$38/12,IF(③前提!$H$38=2,③前提!$D$38,0)),0)+IF(③前提!$G$39="その他",IF(③前提!$H$39=0,③前提!$D$39/12,IF(③前提!$H$39=2,③前提!$D$39,0)),0)+IF(③前提!$G$40="その他",IF(③前提!$H$40=0,③前提!$D$40/12,IF(③前提!$H$40=2,③前提!$D$40,0)),0)</f>
        <v>15324332.246383</v>
      </c>
      <c r="E28" s="12" t="n">
        <f aca="false">(⑤部門別損益!F7+⑤部門別損益!F8)/12+IF(③前提!$G$36="その他",IF(③前提!$H$36=0,③前提!$D$36/12,IF(③前提!$H$36=3,③前提!$D$36,0)),0)+IF(③前提!$G$37="その他",IF(③前提!$H$37=0,③前提!$D$37/12,IF(③前提!$H$37=3,③前提!$D$37,0)),0)+IF(③前提!$G$38="その他",IF(③前提!$H$38=0,③前提!$D$38/12,IF(③前提!$H$38=3,③前提!$D$38,0)),0)+IF(③前提!$G$39="その他",IF(③前提!$H$39=0,③前提!$D$39/12,IF(③前提!$H$39=3,③前提!$D$39,0)),0)+IF(③前提!$G$40="その他",IF(③前提!$H$40=0,③前提!$D$40/12,IF(③前提!$H$40=3,③前提!$D$40,0)),0)</f>
        <v>15324332.246383</v>
      </c>
      <c r="F28" s="12" t="n">
        <f aca="false">(⑤部門別損益!F7+⑤部門別損益!F8)/12+IF(③前提!$G$36="その他",IF(③前提!$H$36=0,③前提!$D$36/12,IF(③前提!$H$36=4,③前提!$D$36,0)),0)+IF(③前提!$G$37="その他",IF(③前提!$H$37=0,③前提!$D$37/12,IF(③前提!$H$37=4,③前提!$D$37,0)),0)+IF(③前提!$G$38="その他",IF(③前提!$H$38=0,③前提!$D$38/12,IF(③前提!$H$38=4,③前提!$D$38,0)),0)+IF(③前提!$G$39="その他",IF(③前提!$H$39=0,③前提!$D$39/12,IF(③前提!$H$39=4,③前提!$D$39,0)),0)+IF(③前提!$G$40="その他",IF(③前提!$H$40=0,③前提!$D$40/12,IF(③前提!$H$40=4,③前提!$D$40,0)),0)</f>
        <v>15324332.246383</v>
      </c>
      <c r="G28" s="12" t="n">
        <f aca="false">(⑤部門別損益!F7+⑤部門別損益!F8)/12+IF(③前提!$G$36="その他",IF(③前提!$H$36=0,③前提!$D$36/12,IF(③前提!$H$36=5,③前提!$D$36,0)),0)+IF(③前提!$G$37="その他",IF(③前提!$H$37=0,③前提!$D$37/12,IF(③前提!$H$37=5,③前提!$D$37,0)),0)+IF(③前提!$G$38="その他",IF(③前提!$H$38=0,③前提!$D$38/12,IF(③前提!$H$38=5,③前提!$D$38,0)),0)+IF(③前提!$G$39="その他",IF(③前提!$H$39=0,③前提!$D$39/12,IF(③前提!$H$39=5,③前提!$D$39,0)),0)+IF(③前提!$G$40="その他",IF(③前提!$H$40=0,③前提!$D$40/12,IF(③前提!$H$40=5,③前提!$D$40,0)),0)</f>
        <v>15324332.246383</v>
      </c>
      <c r="H28" s="12" t="n">
        <f aca="false">(⑤部門別損益!F7+⑤部門別損益!F8)/12+IF(③前提!$G$36="その他",IF(③前提!$H$36=0,③前提!$D$36/12,IF(③前提!$H$36=6,③前提!$D$36,0)),0)+IF(③前提!$G$37="その他",IF(③前提!$H$37=0,③前提!$D$37/12,IF(③前提!$H$37=6,③前提!$D$37,0)),0)+IF(③前提!$G$38="その他",IF(③前提!$H$38=0,③前提!$D$38/12,IF(③前提!$H$38=6,③前提!$D$38,0)),0)+IF(③前提!$G$39="その他",IF(③前提!$H$39=0,③前提!$D$39/12,IF(③前提!$H$39=6,③前提!$D$39,0)),0)+IF(③前提!$G$40="その他",IF(③前提!$H$40=0,③前提!$D$40/12,IF(③前提!$H$40=6,③前提!$D$40,0)),0)</f>
        <v>15324332.246383</v>
      </c>
      <c r="I28" s="12" t="n">
        <f aca="false">(⑤部門別損益!F7+⑤部門別損益!F8)/12+IF(③前提!$G$36="その他",IF(③前提!$H$36=0,③前提!$D$36/12,IF(③前提!$H$36=7,③前提!$D$36,0)),0)+IF(③前提!$G$37="その他",IF(③前提!$H$37=0,③前提!$D$37/12,IF(③前提!$H$37=7,③前提!$D$37,0)),0)+IF(③前提!$G$38="その他",IF(③前提!$H$38=0,③前提!$D$38/12,IF(③前提!$H$38=7,③前提!$D$38,0)),0)+IF(③前提!$G$39="その他",IF(③前提!$H$39=0,③前提!$D$39/12,IF(③前提!$H$39=7,③前提!$D$39,0)),0)+IF(③前提!$G$40="その他",IF(③前提!$H$40=0,③前提!$D$40/12,IF(③前提!$H$40=7,③前提!$D$40,0)),0)</f>
        <v>15324332.246383</v>
      </c>
      <c r="J28" s="12" t="n">
        <f aca="false">(⑤部門別損益!F7+⑤部門別損益!F8)/12+IF(③前提!$G$36="その他",IF(③前提!$H$36=0,③前提!$D$36/12,IF(③前提!$H$36=8,③前提!$D$36,0)),0)+IF(③前提!$G$37="その他",IF(③前提!$H$37=0,③前提!$D$37/12,IF(③前提!$H$37=8,③前提!$D$37,0)),0)+IF(③前提!$G$38="その他",IF(③前提!$H$38=0,③前提!$D$38/12,IF(③前提!$H$38=8,③前提!$D$38,0)),0)+IF(③前提!$G$39="その他",IF(③前提!$H$39=0,③前提!$D$39/12,IF(③前提!$H$39=8,③前提!$D$39,0)),0)+IF(③前提!$G$40="その他",IF(③前提!$H$40=0,③前提!$D$40/12,IF(③前提!$H$40=8,③前提!$D$40,0)),0)</f>
        <v>15324332.246383</v>
      </c>
      <c r="K28" s="12" t="n">
        <f aca="false">(⑤部門別損益!F7+⑤部門別損益!F8)/12+IF(③前提!$G$36="その他",IF(③前提!$H$36=0,③前提!$D$36/12,IF(③前提!$H$36=9,③前提!$D$36,0)),0)+IF(③前提!$G$37="その他",IF(③前提!$H$37=0,③前提!$D$37/12,IF(③前提!$H$37=9,③前提!$D$37,0)),0)+IF(③前提!$G$38="その他",IF(③前提!$H$38=0,③前提!$D$38/12,IF(③前提!$H$38=9,③前提!$D$38,0)),0)+IF(③前提!$G$39="その他",IF(③前提!$H$39=0,③前提!$D$39/12,IF(③前提!$H$39=9,③前提!$D$39,0)),0)+IF(③前提!$G$40="その他",IF(③前提!$H$40=0,③前提!$D$40/12,IF(③前提!$H$40=9,③前提!$D$40,0)),0)</f>
        <v>15324332.246383</v>
      </c>
      <c r="L28" s="12" t="n">
        <f aca="false">(⑤部門別損益!F7+⑤部門別損益!F8)/12+IF(③前提!$G$36="その他",IF(③前提!$H$36=0,③前提!$D$36/12,IF(③前提!$H$36=10,③前提!$D$36,0)),0)+IF(③前提!$G$37="その他",IF(③前提!$H$37=0,③前提!$D$37/12,IF(③前提!$H$37=10,③前提!$D$37,0)),0)+IF(③前提!$G$38="その他",IF(③前提!$H$38=0,③前提!$D$38/12,IF(③前提!$H$38=10,③前提!$D$38,0)),0)+IF(③前提!$G$39="その他",IF(③前提!$H$39=0,③前提!$D$39/12,IF(③前提!$H$39=10,③前提!$D$39,0)),0)+IF(③前提!$G$40="その他",IF(③前提!$H$40=0,③前提!$D$40/12,IF(③前提!$H$40=10,③前提!$D$40,0)),0)</f>
        <v>15324332.246383</v>
      </c>
      <c r="M28" s="12" t="n">
        <f aca="false">(⑤部門別損益!F7+⑤部門別損益!F8)/12+IF(③前提!$G$36="その他",IF(③前提!$H$36=0,③前提!$D$36/12,IF(③前提!$H$36=11,③前提!$D$36,0)),0)+IF(③前提!$G$37="その他",IF(③前提!$H$37=0,③前提!$D$37/12,IF(③前提!$H$37=11,③前提!$D$37,0)),0)+IF(③前提!$G$38="その他",IF(③前提!$H$38=0,③前提!$D$38/12,IF(③前提!$H$38=11,③前提!$D$38,0)),0)+IF(③前提!$G$39="その他",IF(③前提!$H$39=0,③前提!$D$39/12,IF(③前提!$H$39=11,③前提!$D$39,0)),0)+IF(③前提!$G$40="その他",IF(③前提!$H$40=0,③前提!$D$40/12,IF(③前提!$H$40=11,③前提!$D$40,0)),0)</f>
        <v>15324332.246383</v>
      </c>
      <c r="N28" s="12" t="n">
        <f aca="false">(⑤部門別損益!F7+⑤部門別損益!F8)/12+IF(③前提!$G$36="その他",IF(③前提!$H$36=0,③前提!$D$36/12,IF(③前提!$H$36=12,③前提!$D$36,0)),0)+IF(③前提!$G$37="その他",IF(③前提!$H$37=0,③前提!$D$37/12,IF(③前提!$H$37=12,③前提!$D$37,0)),0)+IF(③前提!$G$38="その他",IF(③前提!$H$38=0,③前提!$D$38/12,IF(③前提!$H$38=12,③前提!$D$38,0)),0)+IF(③前提!$G$39="その他",IF(③前提!$H$39=0,③前提!$D$39/12,IF(③前提!$H$39=12,③前提!$D$39,0)),0)+IF(③前提!$G$40="その他",IF(③前提!$H$40=0,③前提!$D$40/12,IF(③前提!$H$40=12,③前提!$D$40,0)),0)</f>
        <v>15324332.246383</v>
      </c>
      <c r="O28" s="8" t="n">
        <f aca="false">SUM(C28:N28)</f>
        <v>183891986.956596</v>
      </c>
    </row>
    <row r="29" customFormat="false" ht="15" hidden="false" customHeight="false" outlineLevel="0" collapsed="false">
      <c r="B29" s="10" t="s">
        <v>33</v>
      </c>
      <c r="C29" s="12" t="n">
        <f aca="false">(⑤部門別損益!F11+⑤部門別損益!F12)/12+IF(③前提!$G$36="その他",IF(③前提!$H$36=0,③前提!$D$36/12,IF(③前提!$H$36=1,③前提!$D$36,0)),0)+IF(③前提!$G$37="その他",IF(③前提!$H$37=0,③前提!$D$37/12,IF(③前提!$H$37=1,③前提!$D$37,0)),0)+IF(③前提!$G$38="その他",IF(③前提!$H$38=0,③前提!$D$38/12,IF(③前提!$H$38=1,③前提!$D$38,0)),0)+IF(③前提!$G$39="その他",IF(③前提!$H$39=0,③前提!$D$39/12,IF(③前提!$H$39=1,③前提!$D$39,0)),0)+IF(③前提!$G$40="その他",IF(③前提!$H$40=0,③前提!$D$40/12,IF(③前提!$H$40=1,③前提!$D$40,0)),0)</f>
        <v>13677856.2644944</v>
      </c>
      <c r="D29" s="12" t="n">
        <f aca="false">(⑤部門別損益!F11+⑤部門別損益!F12)/12+IF(③前提!$G$36="その他",IF(③前提!$H$36=0,③前提!$D$36/12,IF(③前提!$H$36=2,③前提!$D$36,0)),0)+IF(③前提!$G$37="その他",IF(③前提!$H$37=0,③前提!$D$37/12,IF(③前提!$H$37=2,③前提!$D$37,0)),0)+IF(③前提!$G$38="その他",IF(③前提!$H$38=0,③前提!$D$38/12,IF(③前提!$H$38=2,③前提!$D$38,0)),0)+IF(③前提!$G$39="その他",IF(③前提!$H$39=0,③前提!$D$39/12,IF(③前提!$H$39=2,③前提!$D$39,0)),0)+IF(③前提!$G$40="その他",IF(③前提!$H$40=0,③前提!$D$40/12,IF(③前提!$H$40=2,③前提!$D$40,0)),0)</f>
        <v>13677856.2644944</v>
      </c>
      <c r="E29" s="12" t="n">
        <f aca="false">(⑤部門別損益!F11+⑤部門別損益!F12)/12+IF(③前提!$G$36="その他",IF(③前提!$H$36=0,③前提!$D$36/12,IF(③前提!$H$36=3,③前提!$D$36,0)),0)+IF(③前提!$G$37="その他",IF(③前提!$H$37=0,③前提!$D$37/12,IF(③前提!$H$37=3,③前提!$D$37,0)),0)+IF(③前提!$G$38="その他",IF(③前提!$H$38=0,③前提!$D$38/12,IF(③前提!$H$38=3,③前提!$D$38,0)),0)+IF(③前提!$G$39="その他",IF(③前提!$H$39=0,③前提!$D$39/12,IF(③前提!$H$39=3,③前提!$D$39,0)),0)+IF(③前提!$G$40="その他",IF(③前提!$H$40=0,③前提!$D$40/12,IF(③前提!$H$40=3,③前提!$D$40,0)),0)</f>
        <v>13677856.2644944</v>
      </c>
      <c r="F29" s="12" t="n">
        <f aca="false">(⑤部門別損益!F11+⑤部門別損益!F12)/12+IF(③前提!$G$36="その他",IF(③前提!$H$36=0,③前提!$D$36/12,IF(③前提!$H$36=4,③前提!$D$36,0)),0)+IF(③前提!$G$37="その他",IF(③前提!$H$37=0,③前提!$D$37/12,IF(③前提!$H$37=4,③前提!$D$37,0)),0)+IF(③前提!$G$38="その他",IF(③前提!$H$38=0,③前提!$D$38/12,IF(③前提!$H$38=4,③前提!$D$38,0)),0)+IF(③前提!$G$39="その他",IF(③前提!$H$39=0,③前提!$D$39/12,IF(③前提!$H$39=4,③前提!$D$39,0)),0)+IF(③前提!$G$40="その他",IF(③前提!$H$40=0,③前提!$D$40/12,IF(③前提!$H$40=4,③前提!$D$40,0)),0)</f>
        <v>13677856.2644944</v>
      </c>
      <c r="G29" s="12" t="n">
        <f aca="false">(⑤部門別損益!F11+⑤部門別損益!F12)/12+IF(③前提!$G$36="その他",IF(③前提!$H$36=0,③前提!$D$36/12,IF(③前提!$H$36=5,③前提!$D$36,0)),0)+IF(③前提!$G$37="その他",IF(③前提!$H$37=0,③前提!$D$37/12,IF(③前提!$H$37=5,③前提!$D$37,0)),0)+IF(③前提!$G$38="その他",IF(③前提!$H$38=0,③前提!$D$38/12,IF(③前提!$H$38=5,③前提!$D$38,0)),0)+IF(③前提!$G$39="その他",IF(③前提!$H$39=0,③前提!$D$39/12,IF(③前提!$H$39=5,③前提!$D$39,0)),0)+IF(③前提!$G$40="その他",IF(③前提!$H$40=0,③前提!$D$40/12,IF(③前提!$H$40=5,③前提!$D$40,0)),0)</f>
        <v>13677856.2644944</v>
      </c>
      <c r="H29" s="12" t="n">
        <f aca="false">(⑤部門別損益!F11+⑤部門別損益!F12)/12+IF(③前提!$G$36="その他",IF(③前提!$H$36=0,③前提!$D$36/12,IF(③前提!$H$36=6,③前提!$D$36,0)),0)+IF(③前提!$G$37="その他",IF(③前提!$H$37=0,③前提!$D$37/12,IF(③前提!$H$37=6,③前提!$D$37,0)),0)+IF(③前提!$G$38="その他",IF(③前提!$H$38=0,③前提!$D$38/12,IF(③前提!$H$38=6,③前提!$D$38,0)),0)+IF(③前提!$G$39="その他",IF(③前提!$H$39=0,③前提!$D$39/12,IF(③前提!$H$39=6,③前提!$D$39,0)),0)+IF(③前提!$G$40="その他",IF(③前提!$H$40=0,③前提!$D$40/12,IF(③前提!$H$40=6,③前提!$D$40,0)),0)</f>
        <v>13677856.2644944</v>
      </c>
      <c r="I29" s="12" t="n">
        <f aca="false">(⑤部門別損益!F11+⑤部門別損益!F12)/12+IF(③前提!$G$36="その他",IF(③前提!$H$36=0,③前提!$D$36/12,IF(③前提!$H$36=7,③前提!$D$36,0)),0)+IF(③前提!$G$37="その他",IF(③前提!$H$37=0,③前提!$D$37/12,IF(③前提!$H$37=7,③前提!$D$37,0)),0)+IF(③前提!$G$38="その他",IF(③前提!$H$38=0,③前提!$D$38/12,IF(③前提!$H$38=7,③前提!$D$38,0)),0)+IF(③前提!$G$39="その他",IF(③前提!$H$39=0,③前提!$D$39/12,IF(③前提!$H$39=7,③前提!$D$39,0)),0)+IF(③前提!$G$40="その他",IF(③前提!$H$40=0,③前提!$D$40/12,IF(③前提!$H$40=7,③前提!$D$40,0)),0)</f>
        <v>13677856.2644944</v>
      </c>
      <c r="J29" s="12" t="n">
        <f aca="false">(⑤部門別損益!F11+⑤部門別損益!F12)/12+IF(③前提!$G$36="その他",IF(③前提!$H$36=0,③前提!$D$36/12,IF(③前提!$H$36=8,③前提!$D$36,0)),0)+IF(③前提!$G$37="その他",IF(③前提!$H$37=0,③前提!$D$37/12,IF(③前提!$H$37=8,③前提!$D$37,0)),0)+IF(③前提!$G$38="その他",IF(③前提!$H$38=0,③前提!$D$38/12,IF(③前提!$H$38=8,③前提!$D$38,0)),0)+IF(③前提!$G$39="その他",IF(③前提!$H$39=0,③前提!$D$39/12,IF(③前提!$H$39=8,③前提!$D$39,0)),0)+IF(③前提!$G$40="その他",IF(③前提!$H$40=0,③前提!$D$40/12,IF(③前提!$H$40=8,③前提!$D$40,0)),0)</f>
        <v>13677856.2644944</v>
      </c>
      <c r="K29" s="12" t="n">
        <f aca="false">(⑤部門別損益!F11+⑤部門別損益!F12)/12+IF(③前提!$G$36="その他",IF(③前提!$H$36=0,③前提!$D$36/12,IF(③前提!$H$36=9,③前提!$D$36,0)),0)+IF(③前提!$G$37="その他",IF(③前提!$H$37=0,③前提!$D$37/12,IF(③前提!$H$37=9,③前提!$D$37,0)),0)+IF(③前提!$G$38="その他",IF(③前提!$H$38=0,③前提!$D$38/12,IF(③前提!$H$38=9,③前提!$D$38,0)),0)+IF(③前提!$G$39="その他",IF(③前提!$H$39=0,③前提!$D$39/12,IF(③前提!$H$39=9,③前提!$D$39,0)),0)+IF(③前提!$G$40="その他",IF(③前提!$H$40=0,③前提!$D$40/12,IF(③前提!$H$40=9,③前提!$D$40,0)),0)</f>
        <v>13677856.2644944</v>
      </c>
      <c r="L29" s="12" t="n">
        <f aca="false">(⑤部門別損益!F11+⑤部門別損益!F12)/12+IF(③前提!$G$36="その他",IF(③前提!$H$36=0,③前提!$D$36/12,IF(③前提!$H$36=10,③前提!$D$36,0)),0)+IF(③前提!$G$37="その他",IF(③前提!$H$37=0,③前提!$D$37/12,IF(③前提!$H$37=10,③前提!$D$37,0)),0)+IF(③前提!$G$38="その他",IF(③前提!$H$38=0,③前提!$D$38/12,IF(③前提!$H$38=10,③前提!$D$38,0)),0)+IF(③前提!$G$39="その他",IF(③前提!$H$39=0,③前提!$D$39/12,IF(③前提!$H$39=10,③前提!$D$39,0)),0)+IF(③前提!$G$40="その他",IF(③前提!$H$40=0,③前提!$D$40/12,IF(③前提!$H$40=10,③前提!$D$40,0)),0)</f>
        <v>13677856.2644944</v>
      </c>
      <c r="M29" s="12" t="n">
        <f aca="false">(⑤部門別損益!F11+⑤部門別損益!F12)/12+IF(③前提!$G$36="その他",IF(③前提!$H$36=0,③前提!$D$36/12,IF(③前提!$H$36=11,③前提!$D$36,0)),0)+IF(③前提!$G$37="その他",IF(③前提!$H$37=0,③前提!$D$37/12,IF(③前提!$H$37=11,③前提!$D$37,0)),0)+IF(③前提!$G$38="その他",IF(③前提!$H$38=0,③前提!$D$38/12,IF(③前提!$H$38=11,③前提!$D$38,0)),0)+IF(③前提!$G$39="その他",IF(③前提!$H$39=0,③前提!$D$39/12,IF(③前提!$H$39=11,③前提!$D$39,0)),0)+IF(③前提!$G$40="その他",IF(③前提!$H$40=0,③前提!$D$40/12,IF(③前提!$H$40=11,③前提!$D$40,0)),0)</f>
        <v>13677856.2644944</v>
      </c>
      <c r="N29" s="12" t="n">
        <f aca="false">(⑤部門別損益!F11+⑤部門別損益!F12)/12+IF(③前提!$G$36="その他",IF(③前提!$H$36=0,③前提!$D$36/12,IF(③前提!$H$36=12,③前提!$D$36,0)),0)+IF(③前提!$G$37="その他",IF(③前提!$H$37=0,③前提!$D$37/12,IF(③前提!$H$37=12,③前提!$D$37,0)),0)+IF(③前提!$G$38="その他",IF(③前提!$H$38=0,③前提!$D$38/12,IF(③前提!$H$38=12,③前提!$D$38,0)),0)+IF(③前提!$G$39="その他",IF(③前提!$H$39=0,③前提!$D$39/12,IF(③前提!$H$39=12,③前提!$D$39,0)),0)+IF(③前提!$G$40="その他",IF(③前提!$H$40=0,③前提!$D$40/12,IF(③前提!$H$40=12,③前提!$D$40,0)),0)</f>
        <v>13677856.2644944</v>
      </c>
      <c r="O29" s="8" t="n">
        <f aca="false">SUM(C29:N29)</f>
        <v>164134275.173933</v>
      </c>
    </row>
    <row r="30" customFormat="false" ht="15" hidden="false" customHeight="false" outlineLevel="0" collapsed="false">
      <c r="B30" s="10" t="s">
        <v>14</v>
      </c>
      <c r="C30" s="12" t="n">
        <f aca="false">⑤部門別損益!F17/12</f>
        <v>10060460.7800349</v>
      </c>
      <c r="D30" s="12" t="n">
        <f aca="false">⑤部門別損益!F17/12</f>
        <v>10060460.7800349</v>
      </c>
      <c r="E30" s="12" t="n">
        <f aca="false">⑤部門別損益!F17/12</f>
        <v>10060460.7800349</v>
      </c>
      <c r="F30" s="12" t="n">
        <f aca="false">⑤部門別損益!F17/12</f>
        <v>10060460.7800349</v>
      </c>
      <c r="G30" s="12" t="n">
        <f aca="false">⑤部門別損益!F17/12</f>
        <v>10060460.7800349</v>
      </c>
      <c r="H30" s="12" t="n">
        <f aca="false">⑤部門別損益!F17/12</f>
        <v>10060460.7800349</v>
      </c>
      <c r="I30" s="12" t="n">
        <f aca="false">⑤部門別損益!F17/12</f>
        <v>10060460.7800349</v>
      </c>
      <c r="J30" s="12" t="n">
        <f aca="false">⑤部門別損益!F17/12</f>
        <v>10060460.7800349</v>
      </c>
      <c r="K30" s="12" t="n">
        <f aca="false">⑤部門別損益!F17/12</f>
        <v>10060460.7800349</v>
      </c>
      <c r="L30" s="12" t="n">
        <f aca="false">⑤部門別損益!F17/12</f>
        <v>10060460.7800349</v>
      </c>
      <c r="M30" s="12" t="n">
        <f aca="false">⑤部門別損益!F17/12</f>
        <v>10060460.7800349</v>
      </c>
      <c r="N30" s="12" t="n">
        <f aca="false">⑤部門別損益!F17/12</f>
        <v>10060460.7800349</v>
      </c>
      <c r="O30" s="8" t="n">
        <f aca="false">SUM(C30:N30)</f>
        <v>120725529.360419</v>
      </c>
    </row>
    <row r="31" customFormat="false" ht="15" hidden="false" customHeight="false" outlineLevel="0" collapsed="false">
      <c r="B31" s="25" t="s">
        <v>34</v>
      </c>
      <c r="C31" s="15" t="n">
        <f aca="false">C29-C30</f>
        <v>3617395.48445947</v>
      </c>
      <c r="D31" s="15" t="n">
        <f aca="false">D29-D30</f>
        <v>3617395.48445947</v>
      </c>
      <c r="E31" s="15" t="n">
        <f aca="false">E29-E30</f>
        <v>3617395.48445947</v>
      </c>
      <c r="F31" s="15" t="n">
        <f aca="false">F29-F30</f>
        <v>3617395.48445947</v>
      </c>
      <c r="G31" s="15" t="n">
        <f aca="false">G29-G30</f>
        <v>3617395.48445947</v>
      </c>
      <c r="H31" s="15" t="n">
        <f aca="false">H29-H30</f>
        <v>3617395.48445947</v>
      </c>
      <c r="I31" s="15" t="n">
        <f aca="false">I29-I30</f>
        <v>3617395.48445947</v>
      </c>
      <c r="J31" s="15" t="n">
        <f aca="false">J29-J30</f>
        <v>3617395.48445947</v>
      </c>
      <c r="K31" s="15" t="n">
        <f aca="false">K29-K30</f>
        <v>3617395.48445947</v>
      </c>
      <c r="L31" s="15" t="n">
        <f aca="false">L29-L30</f>
        <v>3617395.48445947</v>
      </c>
      <c r="M31" s="15" t="n">
        <f aca="false">M29-M30</f>
        <v>3617395.48445947</v>
      </c>
      <c r="N31" s="15" t="n">
        <f aca="false">N29-N30</f>
        <v>3617395.48445947</v>
      </c>
      <c r="O31" s="8" t="n">
        <f aca="false">SUM(C31:N31)</f>
        <v>43408745.8135137</v>
      </c>
    </row>
    <row r="33" customFormat="false" ht="15" hidden="false" customHeight="false" outlineLevel="0" collapsed="false">
      <c r="B33" s="3" t="s">
        <v>216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customFormat="false" ht="15" hidden="false" customHeight="false" outlineLevel="0" collapsed="false">
      <c r="B34" s="5" t="s">
        <v>3</v>
      </c>
      <c r="C34" s="6" t="s">
        <v>200</v>
      </c>
      <c r="D34" s="6" t="s">
        <v>201</v>
      </c>
      <c r="E34" s="6" t="s">
        <v>202</v>
      </c>
      <c r="F34" s="6" t="s">
        <v>203</v>
      </c>
      <c r="G34" s="6" t="s">
        <v>204</v>
      </c>
      <c r="H34" s="6" t="s">
        <v>205</v>
      </c>
      <c r="I34" s="6" t="s">
        <v>206</v>
      </c>
      <c r="J34" s="6" t="s">
        <v>207</v>
      </c>
      <c r="K34" s="6" t="s">
        <v>208</v>
      </c>
      <c r="L34" s="6" t="s">
        <v>209</v>
      </c>
      <c r="M34" s="6" t="s">
        <v>210</v>
      </c>
      <c r="N34" s="6" t="s">
        <v>211</v>
      </c>
      <c r="O34" s="5" t="s">
        <v>212</v>
      </c>
    </row>
    <row r="35" customFormat="false" ht="15" hidden="false" customHeight="false" outlineLevel="0" collapsed="false">
      <c r="B35" s="10" t="s">
        <v>27</v>
      </c>
      <c r="C35" s="12" t="n">
        <f aca="false">C7+C14+C21+C28</f>
        <v>64181149.75</v>
      </c>
      <c r="D35" s="12" t="n">
        <f aca="false">D7+D14+D21+D28</f>
        <v>64181149.75</v>
      </c>
      <c r="E35" s="12" t="n">
        <f aca="false">E7+E14+E21+E28</f>
        <v>64181149.75</v>
      </c>
      <c r="F35" s="12" t="n">
        <f aca="false">F7+F14+F21+F28</f>
        <v>64181149.75</v>
      </c>
      <c r="G35" s="12" t="n">
        <f aca="false">G7+G14+G21+G28</f>
        <v>64181149.75</v>
      </c>
      <c r="H35" s="12" t="n">
        <f aca="false">H7+H14+H21+H28</f>
        <v>64181149.75</v>
      </c>
      <c r="I35" s="12" t="n">
        <f aca="false">I7+I14+I21+I28</f>
        <v>64181149.75</v>
      </c>
      <c r="J35" s="12" t="n">
        <f aca="false">J7+J14+J21+J28</f>
        <v>64181149.75</v>
      </c>
      <c r="K35" s="12" t="n">
        <f aca="false">K7+K14+K21+K28</f>
        <v>64181149.75</v>
      </c>
      <c r="L35" s="12" t="n">
        <f aca="false">L7+L14+L21+L28</f>
        <v>64181149.75</v>
      </c>
      <c r="M35" s="12" t="n">
        <f aca="false">M7+M14+M21+M28</f>
        <v>64181149.75</v>
      </c>
      <c r="N35" s="12" t="n">
        <f aca="false">N7+N14+N21+N28</f>
        <v>64181149.75</v>
      </c>
      <c r="O35" s="8" t="n">
        <f aca="false">SUM(C35:N35)</f>
        <v>770173797</v>
      </c>
    </row>
    <row r="36" customFormat="false" ht="15" hidden="false" customHeight="false" outlineLevel="0" collapsed="false">
      <c r="B36" s="10" t="s">
        <v>33</v>
      </c>
      <c r="C36" s="12" t="n">
        <f aca="false">C8+C15+C22+C29</f>
        <v>32132391.7416667</v>
      </c>
      <c r="D36" s="12" t="n">
        <f aca="false">D8+D15+D22+D29</f>
        <v>32132391.7416667</v>
      </c>
      <c r="E36" s="12" t="n">
        <f aca="false">E8+E15+E22+E29</f>
        <v>32132391.7416667</v>
      </c>
      <c r="F36" s="12" t="n">
        <f aca="false">F8+F15+F22+F29</f>
        <v>32132391.7416667</v>
      </c>
      <c r="G36" s="12" t="n">
        <f aca="false">G8+G15+G22+G29</f>
        <v>32132391.7416667</v>
      </c>
      <c r="H36" s="12" t="n">
        <f aca="false">H8+H15+H22+H29</f>
        <v>32132391.7416667</v>
      </c>
      <c r="I36" s="12" t="n">
        <f aca="false">I8+I15+I22+I29</f>
        <v>32132391.7416667</v>
      </c>
      <c r="J36" s="12" t="n">
        <f aca="false">J8+J15+J22+J29</f>
        <v>32132391.7416667</v>
      </c>
      <c r="K36" s="12" t="n">
        <f aca="false">K8+K15+K22+K29</f>
        <v>32132391.7416667</v>
      </c>
      <c r="L36" s="12" t="n">
        <f aca="false">L8+L15+L22+L29</f>
        <v>32132391.7416667</v>
      </c>
      <c r="M36" s="12" t="n">
        <f aca="false">M8+M15+M22+M29</f>
        <v>32132391.7416667</v>
      </c>
      <c r="N36" s="12" t="n">
        <f aca="false">N8+N15+N22+N29</f>
        <v>32132391.7416667</v>
      </c>
      <c r="O36" s="8" t="n">
        <f aca="false">SUM(C36:N36)</f>
        <v>385588700.9</v>
      </c>
    </row>
    <row r="37" customFormat="false" ht="15" hidden="false" customHeight="false" outlineLevel="0" collapsed="false">
      <c r="B37" s="10" t="s">
        <v>14</v>
      </c>
      <c r="C37" s="12" t="n">
        <f aca="false">C9+C16+C23+C30</f>
        <v>26802477.8333333</v>
      </c>
      <c r="D37" s="12" t="n">
        <f aca="false">D9+D16+D23+D30</f>
        <v>26802477.8333333</v>
      </c>
      <c r="E37" s="12" t="n">
        <f aca="false">E9+E16+E23+E30</f>
        <v>26802477.8333333</v>
      </c>
      <c r="F37" s="12" t="n">
        <f aca="false">F9+F16+F23+F30</f>
        <v>26802477.8333333</v>
      </c>
      <c r="G37" s="12" t="n">
        <f aca="false">G9+G16+G23+G30</f>
        <v>26802477.8333333</v>
      </c>
      <c r="H37" s="12" t="n">
        <f aca="false">H9+H16+H23+H30</f>
        <v>26802477.8333333</v>
      </c>
      <c r="I37" s="12" t="n">
        <f aca="false">I9+I16+I23+I30</f>
        <v>26802477.8333333</v>
      </c>
      <c r="J37" s="12" t="n">
        <f aca="false">J9+J16+J23+J30</f>
        <v>26802477.8333333</v>
      </c>
      <c r="K37" s="12" t="n">
        <f aca="false">K9+K16+K23+K30</f>
        <v>26802477.8333333</v>
      </c>
      <c r="L37" s="12" t="n">
        <f aca="false">L9+L16+L23+L30</f>
        <v>26802477.8333333</v>
      </c>
      <c r="M37" s="12" t="n">
        <f aca="false">M9+M16+M23+M30</f>
        <v>26802477.8333333</v>
      </c>
      <c r="N37" s="12" t="n">
        <f aca="false">N9+N16+N23+N30</f>
        <v>26802477.8333333</v>
      </c>
      <c r="O37" s="8" t="n">
        <f aca="false">SUM(C37:N37)</f>
        <v>321629734</v>
      </c>
    </row>
    <row r="38" customFormat="false" ht="15" hidden="false" customHeight="false" outlineLevel="0" collapsed="false">
      <c r="B38" s="25" t="s">
        <v>34</v>
      </c>
      <c r="C38" s="15" t="n">
        <f aca="false">C10+C17+C24+C31</f>
        <v>5329913.90833333</v>
      </c>
      <c r="D38" s="15" t="n">
        <f aca="false">D10+D17+D24+D31</f>
        <v>5329913.90833333</v>
      </c>
      <c r="E38" s="15" t="n">
        <f aca="false">E10+E17+E24+E31</f>
        <v>5329913.90833333</v>
      </c>
      <c r="F38" s="15" t="n">
        <f aca="false">F10+F17+F24+F31</f>
        <v>5329913.90833333</v>
      </c>
      <c r="G38" s="15" t="n">
        <f aca="false">G10+G17+G24+G31</f>
        <v>5329913.90833333</v>
      </c>
      <c r="H38" s="15" t="n">
        <f aca="false">H10+H17+H24+H31</f>
        <v>5329913.90833333</v>
      </c>
      <c r="I38" s="15" t="n">
        <f aca="false">I10+I17+I24+I31</f>
        <v>5329913.90833333</v>
      </c>
      <c r="J38" s="15" t="n">
        <f aca="false">J10+J17+J24+J31</f>
        <v>5329913.90833333</v>
      </c>
      <c r="K38" s="15" t="n">
        <f aca="false">K10+K17+K24+K31</f>
        <v>5329913.90833333</v>
      </c>
      <c r="L38" s="15" t="n">
        <f aca="false">L10+L17+L24+L31</f>
        <v>5329913.90833333</v>
      </c>
      <c r="M38" s="15" t="n">
        <f aca="false">M10+M17+M24+M31</f>
        <v>5329913.90833333</v>
      </c>
      <c r="N38" s="15" t="n">
        <f aca="false">N10+N17+N24+N31</f>
        <v>5329913.90833333</v>
      </c>
      <c r="O38" s="8" t="n">
        <f aca="false">SUM(C38:N38)</f>
        <v>63958966.9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8" min="3" style="0" width="16"/>
    <col collapsed="false" customWidth="true" hidden="false" outlineLevel="0" max="9" min="9" style="0" width="40"/>
  </cols>
  <sheetData>
    <row r="1" customFormat="false" ht="18.55" hidden="false" customHeight="false" outlineLevel="0" collapsed="false">
      <c r="B1" s="34" t="s">
        <v>217</v>
      </c>
    </row>
    <row r="2" customFormat="false" ht="15" hidden="false" customHeight="false" outlineLevel="0" collapsed="false">
      <c r="B2" s="13" t="s">
        <v>218</v>
      </c>
    </row>
    <row r="4" customFormat="false" ht="15" hidden="false" customHeight="false" outlineLevel="0" collapsed="false">
      <c r="C4" s="31" t="s">
        <v>219</v>
      </c>
      <c r="D4" s="31"/>
      <c r="E4" s="31"/>
      <c r="F4" s="31" t="s">
        <v>220</v>
      </c>
      <c r="G4" s="31"/>
      <c r="H4" s="31"/>
    </row>
    <row r="5" customFormat="false" ht="15" hidden="false" customHeight="false" outlineLevel="0" collapsed="false">
      <c r="C5" s="33" t="s">
        <v>5</v>
      </c>
      <c r="D5" s="33" t="s">
        <v>6</v>
      </c>
      <c r="E5" s="33" t="s">
        <v>7</v>
      </c>
      <c r="F5" s="33" t="s">
        <v>5</v>
      </c>
      <c r="G5" s="33" t="s">
        <v>6</v>
      </c>
      <c r="H5" s="33" t="s">
        <v>7</v>
      </c>
    </row>
    <row r="6" customFormat="false" ht="15" hidden="false" customHeight="false" outlineLevel="0" collapsed="false">
      <c r="B6" s="10" t="s">
        <v>221</v>
      </c>
      <c r="C6" s="12" t="n">
        <f aca="false">④FY2026着地!$H$21</f>
        <v>563399315</v>
      </c>
      <c r="D6" s="12" t="n">
        <f aca="false">C9</f>
        <v>578814218.9</v>
      </c>
      <c r="E6" s="12" t="n">
        <f aca="false">D9</f>
        <v>594229122.8</v>
      </c>
      <c r="F6" s="12" t="n">
        <f aca="false">④FY2026着地!$H$21</f>
        <v>563399315</v>
      </c>
      <c r="G6" s="12" t="n">
        <f aca="false">F9</f>
        <v>578814218.9</v>
      </c>
      <c r="H6" s="12" t="n">
        <f aca="false">G9</f>
        <v>594229122.8</v>
      </c>
    </row>
    <row r="7" customFormat="false" ht="15" hidden="false" customHeight="false" outlineLevel="0" collapsed="false">
      <c r="B7" s="10" t="s">
        <v>222</v>
      </c>
      <c r="C7" s="12" t="n">
        <f aca="false">③前提!$D$61</f>
        <v>400000000</v>
      </c>
      <c r="D7" s="12" t="n">
        <f aca="false">③前提!$E$61</f>
        <v>400000000</v>
      </c>
      <c r="E7" s="12" t="n">
        <f aca="false">③前提!$F$61</f>
        <v>400000000</v>
      </c>
      <c r="F7" s="12" t="n">
        <f aca="false">③前提!$D$61+③前提!$D$45*(1-③前提!$D$46)</f>
        <v>1065000000</v>
      </c>
      <c r="G7" s="12" t="n">
        <f aca="false">③前提!$E$61+③前提!$E$45*(1-③前提!$E$46)</f>
        <v>1350000000</v>
      </c>
      <c r="H7" s="12" t="n">
        <f aca="false">③前提!$F$61+③前提!$F$45*(1-③前提!$F$46)</f>
        <v>1350000000</v>
      </c>
    </row>
    <row r="8" customFormat="false" ht="15" hidden="false" customHeight="false" outlineLevel="0" collapsed="false">
      <c r="B8" s="10" t="s">
        <v>223</v>
      </c>
      <c r="C8" s="12" t="n">
        <f aca="false">-②シナリオ比較!$F$24</f>
        <v>-384585096.1</v>
      </c>
      <c r="D8" s="12" t="n">
        <f aca="false">-②シナリオ比較!$G$24</f>
        <v>-384585096.1</v>
      </c>
      <c r="E8" s="12" t="n">
        <f aca="false">-②シナリオ比較!$H$24</f>
        <v>-384585096.1</v>
      </c>
      <c r="F8" s="12" t="n">
        <f aca="false">-②シナリオ比較!$I$24</f>
        <v>-1049585096.1</v>
      </c>
      <c r="G8" s="12" t="n">
        <f aca="false">-②シナリオ比較!$J$24</f>
        <v>-1334585096.1</v>
      </c>
      <c r="H8" s="12" t="n">
        <f aca="false">-②シナリオ比較!$K$24</f>
        <v>-1334585096.1</v>
      </c>
    </row>
    <row r="9" customFormat="false" ht="15" hidden="false" customHeight="false" outlineLevel="0" collapsed="false">
      <c r="B9" s="25" t="s">
        <v>224</v>
      </c>
      <c r="C9" s="15" t="n">
        <f aca="false">SUM(C6:C8)</f>
        <v>578814218.9</v>
      </c>
      <c r="D9" s="15" t="n">
        <f aca="false">SUM(D6:D8)</f>
        <v>594229122.8</v>
      </c>
      <c r="E9" s="15" t="n">
        <f aca="false">SUM(E6:E8)</f>
        <v>609644026.7</v>
      </c>
      <c r="F9" s="15" t="n">
        <f aca="false">SUM(F6:F8)</f>
        <v>578814218.9</v>
      </c>
      <c r="G9" s="15" t="n">
        <f aca="false">SUM(G6:G8)</f>
        <v>594229122.8</v>
      </c>
      <c r="H9" s="15" t="n">
        <f aca="false">SUM(H6:H8)</f>
        <v>609644026.7</v>
      </c>
    </row>
    <row r="11" customFormat="false" ht="15" hidden="false" customHeight="false" outlineLevel="0" collapsed="false">
      <c r="B11" s="10" t="s">
        <v>225</v>
      </c>
      <c r="C11" s="12" t="n">
        <f aca="false">③前提!$C$58</f>
        <v>30000000</v>
      </c>
      <c r="D11" s="12" t="n">
        <f aca="false">C17</f>
        <v>55398539</v>
      </c>
      <c r="E11" s="12" t="n">
        <f aca="false">D17</f>
        <v>110358873.08</v>
      </c>
      <c r="F11" s="12" t="n">
        <f aca="false">③前提!$C$58</f>
        <v>30000000</v>
      </c>
      <c r="G11" s="12" t="n">
        <f aca="false">F17</f>
        <v>90398539</v>
      </c>
      <c r="H11" s="12" t="n">
        <f aca="false">G17</f>
        <v>182927285.8408</v>
      </c>
    </row>
    <row r="12" customFormat="false" ht="15" hidden="false" customHeight="false" outlineLevel="0" collapsed="false">
      <c r="B12" s="10" t="s">
        <v>226</v>
      </c>
      <c r="C12" s="12" t="n">
        <f aca="false">②シナリオ比較!$F$18</f>
        <v>51958966.9</v>
      </c>
      <c r="D12" s="12" t="n">
        <f aca="false">②シナリオ比較!$G$18</f>
        <v>81590761.98</v>
      </c>
      <c r="E12" s="12" t="n">
        <f aca="false">②シナリオ比較!$H$18</f>
        <v>81151510.9124</v>
      </c>
      <c r="F12" s="12" t="n">
        <f aca="false">②シナリオ比較!$I$18</f>
        <v>86958966.9</v>
      </c>
      <c r="G12" s="12" t="n">
        <f aca="false">②シナリオ比較!$J$18</f>
        <v>131590761.98</v>
      </c>
      <c r="H12" s="12" t="n">
        <f aca="false">②シナリオ比較!$K$18</f>
        <v>131151510.9124</v>
      </c>
    </row>
    <row r="13" customFormat="false" ht="15" hidden="false" customHeight="false" outlineLevel="0" collapsed="false">
      <c r="B13" s="10" t="s">
        <v>227</v>
      </c>
      <c r="C13" s="12" t="n">
        <f aca="false">③前提!$C$59</f>
        <v>37854476</v>
      </c>
      <c r="D13" s="12" t="n">
        <f aca="false">③前提!$C$59</f>
        <v>37854476</v>
      </c>
      <c r="E13" s="12" t="n">
        <f aca="false">③前提!$C$59</f>
        <v>37854476</v>
      </c>
      <c r="F13" s="12" t="n">
        <f aca="false">③前提!$C$59</f>
        <v>37854476</v>
      </c>
      <c r="G13" s="12" t="n">
        <f aca="false">③前提!$C$59</f>
        <v>37854476</v>
      </c>
      <c r="H13" s="12" t="n">
        <f aca="false">③前提!$C$59</f>
        <v>37854476</v>
      </c>
    </row>
    <row r="14" customFormat="false" ht="15" hidden="false" customHeight="false" outlineLevel="0" collapsed="false">
      <c r="B14" s="10" t="s">
        <v>228</v>
      </c>
      <c r="C14" s="12" t="n">
        <f aca="false">-②シナリオ比較!$F$22</f>
        <v>-0</v>
      </c>
      <c r="D14" s="12" t="n">
        <f aca="false">-②シナリオ比較!$G$22</f>
        <v>-70000</v>
      </c>
      <c r="E14" s="12" t="n">
        <f aca="false">-②シナリオ比較!$H$22</f>
        <v>-11193100.949416</v>
      </c>
      <c r="F14" s="12" t="n">
        <f aca="false">-②シナリオ比較!$I$22</f>
        <v>-0</v>
      </c>
      <c r="G14" s="12" t="n">
        <f aca="false">-②シナリオ比較!$J$22</f>
        <v>-12501587.2392</v>
      </c>
      <c r="H14" s="12" t="n">
        <f aca="false">-②シナリオ比較!$K$22</f>
        <v>-44661513.710216</v>
      </c>
    </row>
    <row r="15" customFormat="false" ht="15" hidden="false" customHeight="false" outlineLevel="0" collapsed="false">
      <c r="B15" s="10" t="s">
        <v>229</v>
      </c>
      <c r="C15" s="12" t="n">
        <f aca="false">-(C9-C6)</f>
        <v>-15414903.9</v>
      </c>
      <c r="D15" s="12" t="n">
        <f aca="false">-(D9-D6)</f>
        <v>-15414903.9</v>
      </c>
      <c r="E15" s="12" t="n">
        <f aca="false">-(E9-E6)</f>
        <v>-15414903.9</v>
      </c>
      <c r="F15" s="12" t="n">
        <f aca="false">-(F9-F6)</f>
        <v>-15414903.9</v>
      </c>
      <c r="G15" s="12" t="n">
        <f aca="false">-(G9-G6)</f>
        <v>-15414903.9000002</v>
      </c>
      <c r="H15" s="12" t="n">
        <f aca="false">-(H9-H6)</f>
        <v>-15414903.9000001</v>
      </c>
    </row>
    <row r="16" customFormat="false" ht="15" hidden="false" customHeight="false" outlineLevel="0" collapsed="false">
      <c r="B16" s="10" t="s">
        <v>230</v>
      </c>
      <c r="C16" s="12" t="n">
        <f aca="false">-③前提!$D$60</f>
        <v>-49000000</v>
      </c>
      <c r="D16" s="12" t="n">
        <f aca="false">-③前提!$E$60</f>
        <v>-49000000</v>
      </c>
      <c r="E16" s="12" t="n">
        <f aca="false">-③前提!$F$60</f>
        <v>-49000000</v>
      </c>
      <c r="F16" s="12" t="n">
        <f aca="false">-③前提!$D$60</f>
        <v>-49000000</v>
      </c>
      <c r="G16" s="12" t="n">
        <f aca="false">-③前提!$E$60</f>
        <v>-49000000</v>
      </c>
      <c r="H16" s="12" t="n">
        <f aca="false">-③前提!$F$60</f>
        <v>-49000000</v>
      </c>
    </row>
    <row r="17" customFormat="false" ht="15" hidden="false" customHeight="false" outlineLevel="0" collapsed="false">
      <c r="B17" s="25" t="s">
        <v>231</v>
      </c>
      <c r="C17" s="15" t="n">
        <f aca="false">SUM(C11:C16)</f>
        <v>55398539</v>
      </c>
      <c r="D17" s="15" t="n">
        <f aca="false">SUM(D11:D16)</f>
        <v>110358873.08</v>
      </c>
      <c r="E17" s="15" t="n">
        <f aca="false">SUM(E11:E16)</f>
        <v>153756855.142984</v>
      </c>
      <c r="F17" s="15" t="n">
        <f aca="false">SUM(F11:F16)</f>
        <v>90398539</v>
      </c>
      <c r="G17" s="15" t="n">
        <f aca="false">SUM(G11:G16)</f>
        <v>182927285.8408</v>
      </c>
      <c r="H17" s="15" t="n">
        <f aca="false">SUM(H11:H16)</f>
        <v>242856855.142984</v>
      </c>
    </row>
    <row r="19" customFormat="false" ht="15" hidden="false" customHeight="false" outlineLevel="0" collapsed="false">
      <c r="B19" s="24" t="s">
        <v>232</v>
      </c>
    </row>
    <row r="20" customFormat="false" ht="15" hidden="false" customHeight="false" outlineLevel="0" collapsed="false">
      <c r="B20" s="24" t="s">
        <v>233</v>
      </c>
    </row>
    <row r="21" customFormat="false" ht="15" hidden="false" customHeight="false" outlineLevel="0" collapsed="false">
      <c r="B21" s="24" t="s">
        <v>234</v>
      </c>
    </row>
  </sheetData>
  <mergeCells count="2">
    <mergeCell ref="C4:E4"/>
    <mergeCell ref="F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2026-10-25T11:41:52Z</dcterms:created>
  <dc:creator>openpyxl</dc:creator>
  <dc:description/>
  <dc:language>en-US</dc:language>
  <cp:lastModifiedBy/>
  <dcterms:modified xsi:type="dcterms:W3CDTF">2026-10-25T11:41:52Z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