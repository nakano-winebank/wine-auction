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2026未達要因" sheetId="1" state="visible" r:id="rId3"/>
    <sheet name="①サマリー" sheetId="2" state="visible" r:id="rId4"/>
    <sheet name="④FY2026月次実績" sheetId="3" state="visible" r:id="rId5"/>
    <sheet name="②前提" sheetId="4" state="visible" r:id="rId6"/>
    <sheet name="③FY2027月次推移" sheetId="5" state="visible" r:id="rId7"/>
    <sheet name="⑤利益ブリッジ" sheetId="6" state="visible" r:id="rId8"/>
    <sheet name="⑥ワイン仕入・在庫計画" sheetId="7" state="visible" r:id="rId9"/>
    <sheet name="⑦FY2027資金繰り表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<sst xmlns="http://schemas.openxmlformats.org/spreadsheetml/2006/main" count="474" uniqueCount="373">
  <si>
    <r>
      <rPr>
        <b val="true"/>
        <sz val="15"/>
        <rFont val="メイリオ"/>
        <family val="0"/>
        <charset val="1"/>
      </rPr>
      <t xml:space="preserve">FY2026</t>
    </r>
    <r>
      <rPr>
        <b val="true"/>
        <sz val="15"/>
        <rFont val="WenQuanYi Zen Hei"/>
        <family val="2"/>
      </rPr>
      <t xml:space="preserve">（</t>
    </r>
    <r>
      <rPr>
        <b val="true"/>
        <sz val="15"/>
        <rFont val="メイリオ"/>
        <family val="0"/>
        <charset val="1"/>
      </rPr>
      <t xml:space="preserve">2026</t>
    </r>
    <r>
      <rPr>
        <b val="true"/>
        <sz val="15"/>
        <rFont val="WenQuanYi Zen Hei"/>
        <family val="2"/>
      </rPr>
      <t xml:space="preserve">年</t>
    </r>
    <r>
      <rPr>
        <b val="true"/>
        <sz val="15"/>
        <rFont val="メイリオ"/>
        <family val="0"/>
        <charset val="1"/>
      </rPr>
      <t xml:space="preserve">9</t>
    </r>
    <r>
      <rPr>
        <b val="true"/>
        <sz val="15"/>
        <rFont val="WenQuanYi Zen Hei"/>
        <family val="2"/>
      </rPr>
      <t xml:space="preserve">月期）が計画未達となった要因</t>
    </r>
  </si>
  <si>
    <t xml:space="preserve">単位：円（税別）　経常利益ベース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</si>
  <si>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】未達要因の内訳</t>
    </r>
  </si>
  <si>
    <t xml:space="preserve">項目</t>
  </si>
  <si>
    <t xml:space="preserve">金額</t>
  </si>
  <si>
    <t xml:space="preserve">累計</t>
  </si>
  <si>
    <t xml:space="preserve">内容</t>
  </si>
  <si>
    <r>
      <rPr>
        <b val="true"/>
        <sz val="11"/>
        <rFont val="メイリオ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経常利益（見込）</t>
    </r>
  </si>
  <si>
    <t xml:space="preserve">現行計画の今期着地見込</t>
  </si>
  <si>
    <r>
      <rPr>
        <b val="true"/>
        <sz val="11"/>
        <rFont val="メイリオ"/>
        <family val="0"/>
        <charset val="1"/>
      </rPr>
      <t xml:space="preserve">① SBI</t>
    </r>
    <r>
      <rPr>
        <b val="true"/>
        <sz val="11"/>
        <rFont val="WenQuanYi Zen Hei"/>
        <family val="2"/>
      </rPr>
      <t xml:space="preserve">証券との公募ファンドの大幅遅延</t>
    </r>
  </si>
  <si>
    <r>
      <rPr>
        <sz val="9"/>
        <color rgb="FF333333"/>
        <rFont val="WenQuanYi Zen Hei"/>
        <family val="2"/>
      </rPr>
      <t xml:space="preserve">★最大の未達要因。計画では売上約</t>
    </r>
    <r>
      <rPr>
        <sz val="9"/>
        <color rgb="FF333333"/>
        <rFont val="メイリオ"/>
        <family val="0"/>
        <charset val="1"/>
      </rPr>
      <t xml:space="preserve">700</t>
    </r>
    <r>
      <rPr>
        <sz val="9"/>
        <color rgb="FF333333"/>
        <rFont val="WenQuanYi Zen Hei"/>
        <family val="2"/>
      </rPr>
      <t xml:space="preserve">百万円・粗利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百万円超を見込んでいたが、審査・制度対応の長期化により当期中の組成に至らず。</t>
    </r>
  </si>
  <si>
    <t xml:space="preserve">② 私募ファンドの期ズレ</t>
  </si>
  <si>
    <r>
      <rPr>
        <sz val="9"/>
        <color rgb="FF8C8C8C"/>
        <rFont val="WenQuanYi Zen Hei"/>
        <family val="2"/>
      </rPr>
      <t xml:space="preserve">特殊な契約形態のため当期は原価が先行し粗利率は約</t>
    </r>
    <r>
      <rPr>
        <sz val="9"/>
        <color rgb="FF8C8C8C"/>
        <rFont val="メイリオ"/>
        <family val="0"/>
        <charset val="1"/>
      </rPr>
      <t xml:space="preserve">5%</t>
    </r>
    <r>
      <rPr>
        <sz val="9"/>
        <color rgb="FF8C8C8C"/>
        <rFont val="WenQuanYi Zen Hei"/>
        <family val="2"/>
      </rPr>
      <t xml:space="preserve">にとどまる。来期の販売実績に応じ、販売手数料を含め約</t>
    </r>
    <r>
      <rPr>
        <sz val="9"/>
        <color rgb="FF8C8C8C"/>
        <rFont val="メイリオ"/>
        <family val="0"/>
        <charset val="1"/>
      </rPr>
      <t xml:space="preserve">30</t>
    </r>
    <r>
      <rPr>
        <sz val="9"/>
        <color rgb="FF8C8C8C"/>
        <rFont val="WenQuanYi Zen Hei"/>
        <family val="2"/>
      </rPr>
      <t xml:space="preserve">百万円の粗利を来期計上。</t>
    </r>
  </si>
  <si>
    <r>
      <rPr>
        <sz val="11"/>
        <rFont val="WenQuanYi Zen Hei"/>
        <family val="2"/>
      </rPr>
      <t xml:space="preserve">③ 不採算飲食</t>
    </r>
    <r>
      <rPr>
        <sz val="11"/>
        <rFont val="メイリオ"/>
        <family val="0"/>
        <charset val="1"/>
      </rPr>
      <t xml:space="preserve">3</t>
    </r>
    <r>
      <rPr>
        <sz val="11"/>
        <rFont val="WenQuanYi Zen Hei"/>
        <family val="2"/>
      </rPr>
      <t xml:space="preserve">店舗の営業赤字</t>
    </r>
  </si>
  <si>
    <r>
      <rPr>
        <sz val="9"/>
        <color rgb="FF333333"/>
        <rFont val="WenQuanYi Zen Hei"/>
        <family val="2"/>
      </rPr>
      <t xml:space="preserve">★店舗別の確定値をご入力ください。撤退により消滅した固定費は年</t>
    </r>
    <r>
      <rPr>
        <sz val="9"/>
        <color rgb="FF333333"/>
        <rFont val="メイリオ"/>
        <family val="0"/>
        <charset val="1"/>
      </rPr>
      <t xml:space="preserve">102.9</t>
    </r>
    <r>
      <rPr>
        <sz val="9"/>
        <color rgb="FF333333"/>
        <rFont val="WenQuanYi Zen Hei"/>
        <family val="2"/>
      </rPr>
      <t xml:space="preserve">百万円（月</t>
    </r>
    <r>
      <rPr>
        <sz val="9"/>
        <color rgb="FF333333"/>
        <rFont val="メイリオ"/>
        <family val="0"/>
        <charset val="1"/>
      </rPr>
      <t xml:space="preserve">8,577,274</t>
    </r>
    <r>
      <rPr>
        <sz val="9"/>
        <color rgb="FF333333"/>
        <rFont val="WenQuanYi Zen Hei"/>
        <family val="2"/>
      </rPr>
      <t xml:space="preserve">円</t>
    </r>
    <r>
      <rPr>
        <sz val="9"/>
        <color rgb="FF333333"/>
        <rFont val="メイリオ"/>
        <family val="0"/>
        <charset val="1"/>
      </rPr>
      <t xml:space="preserve">×12</t>
    </r>
    <r>
      <rPr>
        <sz val="9"/>
        <color rgb="FF333333"/>
        <rFont val="WenQuanYi Zen Hei"/>
        <family val="2"/>
      </rPr>
      <t xml:space="preserve">）で、こちらは勘定科目レベルで検証済み。</t>
    </r>
  </si>
  <si>
    <t xml:space="preserve">これらが計画どおりであった場合の経常利益</t>
  </si>
  <si>
    <t xml:space="preserve">①〜③はいずれも一過性または期ズレの要因であり、既存事業の収益力そのものの毀損ではない。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</si>
  <si>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】挽回策の実績と来期の方針</t>
    </r>
  </si>
  <si>
    <r>
      <rPr>
        <b val="true"/>
        <sz val="11"/>
        <rFont val="WenQuanYi Zen Hei"/>
        <family val="2"/>
      </rPr>
      <t xml:space="preserve">挽回策（</t>
    </r>
    <r>
      <rPr>
        <b val="true"/>
        <sz val="11"/>
        <rFont val="メイリオ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</si>
  <si>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私募ファンドで約</t>
    </r>
    <r>
      <rPr>
        <sz val="11"/>
        <rFont val="メイリオ"/>
        <family val="0"/>
        <charset val="1"/>
      </rPr>
      <t xml:space="preserve">300</t>
    </r>
    <r>
      <rPr>
        <sz val="11"/>
        <rFont val="WenQuanYi Zen Hei"/>
        <family val="2"/>
      </rPr>
      <t xml:space="preserve">百万円を組成し、公募の遅延分を部分的に巻き返した。ただし着手が後手に回り、通期の未達は補いきれなかった。</t>
    </r>
  </si>
  <si>
    <t xml:space="preserve">来期の方針①</t>
  </si>
  <si>
    <t xml:space="preserve">公募ファンドは優先しない。制度対応・審査期間が当社の管理外にあり、資金繰りと収益計画を左右させない。</t>
  </si>
  <si>
    <t xml:space="preserve">来期の方針②</t>
  </si>
  <si>
    <r>
      <rPr>
        <sz val="11"/>
        <rFont val="WenQuanYi Zen Hei"/>
        <family val="2"/>
      </rPr>
      <t xml:space="preserve">私募ファンドを毎年継続的に組成する。</t>
    </r>
    <r>
      <rPr>
        <sz val="11"/>
        <rFont val="メイリオ"/>
        <family val="0"/>
        <charset val="1"/>
      </rPr>
      <t xml:space="preserve">FY2026</t>
    </r>
    <r>
      <rPr>
        <sz val="11"/>
        <rFont val="WenQuanYi Zen Hei"/>
        <family val="2"/>
      </rPr>
      <t xml:space="preserve">の約</t>
    </r>
    <r>
      <rPr>
        <sz val="11"/>
        <rFont val="メイリオ"/>
        <family val="0"/>
        <charset val="1"/>
      </rPr>
      <t xml:space="preserve">300</t>
    </r>
    <r>
      <rPr>
        <sz val="11"/>
        <rFont val="WenQuanYi Zen Hei"/>
        <family val="2"/>
      </rPr>
      <t xml:space="preserve">百万円は実績値であり、これを反復可能な収益源として計画の中心に据える。</t>
    </r>
  </si>
  <si>
    <t xml:space="preserve">来期の方針③</t>
  </si>
  <si>
    <r>
      <rPr>
        <sz val="11"/>
        <rFont val="WenQuanYi Zen Hei"/>
        <family val="2"/>
      </rPr>
      <t xml:space="preserve">オークション事業を私募と並ぶ販売チャネルとして立ち上げ、プラン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の上振れ余地とする。</t>
    </r>
  </si>
  <si>
    <t xml:space="preserve">来期の方針④</t>
  </si>
  <si>
    <r>
      <rPr>
        <sz val="11"/>
        <rFont val="WenQuanYi Zen Hei"/>
        <family val="2"/>
      </rPr>
      <t xml:space="preserve">不採算飲食</t>
    </r>
    <r>
      <rPr>
        <sz val="11"/>
        <rFont val="メイリオ"/>
        <family val="0"/>
        <charset val="1"/>
      </rPr>
      <t xml:space="preserve">3</t>
    </r>
    <r>
      <rPr>
        <sz val="11"/>
        <rFont val="WenQuanYi Zen Hei"/>
        <family val="2"/>
      </rPr>
      <t xml:space="preserve">店舗の撤退は</t>
    </r>
    <r>
      <rPr>
        <sz val="11"/>
        <rFont val="メイリオ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メイリオ"/>
        <family val="0"/>
        <charset val="1"/>
      </rPr>
      <t xml:space="preserve">3</t>
    </r>
    <r>
      <rPr>
        <sz val="11"/>
        <rFont val="WenQuanYi Zen Hei"/>
        <family val="2"/>
      </rPr>
      <t xml:space="preserve">月に完了済み。</t>
    </r>
    <r>
      <rPr>
        <sz val="11"/>
        <rFont val="メイリオ"/>
        <family val="0"/>
        <charset val="1"/>
      </rPr>
      <t xml:space="preserve">WineBank</t>
    </r>
    <r>
      <rPr>
        <sz val="11"/>
        <rFont val="WenQuanYi Zen Hei"/>
        <family val="2"/>
      </rPr>
      <t xml:space="preserve">テラスは</t>
    </r>
    <r>
      <rPr>
        <sz val="11"/>
        <rFont val="メイリオ"/>
        <family val="0"/>
        <charset val="1"/>
      </rPr>
      <t xml:space="preserve">WineBank CLUB</t>
    </r>
    <r>
      <rPr>
        <sz val="11"/>
        <rFont val="WenQuanYi Zen Hei"/>
        <family val="2"/>
      </rPr>
      <t xml:space="preserve">のフラッグシップ店として改善のうえ継続。</t>
    </r>
  </si>
  <si>
    <r>
      <rPr>
        <sz val="9"/>
        <color rgb="FF333333"/>
        <rFont val="WenQuanYi Zen Hei"/>
        <family val="2"/>
      </rPr>
      <t xml:space="preserve">※①の粗利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百万円超は、公募ファンド組成時に見込んでいた売上約</t>
    </r>
    <r>
      <rPr>
        <sz val="9"/>
        <color rgb="FF333333"/>
        <rFont val="メイリオ"/>
        <family val="0"/>
        <charset val="1"/>
      </rPr>
      <t xml:space="preserve">700</t>
    </r>
    <r>
      <rPr>
        <sz val="9"/>
        <color rgb="FF333333"/>
        <rFont val="WenQuanYi Zen Hei"/>
        <family val="2"/>
      </rPr>
      <t xml:space="preserve">百万円に対応する粗利。金額は貴社ご確認値。</t>
    </r>
  </si>
  <si>
    <r>
      <rPr>
        <sz val="9"/>
        <color rgb="FF333333"/>
        <rFont val="WenQuanYi Zen Hei"/>
        <family val="2"/>
      </rPr>
      <t xml:space="preserve">※③は店舗別</t>
    </r>
    <r>
      <rPr>
        <sz val="9"/>
        <color rgb="FF333333"/>
        <rFont val="メイリオ"/>
        <family val="0"/>
        <charset val="1"/>
      </rPr>
      <t xml:space="preserve">PL</t>
    </r>
    <r>
      <rPr>
        <sz val="9"/>
        <color rgb="FF333333"/>
        <rFont val="WenQuanYi Zen Hei"/>
        <family val="2"/>
      </rPr>
      <t xml:space="preserve">が社内資料から特定できなかったため、確定値のご入力までは</t>
    </r>
    <r>
      <rPr>
        <sz val="9"/>
        <color rgb="FF333333"/>
        <rFont val="メイリオ"/>
        <family val="0"/>
        <charset val="1"/>
      </rPr>
      <t xml:space="preserve">0</t>
    </r>
    <r>
      <rPr>
        <sz val="9"/>
        <color rgb="FF333333"/>
        <rFont val="WenQuanYi Zen Hei"/>
        <family val="2"/>
      </rPr>
      <t xml:space="preserve">としています（黄色セル）。</t>
    </r>
  </si>
  <si>
    <r>
      <rPr>
        <b val="true"/>
        <sz val="15"/>
        <rFont val="メイリオ"/>
        <family val="0"/>
        <charset val="1"/>
      </rPr>
      <t xml:space="preserve">FY2027</t>
    </r>
    <r>
      <rPr>
        <b val="true"/>
        <sz val="15"/>
        <rFont val="WenQuanYi Zen Hei"/>
        <family val="2"/>
      </rPr>
      <t xml:space="preserve">（</t>
    </r>
    <r>
      <rPr>
        <b val="true"/>
        <sz val="15"/>
        <rFont val="メイリオ"/>
        <family val="0"/>
        <charset val="1"/>
      </rPr>
      <t xml:space="preserve">2027</t>
    </r>
    <r>
      <rPr>
        <b val="true"/>
        <sz val="15"/>
        <rFont val="WenQuanYi Zen Hei"/>
        <family val="2"/>
      </rPr>
      <t xml:space="preserve">年</t>
    </r>
    <r>
      <rPr>
        <b val="true"/>
        <sz val="15"/>
        <rFont val="メイリオ"/>
        <family val="0"/>
        <charset val="1"/>
      </rPr>
      <t xml:space="preserve">9</t>
    </r>
    <r>
      <rPr>
        <b val="true"/>
        <sz val="15"/>
        <rFont val="WenQuanYi Zen Hei"/>
        <family val="2"/>
      </rPr>
      <t xml:space="preserve">月期）利益予測　プラン</t>
    </r>
    <r>
      <rPr>
        <b val="true"/>
        <sz val="15"/>
        <rFont val="メイリオ"/>
        <family val="0"/>
        <charset val="1"/>
      </rPr>
      <t xml:space="preserve">D</t>
    </r>
    <r>
      <rPr>
        <b val="true"/>
        <sz val="15"/>
        <rFont val="WenQuanYi Zen Hei"/>
        <family val="2"/>
      </rPr>
      <t xml:space="preserve">（メイン）／プラン</t>
    </r>
    <r>
      <rPr>
        <b val="true"/>
        <sz val="15"/>
        <rFont val="メイリオ"/>
        <family val="0"/>
        <charset val="1"/>
      </rPr>
      <t xml:space="preserve">E</t>
    </r>
    <r>
      <rPr>
        <b val="true"/>
        <sz val="15"/>
        <rFont val="WenQuanYi Zen Hei"/>
        <family val="2"/>
      </rPr>
      <t xml:space="preserve">（上振れ）</t>
    </r>
  </si>
  <si>
    <r>
      <rPr>
        <sz val="10"/>
        <color rgb="FF8C8C8C"/>
        <rFont val="WenQuanYi Zen Hei"/>
        <family val="2"/>
      </rPr>
      <t xml:space="preserve">ベース：再編後の実力値（</t>
    </r>
    <r>
      <rPr>
        <sz val="10"/>
        <color rgb="FF8C8C8C"/>
        <rFont val="メイリオ"/>
        <family val="0"/>
        <charset val="1"/>
      </rPr>
      <t xml:space="preserve">2026/04-06 </t>
    </r>
    <r>
      <rPr>
        <sz val="10"/>
        <color rgb="FF8C8C8C"/>
        <rFont val="WenQuanYi Zen Hei"/>
        <family val="2"/>
      </rPr>
      <t xml:space="preserve">実績</t>
    </r>
    <r>
      <rPr>
        <sz val="10"/>
        <color rgb="FF8C8C8C"/>
        <rFont val="メイリオ"/>
        <family val="0"/>
        <charset val="1"/>
      </rPr>
      <t xml:space="preserve">3</t>
    </r>
    <r>
      <rPr>
        <sz val="10"/>
        <color rgb="FF8C8C8C"/>
        <rFont val="WenQuanYi Zen Hei"/>
        <family val="2"/>
      </rPr>
      <t xml:space="preserve">か月平均）を横ばい延伸し、そこから積み上げ</t>
    </r>
  </si>
  <si>
    <r>
      <rPr>
        <sz val="9"/>
        <color rgb="FF8C8C8C"/>
        <rFont val="WenQuanYi Zen Hei"/>
        <family val="2"/>
      </rPr>
      <t xml:space="preserve">単位：円（税別）　出典：事業計画</t>
    </r>
    <r>
      <rPr>
        <sz val="9"/>
        <color rgb="FF8C8C8C"/>
        <rFont val="メイリオ"/>
        <family val="0"/>
        <charset val="1"/>
      </rPr>
      <t xml:space="preserve">202608</t>
    </r>
    <r>
      <rPr>
        <sz val="9"/>
        <color rgb="FF8C8C8C"/>
        <rFont val="WenQuanYi Zen Hei"/>
        <family val="2"/>
      </rPr>
      <t xml:space="preserve">（銀行様）月次／決算報告書 第</t>
    </r>
    <r>
      <rPr>
        <sz val="9"/>
        <color rgb="FF8C8C8C"/>
        <rFont val="メイリオ"/>
        <family val="0"/>
        <charset val="1"/>
      </rPr>
      <t xml:space="preserve">54</t>
    </r>
    <r>
      <rPr>
        <sz val="9"/>
        <color rgb="FF8C8C8C"/>
        <rFont val="WenQuanYi Zen Hei"/>
        <family val="2"/>
      </rPr>
      <t xml:space="preserve">期</t>
    </r>
  </si>
  <si>
    <t xml:space="preserve">科目</t>
  </si>
  <si>
    <r>
      <rPr>
        <b val="true"/>
        <sz val="11"/>
        <color rgb="FFFFFFFF"/>
        <rFont val="メイリオ"/>
        <family val="0"/>
        <charset val="1"/>
      </rPr>
      <t xml:space="preserve">FY2026 </t>
    </r>
    <r>
      <rPr>
        <b val="true"/>
        <sz val="11"/>
        <color rgb="FFFFFFFF"/>
        <rFont val="WenQuanYi Zen Hei"/>
        <family val="2"/>
      </rPr>
      <t xml:space="preserve">見込</t>
    </r>
  </si>
  <si>
    <t xml:space="preserve">横ばい実力値
（参考）</t>
  </si>
  <si>
    <r>
      <rPr>
        <b val="true"/>
        <sz val="11"/>
        <color rgb="FFFFFFFF"/>
        <rFont val="WenQuanYi Zen Hei"/>
        <family val="2"/>
      </rPr>
      <t xml:space="preserve">プラン</t>
    </r>
    <r>
      <rPr>
        <b val="true"/>
        <sz val="11"/>
        <color rgb="FFFFFFFF"/>
        <rFont val="メイリオ"/>
        <family val="0"/>
        <charset val="1"/>
      </rPr>
      <t xml:space="preserve">D
</t>
    </r>
    <r>
      <rPr>
        <b val="true"/>
        <sz val="11"/>
        <color rgb="FFFFFFFF"/>
        <rFont val="WenQuanYi Zen Hei"/>
        <family val="2"/>
      </rPr>
      <t xml:space="preserve">メインシナリオ</t>
    </r>
  </si>
  <si>
    <r>
      <rPr>
        <b val="true"/>
        <sz val="11"/>
        <color rgb="FFFFFFFF"/>
        <rFont val="WenQuanYi Zen Hei"/>
        <family val="2"/>
      </rPr>
      <t xml:space="preserve">プラン</t>
    </r>
    <r>
      <rPr>
        <b val="true"/>
        <sz val="11"/>
        <color rgb="FFFFFFFF"/>
        <rFont val="メイリオ"/>
        <family val="0"/>
        <charset val="1"/>
      </rPr>
      <t xml:space="preserve">E
</t>
    </r>
    <r>
      <rPr>
        <b val="true"/>
        <sz val="11"/>
        <color rgb="FFFFFFFF"/>
        <rFont val="WenQuanYi Zen Hei"/>
        <family val="2"/>
      </rPr>
      <t xml:space="preserve">上振れシナリオ</t>
    </r>
  </si>
  <si>
    <t xml:space="preserve">コメント</t>
  </si>
  <si>
    <t xml:space="preserve">既存事業 売上</t>
  </si>
  <si>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は前期・今期の売上平均そのもの。</t>
    </r>
    <r>
      <rPr>
        <sz val="9"/>
        <color rgb="FF8C8C8C"/>
        <rFont val="メイリオ"/>
        <family val="0"/>
        <charset val="1"/>
      </rPr>
      <t xml:space="preserve">E</t>
    </r>
    <r>
      <rPr>
        <sz val="9"/>
        <color rgb="FF8C8C8C"/>
        <rFont val="WenQuanYi Zen Hei"/>
        <family val="2"/>
      </rPr>
      <t xml:space="preserve">は私募＋オークション</t>
    </r>
    <r>
      <rPr>
        <sz val="9"/>
        <color rgb="FF8C8C8C"/>
        <rFont val="メイリオ"/>
        <family val="0"/>
        <charset val="1"/>
      </rPr>
      <t xml:space="preserve">300</t>
    </r>
    <r>
      <rPr>
        <sz val="9"/>
        <color rgb="FF8C8C8C"/>
        <rFont val="WenQuanYi Zen Hei"/>
        <family val="2"/>
      </rPr>
      <t xml:space="preserve">百万円を上積み</t>
    </r>
  </si>
  <si>
    <t xml:space="preserve">売上総利益（既存事業）</t>
  </si>
  <si>
    <r>
      <rPr>
        <sz val="9"/>
        <color rgb="FF8C8C8C"/>
        <rFont val="WenQuanYi Zen Hei"/>
        <family val="2"/>
      </rPr>
      <t xml:space="preserve">横ばいからの差額売上の粗利率は保守的に</t>
    </r>
    <r>
      <rPr>
        <sz val="9"/>
        <color rgb="FF8C8C8C"/>
        <rFont val="メイリオ"/>
        <family val="0"/>
        <charset val="1"/>
      </rPr>
      <t xml:space="preserve">30%</t>
    </r>
  </si>
  <si>
    <t xml:space="preserve">＋上乗せ案件（営業収益）</t>
  </si>
  <si>
    <r>
      <rPr>
        <sz val="9"/>
        <color rgb="FF8C8C8C"/>
        <rFont val="WenQuanYi Zen Hei"/>
        <family val="2"/>
      </rPr>
      <t xml:space="preserve">コンサルティング料</t>
    </r>
    <r>
      <rPr>
        <sz val="9"/>
        <color rgb="FF8C8C8C"/>
        <rFont val="メイリオ"/>
        <family val="0"/>
        <charset val="1"/>
      </rPr>
      <t xml:space="preserve">92.5</t>
    </r>
    <r>
      <rPr>
        <sz val="9"/>
        <color rgb="FF8C8C8C"/>
        <rFont val="WenQuanYi Zen Hei"/>
        <family val="2"/>
      </rPr>
      <t xml:space="preserve">＋</t>
    </r>
    <r>
      <rPr>
        <sz val="9"/>
        <color rgb="FF8C8C8C"/>
        <rFont val="メイリオ"/>
        <family val="0"/>
        <charset val="1"/>
      </rPr>
      <t xml:space="preserve">M&amp;A</t>
    </r>
    <r>
      <rPr>
        <sz val="9"/>
        <color rgb="FF8C8C8C"/>
        <rFont val="WenQuanYi Zen Hei"/>
        <family val="2"/>
      </rPr>
      <t xml:space="preserve">仲介</t>
    </r>
    <r>
      <rPr>
        <sz val="9"/>
        <color rgb="FF8C8C8C"/>
        <rFont val="メイリオ"/>
        <family val="0"/>
        <charset val="1"/>
      </rPr>
      <t xml:space="preserve">20</t>
    </r>
    <r>
      <rPr>
        <sz val="9"/>
        <color rgb="FF8C8C8C"/>
        <rFont val="WenQuanYi Zen Hei"/>
        <family val="2"/>
      </rPr>
      <t xml:space="preserve">＋クルーザー</t>
    </r>
    <r>
      <rPr>
        <sz val="9"/>
        <color rgb="FF8C8C8C"/>
        <rFont val="メイリオ"/>
        <family val="0"/>
        <charset val="1"/>
      </rPr>
      <t xml:space="preserve">×</t>
    </r>
    <r>
      <rPr>
        <sz val="9"/>
        <color rgb="FF8C8C8C"/>
        <rFont val="WenQuanYi Zen Hei"/>
        <family val="2"/>
      </rPr>
      <t xml:space="preserve">ワイン事業</t>
    </r>
    <r>
      <rPr>
        <sz val="9"/>
        <color rgb="FF8C8C8C"/>
        <rFont val="メイリオ"/>
        <family val="0"/>
        <charset val="1"/>
      </rPr>
      <t xml:space="preserve">20</t>
    </r>
  </si>
  <si>
    <t xml:space="preserve">売上高（上乗せ含む）</t>
  </si>
  <si>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863.0</t>
    </r>
    <r>
      <rPr>
        <sz val="9"/>
        <color rgb="FF8C8C8C"/>
        <rFont val="WenQuanYi Zen Hei"/>
        <family val="2"/>
      </rPr>
      <t xml:space="preserve">百万円、</t>
    </r>
    <r>
      <rPr>
        <sz val="9"/>
        <color rgb="FF8C8C8C"/>
        <rFont val="メイリオ"/>
        <family val="0"/>
        <charset val="1"/>
      </rPr>
      <t xml:space="preserve">E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1,163.0</t>
    </r>
    <r>
      <rPr>
        <sz val="9"/>
        <color rgb="FF8C8C8C"/>
        <rFont val="WenQuanYi Zen Hei"/>
        <family val="2"/>
      </rPr>
      <t xml:space="preserve">百万円</t>
    </r>
  </si>
  <si>
    <t xml:space="preserve">売上総利益 合計</t>
  </si>
  <si>
    <t xml:space="preserve">販管費</t>
  </si>
  <si>
    <r>
      <rPr>
        <sz val="9"/>
        <color rgb="FF8C8C8C"/>
        <rFont val="メイリオ"/>
        <family val="0"/>
        <charset val="1"/>
      </rPr>
      <t xml:space="preserve">2026/04-06</t>
    </r>
    <r>
      <rPr>
        <sz val="9"/>
        <color rgb="FF8C8C8C"/>
        <rFont val="WenQuanYi Zen Hei"/>
        <family val="2"/>
      </rPr>
      <t xml:space="preserve">実績の月平均</t>
    </r>
    <r>
      <rPr>
        <sz val="9"/>
        <color rgb="FF8C8C8C"/>
        <rFont val="メイリオ"/>
        <family val="0"/>
        <charset val="1"/>
      </rPr>
      <t xml:space="preserve">×12</t>
    </r>
    <r>
      <rPr>
        <sz val="9"/>
        <color rgb="FF8C8C8C"/>
        <rFont val="WenQuanYi Zen Hei"/>
        <family val="2"/>
      </rPr>
      <t xml:space="preserve">。</t>
    </r>
    <r>
      <rPr>
        <sz val="9"/>
        <color rgb="FF8C8C8C"/>
        <rFont val="メイリオ"/>
        <family val="0"/>
        <charset val="1"/>
      </rPr>
      <t xml:space="preserve">E</t>
    </r>
    <r>
      <rPr>
        <sz val="9"/>
        <color rgb="FF8C8C8C"/>
        <rFont val="WenQuanYi Zen Hei"/>
        <family val="2"/>
      </rPr>
      <t xml:space="preserve">も</t>
    </r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と同額で据置き</t>
    </r>
  </si>
  <si>
    <t xml:space="preserve">営業利益</t>
  </si>
  <si>
    <t xml:space="preserve">営業外収益</t>
  </si>
  <si>
    <r>
      <rPr>
        <sz val="9"/>
        <color rgb="FF8C8C8C"/>
        <rFont val="WenQuanYi Zen Hei"/>
        <family val="2"/>
      </rPr>
      <t xml:space="preserve">クルーザー</t>
    </r>
    <r>
      <rPr>
        <sz val="9"/>
        <color rgb="FF8C8C8C"/>
        <rFont val="メイリオ"/>
        <family val="0"/>
        <charset val="1"/>
      </rPr>
      <t xml:space="preserve">×</t>
    </r>
    <r>
      <rPr>
        <sz val="9"/>
        <color rgb="FF8C8C8C"/>
        <rFont val="WenQuanYi Zen Hei"/>
        <family val="2"/>
      </rPr>
      <t xml:space="preserve">ワイン事業は営業収益に計上</t>
    </r>
  </si>
  <si>
    <t xml:space="preserve">営業外費用</t>
  </si>
  <si>
    <t xml:space="preserve">経常利益</t>
  </si>
  <si>
    <t xml:space="preserve">法人税等</t>
  </si>
  <si>
    <r>
      <rPr>
        <sz val="9"/>
        <color rgb="FF8C8C8C"/>
        <rFont val="WenQuanYi Zen Hei"/>
        <family val="2"/>
      </rPr>
      <t xml:space="preserve">繰越欠損金 約</t>
    </r>
    <r>
      <rPr>
        <sz val="9"/>
        <color rgb="FF8C8C8C"/>
        <rFont val="メイリオ"/>
        <family val="0"/>
        <charset val="1"/>
      </rPr>
      <t xml:space="preserve">252</t>
    </r>
    <r>
      <rPr>
        <sz val="9"/>
        <color rgb="FF8C8C8C"/>
        <rFont val="WenQuanYi Zen Hei"/>
        <family val="2"/>
      </rPr>
      <t xml:space="preserve">百万円により実質非課税</t>
    </r>
  </si>
  <si>
    <t xml:space="preserve">当期純利益</t>
  </si>
  <si>
    <t xml:space="preserve">【横ばい実力値からの差額売上】</t>
  </si>
  <si>
    <t xml:space="preserve">差額売上</t>
  </si>
  <si>
    <r>
      <rPr>
        <b val="true"/>
        <sz val="11"/>
        <rFont val="WenQuanYi Zen Hei"/>
        <family val="2"/>
      </rPr>
      <t xml:space="preserve">新規顧客売上計画
</t>
    </r>
    <r>
      <rPr>
        <b val="true"/>
        <sz val="11"/>
        <rFont val="メイリオ"/>
        <family val="0"/>
        <charset val="1"/>
      </rPr>
      <t xml:space="preserve">1,066</t>
    </r>
    <r>
      <rPr>
        <b val="true"/>
        <sz val="11"/>
        <rFont val="WenQuanYi Zen Hei"/>
        <family val="2"/>
      </rPr>
      <t xml:space="preserve">百万円に対する比率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</si>
  <si>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：前期・今期の売上平均まで戻す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</si>
  <si>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：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に私募＋オークション</t>
    </r>
    <r>
      <rPr>
        <sz val="11"/>
        <rFont val="メイリオ"/>
        <family val="0"/>
        <charset val="1"/>
      </rPr>
      <t xml:space="preserve">300</t>
    </r>
    <r>
      <rPr>
        <sz val="11"/>
        <rFont val="WenQuanYi Zen Hei"/>
        <family val="2"/>
      </rPr>
      <t xml:space="preserve">百万円を上積み</t>
    </r>
  </si>
  <si>
    <t xml:space="preserve">【判定】</t>
  </si>
  <si>
    <r>
      <rPr>
        <sz val="10"/>
        <rFont val="WenQuanYi Zen Hei"/>
        <family val="2"/>
      </rPr>
      <t xml:space="preserve">横ばい実力値（参考）：再編後の</t>
    </r>
    <r>
      <rPr>
        <sz val="10"/>
        <rFont val="メイリオ"/>
        <family val="0"/>
        <charset val="1"/>
      </rPr>
      <t xml:space="preserve">4-6</t>
    </r>
    <r>
      <rPr>
        <sz val="10"/>
        <rFont val="WenQuanYi Zen Hei"/>
        <family val="2"/>
      </rPr>
      <t xml:space="preserve">月実績をそのまま延ばすだけでは営業利益▲</t>
    </r>
    <r>
      <rPr>
        <sz val="10"/>
        <rFont val="メイリオ"/>
        <family val="0"/>
        <charset val="1"/>
      </rPr>
      <t xml:space="preserve">99.6</t>
    </r>
    <r>
      <rPr>
        <sz val="10"/>
        <rFont val="WenQuanYi Zen Hei"/>
        <family val="2"/>
      </rPr>
      <t xml:space="preserve">百万円・経常利益▲</t>
    </r>
    <r>
      <rPr>
        <sz val="10"/>
        <rFont val="メイリオ"/>
        <family val="0"/>
        <charset val="1"/>
      </rPr>
      <t xml:space="preserve">114.6</t>
    </r>
    <r>
      <rPr>
        <sz val="10"/>
        <rFont val="WenQuanYi Zen Hei"/>
        <family val="2"/>
      </rPr>
      <t xml:space="preserve">百万円。</t>
    </r>
  </si>
  <si>
    <r>
      <rPr>
        <sz val="10"/>
        <rFont val="WenQuanYi Zen Hei"/>
        <family val="2"/>
      </rPr>
      <t xml:space="preserve">プラン</t>
    </r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（メインシナリオ）：既存事業を前期・今期の売上平均</t>
    </r>
    <r>
      <rPr>
        <sz val="10"/>
        <rFont val="メイリオ"/>
        <family val="0"/>
        <charset val="1"/>
      </rPr>
      <t xml:space="preserve">730.5</t>
    </r>
    <r>
      <rPr>
        <sz val="10"/>
        <rFont val="WenQuanYi Zen Hei"/>
        <family val="2"/>
      </rPr>
      <t xml:space="preserve">百万円に戻し、契約ベースの上乗せ案件</t>
    </r>
    <r>
      <rPr>
        <sz val="10"/>
        <rFont val="メイリオ"/>
        <family val="0"/>
        <charset val="1"/>
      </rPr>
      <t xml:space="preserve">132.5</t>
    </r>
    <r>
      <rPr>
        <sz val="10"/>
        <rFont val="WenQuanYi Zen Hei"/>
        <family val="2"/>
      </rPr>
      <t xml:space="preserve">百万円を</t>
    </r>
  </si>
  <si>
    <r>
      <rPr>
        <sz val="10"/>
        <rFont val="WenQuanYi Zen Hei"/>
        <family val="2"/>
      </rPr>
      <t xml:space="preserve">　　外数で加算。売上</t>
    </r>
    <r>
      <rPr>
        <sz val="10"/>
        <rFont val="メイリオ"/>
        <family val="0"/>
        <charset val="1"/>
      </rPr>
      <t xml:space="preserve">863.0</t>
    </r>
    <r>
      <rPr>
        <sz val="10"/>
        <rFont val="WenQuanYi Zen Hei"/>
        <family val="2"/>
      </rPr>
      <t xml:space="preserve">百万円・営業利益＋</t>
    </r>
    <r>
      <rPr>
        <sz val="10"/>
        <rFont val="メイリオ"/>
        <family val="0"/>
        <charset val="1"/>
      </rPr>
      <t xml:space="preserve">135.4</t>
    </r>
    <r>
      <rPr>
        <sz val="10"/>
        <rFont val="WenQuanYi Zen Hei"/>
        <family val="2"/>
      </rPr>
      <t xml:space="preserve">百万円・経常利益＋</t>
    </r>
    <r>
      <rPr>
        <sz val="10"/>
        <rFont val="メイリオ"/>
        <family val="0"/>
        <charset val="1"/>
      </rPr>
      <t xml:space="preserve">120.4</t>
    </r>
    <r>
      <rPr>
        <sz val="10"/>
        <rFont val="WenQuanYi Zen Hei"/>
        <family val="2"/>
      </rPr>
      <t xml:space="preserve">百万円。</t>
    </r>
  </si>
  <si>
    <r>
      <rPr>
        <sz val="10"/>
        <rFont val="WenQuanYi Zen Hei"/>
        <family val="2"/>
      </rPr>
      <t xml:space="preserve">プラン</t>
    </r>
    <r>
      <rPr>
        <sz val="10"/>
        <rFont val="メイリオ"/>
        <family val="0"/>
        <charset val="1"/>
      </rPr>
      <t xml:space="preserve">E</t>
    </r>
    <r>
      <rPr>
        <sz val="10"/>
        <rFont val="WenQuanYi Zen Hei"/>
        <family val="2"/>
      </rPr>
      <t xml:space="preserve">（上振れシナリオ）：</t>
    </r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に私募ファンド＋オークションで</t>
    </r>
    <r>
      <rPr>
        <sz val="10"/>
        <rFont val="メイリオ"/>
        <family val="0"/>
        <charset val="1"/>
      </rPr>
      <t xml:space="preserve">300</t>
    </r>
    <r>
      <rPr>
        <sz val="10"/>
        <rFont val="WenQuanYi Zen Hei"/>
        <family val="2"/>
      </rPr>
      <t xml:space="preserve">百万円（粗利率</t>
    </r>
    <r>
      <rPr>
        <sz val="10"/>
        <rFont val="メイリオ"/>
        <family val="0"/>
        <charset val="1"/>
      </rPr>
      <t xml:space="preserve">30%</t>
    </r>
    <r>
      <rPr>
        <sz val="10"/>
        <rFont val="WenQuanYi Zen Hei"/>
        <family val="2"/>
      </rPr>
      <t xml:space="preserve">）を上積み。</t>
    </r>
  </si>
  <si>
    <r>
      <rPr>
        <sz val="10"/>
        <rFont val="WenQuanYi Zen Hei"/>
        <family val="2"/>
      </rPr>
      <t xml:space="preserve">　　売上</t>
    </r>
    <r>
      <rPr>
        <sz val="10"/>
        <rFont val="メイリオ"/>
        <family val="0"/>
        <charset val="1"/>
      </rPr>
      <t xml:space="preserve">1,163.0</t>
    </r>
    <r>
      <rPr>
        <sz val="10"/>
        <rFont val="WenQuanYi Zen Hei"/>
        <family val="2"/>
      </rPr>
      <t xml:space="preserve">百万円・営業利益＋</t>
    </r>
    <r>
      <rPr>
        <sz val="10"/>
        <rFont val="メイリオ"/>
        <family val="0"/>
        <charset val="1"/>
      </rPr>
      <t xml:space="preserve">225.4</t>
    </r>
    <r>
      <rPr>
        <sz val="10"/>
        <rFont val="WenQuanYi Zen Hei"/>
        <family val="2"/>
      </rPr>
      <t xml:space="preserve">百万円・経常利益＋</t>
    </r>
    <r>
      <rPr>
        <sz val="10"/>
        <rFont val="メイリオ"/>
        <family val="0"/>
        <charset val="1"/>
      </rPr>
      <t xml:space="preserve">210.4</t>
    </r>
    <r>
      <rPr>
        <sz val="10"/>
        <rFont val="WenQuanYi Zen Hei"/>
        <family val="2"/>
      </rPr>
      <t xml:space="preserve">百万円。</t>
    </r>
  </si>
  <si>
    <r>
      <rPr>
        <sz val="10"/>
        <rFont val="メイリオ"/>
        <family val="0"/>
        <charset val="1"/>
      </rPr>
      <t xml:space="preserve">※D</t>
    </r>
    <r>
      <rPr>
        <sz val="10"/>
        <rFont val="WenQuanYi Zen Hei"/>
        <family val="2"/>
      </rPr>
      <t xml:space="preserve">の既存事業売上</t>
    </r>
    <r>
      <rPr>
        <sz val="10"/>
        <rFont val="メイリオ"/>
        <family val="0"/>
        <charset val="1"/>
      </rPr>
      <t xml:space="preserve">730.5</t>
    </r>
    <r>
      <rPr>
        <sz val="10"/>
        <rFont val="WenQuanYi Zen Hei"/>
        <family val="2"/>
      </rPr>
      <t xml:space="preserve">百万円は過去</t>
    </r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期の実績平均そのもので、新規の前提を置いていない。</t>
    </r>
  </si>
  <si>
    <r>
      <rPr>
        <sz val="10"/>
        <rFont val="メイリオ"/>
        <family val="0"/>
        <charset val="1"/>
      </rPr>
      <t xml:space="preserve">※E</t>
    </r>
    <r>
      <rPr>
        <sz val="10"/>
        <rFont val="WenQuanYi Zen Hei"/>
        <family val="2"/>
      </rPr>
      <t xml:space="preserve">の</t>
    </r>
    <r>
      <rPr>
        <sz val="10"/>
        <rFont val="メイリオ"/>
        <family val="0"/>
        <charset val="1"/>
      </rPr>
      <t xml:space="preserve">300</t>
    </r>
    <r>
      <rPr>
        <sz val="10"/>
        <rFont val="WenQuanYi Zen Hei"/>
        <family val="2"/>
      </rPr>
      <t xml:space="preserve">百万円は、</t>
    </r>
    <r>
      <rPr>
        <sz val="10"/>
        <rFont val="メイリオ"/>
        <family val="0"/>
        <charset val="1"/>
      </rPr>
      <t xml:space="preserve">FY2026</t>
    </r>
    <r>
      <rPr>
        <sz val="10"/>
        <rFont val="WenQuanYi Zen Hei"/>
        <family val="2"/>
      </rPr>
      <t xml:space="preserve">に</t>
    </r>
    <r>
      <rPr>
        <sz val="10"/>
        <rFont val="メイリオ"/>
        <family val="0"/>
        <charset val="1"/>
      </rPr>
      <t xml:space="preserve">SBI</t>
    </r>
    <r>
      <rPr>
        <sz val="10"/>
        <rFont val="WenQuanYi Zen Hei"/>
        <family val="2"/>
      </rPr>
      <t xml:space="preserve">公募の遅延を私募で約</t>
    </r>
    <r>
      <rPr>
        <sz val="10"/>
        <rFont val="メイリオ"/>
        <family val="0"/>
        <charset val="1"/>
      </rPr>
      <t xml:space="preserve">300</t>
    </r>
    <r>
      <rPr>
        <sz val="10"/>
        <rFont val="WenQuanYi Zen Hei"/>
        <family val="2"/>
      </rPr>
      <t xml:space="preserve">百万円巻き返した実績と同水準。</t>
    </r>
  </si>
  <si>
    <r>
      <rPr>
        <sz val="10"/>
        <rFont val="WenQuanYi Zen Hei"/>
        <family val="2"/>
      </rPr>
      <t xml:space="preserve">※差額売上の粗利率</t>
    </r>
    <r>
      <rPr>
        <sz val="10"/>
        <rFont val="メイリオ"/>
        <family val="0"/>
        <charset val="1"/>
      </rPr>
      <t xml:space="preserve">30%</t>
    </r>
    <r>
      <rPr>
        <sz val="10"/>
        <rFont val="WenQuanYi Zen Hei"/>
        <family val="2"/>
      </rPr>
      <t xml:space="preserve">は</t>
    </r>
    <r>
      <rPr>
        <sz val="10"/>
        <rFont val="メイリオ"/>
        <family val="0"/>
        <charset val="1"/>
      </rPr>
      <t xml:space="preserve">FY2025 26.8%</t>
    </r>
    <r>
      <rPr>
        <sz val="10"/>
        <rFont val="WenQuanYi Zen Hei"/>
        <family val="2"/>
      </rPr>
      <t xml:space="preserve">・</t>
    </r>
    <r>
      <rPr>
        <sz val="10"/>
        <rFont val="メイリオ"/>
        <family val="0"/>
        <charset val="1"/>
      </rPr>
      <t xml:space="preserve">FY2026 32.4%</t>
    </r>
    <r>
      <rPr>
        <sz val="10"/>
        <rFont val="WenQuanYi Zen Hei"/>
        <family val="2"/>
      </rPr>
      <t xml:space="preserve">の実績水準。</t>
    </r>
    <r>
      <rPr>
        <sz val="10"/>
        <rFont val="メイリオ"/>
        <family val="0"/>
        <charset val="1"/>
      </rPr>
      <t xml:space="preserve">4-6</t>
    </r>
    <r>
      <rPr>
        <sz val="10"/>
        <rFont val="WenQuanYi Zen Hei"/>
        <family val="2"/>
      </rPr>
      <t xml:space="preserve">月実績の</t>
    </r>
    <r>
      <rPr>
        <sz val="10"/>
        <rFont val="メイリオ"/>
        <family val="0"/>
        <charset val="1"/>
      </rPr>
      <t xml:space="preserve">51.5%</t>
    </r>
    <r>
      <rPr>
        <sz val="10"/>
        <rFont val="WenQuanYi Zen Hei"/>
        <family val="2"/>
      </rPr>
      <t xml:space="preserve">は用いない。</t>
    </r>
  </si>
  <si>
    <r>
      <rPr>
        <b val="true"/>
        <sz val="13"/>
        <rFont val="メイリオ"/>
        <family val="0"/>
        <charset val="1"/>
      </rPr>
      <t xml:space="preserve">FY2026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メイリオ"/>
        <family val="0"/>
        <charset val="1"/>
      </rPr>
      <t xml:space="preserve">2025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</t>
    </r>
    <r>
      <rPr>
        <b val="true"/>
        <sz val="13"/>
        <rFont val="メイリオ"/>
        <family val="0"/>
        <charset val="1"/>
      </rPr>
      <t xml:space="preserve">-2026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9</t>
    </r>
    <r>
      <rPr>
        <b val="true"/>
        <sz val="13"/>
        <rFont val="WenQuanYi Zen Hei"/>
        <family val="2"/>
      </rPr>
      <t xml:space="preserve">月）月次　実績／見込</t>
    </r>
  </si>
  <si>
    <r>
      <rPr>
        <sz val="9"/>
        <color rgb="FF8C8C8C"/>
        <rFont val="WenQuanYi Zen Hei"/>
        <family val="2"/>
      </rPr>
      <t xml:space="preserve">青字＝実績（</t>
    </r>
    <r>
      <rPr>
        <sz val="9"/>
        <color rgb="FF8C8C8C"/>
        <rFont val="メイリオ"/>
        <family val="0"/>
        <charset val="1"/>
      </rPr>
      <t xml:space="preserve">2026/06</t>
    </r>
    <r>
      <rPr>
        <sz val="9"/>
        <color rgb="FF8C8C8C"/>
        <rFont val="WenQuanYi Zen Hei"/>
        <family val="2"/>
      </rPr>
      <t xml:space="preserve">まで）　灰字斜体＝見込（</t>
    </r>
    <r>
      <rPr>
        <sz val="9"/>
        <color rgb="FF8C8C8C"/>
        <rFont val="メイリオ"/>
        <family val="0"/>
        <charset val="1"/>
      </rPr>
      <t xml:space="preserve">2026/07</t>
    </r>
    <r>
      <rPr>
        <sz val="9"/>
        <color rgb="FF8C8C8C"/>
        <rFont val="WenQuanYi Zen Hei"/>
        <family val="2"/>
      </rPr>
      <t xml:space="preserve">以降・同一値が並ぶプラグ）　出典：事業計画</t>
    </r>
    <r>
      <rPr>
        <sz val="9"/>
        <color rgb="FF8C8C8C"/>
        <rFont val="メイリオ"/>
        <family val="0"/>
        <charset val="1"/>
      </rPr>
      <t xml:space="preserve">202608</t>
    </r>
    <r>
      <rPr>
        <sz val="9"/>
        <color rgb="FF8C8C8C"/>
        <rFont val="WenQuanYi Zen Hei"/>
        <family val="2"/>
      </rPr>
      <t xml:space="preserve">（銀行様）全社シート</t>
    </r>
  </si>
  <si>
    <r>
      <rPr>
        <sz val="9"/>
        <color rgb="FF333333"/>
        <rFont val="WenQuanYi Zen Hei"/>
        <family val="2"/>
      </rPr>
      <t xml:space="preserve">不採算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店舗の撤退により、</t>
    </r>
    <r>
      <rPr>
        <sz val="9"/>
        <color rgb="FF333333"/>
        <rFont val="メイリオ"/>
        <family val="0"/>
        <charset val="1"/>
      </rPr>
      <t xml:space="preserve">2026/04</t>
    </r>
    <r>
      <rPr>
        <sz val="9"/>
        <color rgb="FF333333"/>
        <rFont val="WenQuanYi Zen Hei"/>
        <family val="2"/>
      </rPr>
      <t xml:space="preserve">以降が再編後の実力値。</t>
    </r>
    <r>
      <rPr>
        <sz val="9"/>
        <color rgb="FF333333"/>
        <rFont val="メイリオ"/>
        <family val="0"/>
        <charset val="1"/>
      </rPr>
      <t xml:space="preserve">WineBank</t>
    </r>
    <r>
      <rPr>
        <sz val="9"/>
        <color rgb="FF333333"/>
        <rFont val="WenQuanYi Zen Hei"/>
        <family val="2"/>
      </rPr>
      <t xml:space="preserve">テラスは</t>
    </r>
    <r>
      <rPr>
        <sz val="9"/>
        <color rgb="FF333333"/>
        <rFont val="メイリオ"/>
        <family val="0"/>
        <charset val="1"/>
      </rPr>
      <t xml:space="preserve">WineBank CLUB</t>
    </r>
    <r>
      <rPr>
        <sz val="9"/>
        <color rgb="FF333333"/>
        <rFont val="WenQuanYi Zen Hei"/>
        <family val="2"/>
      </rPr>
      <t xml:space="preserve">のフラッグシップ店として改善のうえ継続。</t>
    </r>
  </si>
  <si>
    <t xml:space="preserve">2025/10</t>
  </si>
  <si>
    <t xml:space="preserve">2025/11</t>
  </si>
  <si>
    <t xml:space="preserve">2025/12</t>
  </si>
  <si>
    <t xml:space="preserve">2026/01</t>
  </si>
  <si>
    <t xml:space="preserve">2026/02</t>
  </si>
  <si>
    <t xml:space="preserve">2026/03</t>
  </si>
  <si>
    <t xml:space="preserve">2026/04</t>
  </si>
  <si>
    <t xml:space="preserve">2026/05</t>
  </si>
  <si>
    <t xml:space="preserve">2026/06</t>
  </si>
  <si>
    <t xml:space="preserve">2026/07</t>
  </si>
  <si>
    <t xml:space="preserve">2026/08</t>
  </si>
  <si>
    <t xml:space="preserve">2026/09</t>
  </si>
  <si>
    <t xml:space="preserve">通期</t>
  </si>
  <si>
    <r>
      <rPr>
        <b val="true"/>
        <sz val="11"/>
        <rFont val="メイリオ"/>
        <family val="0"/>
        <charset val="1"/>
      </rPr>
      <t xml:space="preserve">①10-3</t>
    </r>
    <r>
      <rPr>
        <b val="true"/>
        <sz val="11"/>
        <rFont val="WenQuanYi Zen Hei"/>
        <family val="2"/>
      </rPr>
      <t xml:space="preserve">月
平均</t>
    </r>
  </si>
  <si>
    <r>
      <rPr>
        <b val="true"/>
        <sz val="11"/>
        <rFont val="メイリオ"/>
        <family val="0"/>
        <charset val="1"/>
      </rPr>
      <t xml:space="preserve">②4-6</t>
    </r>
    <r>
      <rPr>
        <b val="true"/>
        <sz val="11"/>
        <rFont val="WenQuanYi Zen Hei"/>
        <family val="2"/>
      </rPr>
      <t xml:space="preserve">月
平均</t>
    </r>
  </si>
  <si>
    <r>
      <rPr>
        <b val="true"/>
        <sz val="11"/>
        <rFont val="WenQuanYi Zen Hei"/>
        <family val="2"/>
      </rPr>
      <t xml:space="preserve">差 ②</t>
    </r>
    <r>
      <rPr>
        <b val="true"/>
        <sz val="11"/>
        <rFont val="メイリオ"/>
        <family val="0"/>
        <charset val="1"/>
      </rPr>
      <t xml:space="preserve">-①</t>
    </r>
  </si>
  <si>
    <t xml:space="preserve">売上</t>
  </si>
  <si>
    <t xml:space="preserve">売上原価</t>
  </si>
  <si>
    <t xml:space="preserve">売上総利益</t>
  </si>
  <si>
    <t xml:space="preserve">【販売費及び一般管理費 内訳】</t>
  </si>
  <si>
    <t xml:space="preserve">役員報酬</t>
  </si>
  <si>
    <t xml:space="preserve">従業員給与</t>
  </si>
  <si>
    <t xml:space="preserve">雑給</t>
  </si>
  <si>
    <t xml:space="preserve">法定福利費</t>
  </si>
  <si>
    <t xml:space="preserve">広告宣伝費・販売促進費</t>
  </si>
  <si>
    <t xml:space="preserve">発送配達費</t>
  </si>
  <si>
    <t xml:space="preserve">支払手数料</t>
  </si>
  <si>
    <t xml:space="preserve">地代家賃</t>
  </si>
  <si>
    <t xml:space="preserve">通信交通費</t>
  </si>
  <si>
    <t xml:space="preserve">水道光熱費</t>
  </si>
  <si>
    <t xml:space="preserve">接待交際費</t>
  </si>
  <si>
    <t xml:space="preserve">保険料</t>
  </si>
  <si>
    <t xml:space="preserve">研修採用費</t>
  </si>
  <si>
    <t xml:space="preserve">備品消耗品費</t>
  </si>
  <si>
    <t xml:space="preserve">管理諸費</t>
  </si>
  <si>
    <t xml:space="preserve">清掃費</t>
  </si>
  <si>
    <t xml:space="preserve">業務委託費</t>
  </si>
  <si>
    <t xml:space="preserve">会議費</t>
  </si>
  <si>
    <t xml:space="preserve">雑費</t>
  </si>
  <si>
    <t xml:space="preserve">租税公課</t>
  </si>
  <si>
    <t xml:space="preserve">諸会費</t>
  </si>
  <si>
    <t xml:space="preserve">減価償却費</t>
  </si>
  <si>
    <t xml:space="preserve">倉庫＆保管・移設代</t>
  </si>
  <si>
    <t xml:space="preserve">販管費 合計</t>
  </si>
  <si>
    <r>
      <rPr>
        <sz val="9"/>
        <color rgb="FF333333"/>
        <rFont val="WenQuanYi Zen Hei"/>
        <family val="2"/>
      </rPr>
      <t xml:space="preserve">※「差 ②</t>
    </r>
    <r>
      <rPr>
        <sz val="9"/>
        <color rgb="FF333333"/>
        <rFont val="メイリオ"/>
        <family val="0"/>
        <charset val="1"/>
      </rPr>
      <t xml:space="preserve">-①</t>
    </r>
    <r>
      <rPr>
        <sz val="9"/>
        <color rgb="FF333333"/>
        <rFont val="WenQuanYi Zen Hei"/>
        <family val="2"/>
      </rPr>
      <t xml:space="preserve">」がマイナスの科目＝不採算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店舗の撤退および固定費削減により減少した費用。合計で月▲</t>
    </r>
    <r>
      <rPr>
        <sz val="9"/>
        <color rgb="FF333333"/>
        <rFont val="メイリオ"/>
        <family val="0"/>
        <charset val="1"/>
      </rPr>
      <t xml:space="preserve">8.58</t>
    </r>
    <r>
      <rPr>
        <sz val="9"/>
        <color rgb="FF333333"/>
        <rFont val="WenQuanYi Zen Hei"/>
        <family val="2"/>
      </rPr>
      <t xml:space="preserve">百万円（年▲</t>
    </r>
    <r>
      <rPr>
        <sz val="9"/>
        <color rgb="FF333333"/>
        <rFont val="メイリオ"/>
        <family val="0"/>
        <charset val="1"/>
      </rPr>
      <t xml:space="preserve">103</t>
    </r>
    <r>
      <rPr>
        <sz val="9"/>
        <color rgb="FF333333"/>
        <rFont val="WenQuanYi Zen Hei"/>
        <family val="2"/>
      </rPr>
      <t xml:space="preserve">百万円）。</t>
    </r>
  </si>
  <si>
    <r>
      <rPr>
        <b val="true"/>
        <sz val="14"/>
        <rFont val="メイリオ"/>
        <family val="0"/>
        <charset val="1"/>
      </rPr>
      <t xml:space="preserve">FY2027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メイリオ"/>
        <family val="0"/>
        <charset val="1"/>
      </rPr>
      <t xml:space="preserve">2027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メイリオ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月期）利益予測モデル　－　前提条件</t>
    </r>
  </si>
  <si>
    <r>
      <rPr>
        <sz val="9"/>
        <color rgb="FF8C8C8C"/>
        <rFont val="WenQuanYi Zen Hei"/>
        <family val="2"/>
      </rPr>
      <t xml:space="preserve">青字＝入力セル／黄色＝主要前提／黒字＝計算式　単位：円（税別）　作成日 </t>
    </r>
    <r>
      <rPr>
        <sz val="9"/>
        <color rgb="FF8C8C8C"/>
        <rFont val="メイリオ"/>
        <family val="0"/>
        <charset val="1"/>
      </rPr>
      <t xml:space="preserve">2026/08/21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</si>
  <si>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】ベース：再編後の実力値（</t>
    </r>
    <r>
      <rPr>
        <b val="true"/>
        <sz val="11"/>
        <color rgb="FFFFFFFF"/>
        <rFont val="メイリオ"/>
        <family val="0"/>
        <charset val="1"/>
      </rPr>
      <t xml:space="preserve">2026/04-06 </t>
    </r>
    <r>
      <rPr>
        <b val="true"/>
        <sz val="11"/>
        <color rgb="FFFFFFFF"/>
        <rFont val="WenQuanYi Zen Hei"/>
        <family val="2"/>
      </rPr>
      <t xml:space="preserve">実績</t>
    </r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か月平均）</t>
    </r>
  </si>
  <si>
    <t xml:space="preserve">月次平均</t>
  </si>
  <si>
    <r>
      <rPr>
        <sz val="9"/>
        <color rgb="FF333333"/>
        <rFont val="メイリオ"/>
        <family val="0"/>
        <charset val="1"/>
      </rPr>
      <t xml:space="preserve">2026/03</t>
    </r>
    <r>
      <rPr>
        <sz val="9"/>
        <color rgb="FF333333"/>
        <rFont val="WenQuanYi Zen Hei"/>
        <family val="2"/>
      </rPr>
      <t xml:space="preserve">以前は撤退した不採算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店舗の売上・費用を含むため基準から除外（貴社ご指摘）。</t>
    </r>
  </si>
  <si>
    <t xml:space="preserve">売上総利益率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</si>
  <si>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】上乗せ案件（</t>
    </r>
    <r>
      <rPr>
        <b val="true"/>
        <sz val="11"/>
        <color rgb="FFFFFFFF"/>
        <rFont val="メイリオ"/>
        <family val="0"/>
        <charset val="1"/>
      </rPr>
      <t xml:space="preserve">2026/09-2027/08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</si>
  <si>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区分・案件</t>
  </si>
  <si>
    <t xml:space="preserve">取引先</t>
  </si>
  <si>
    <t xml:space="preserve">損益計上区分</t>
  </si>
  <si>
    <r>
      <rPr>
        <sz val="11"/>
        <rFont val="WenQuanYi Zen Hei"/>
        <family val="2"/>
      </rPr>
      <t xml:space="preserve">コンサルティング料　間接グループ</t>
    </r>
    <r>
      <rPr>
        <sz val="11"/>
        <rFont val="メイリオ"/>
        <family val="0"/>
        <charset val="1"/>
      </rPr>
      <t xml:space="preserve">5</t>
    </r>
    <r>
      <rPr>
        <sz val="11"/>
        <rFont val="WenQuanYi Zen Hei"/>
        <family val="2"/>
      </rPr>
      <t xml:space="preserve">社</t>
    </r>
  </si>
  <si>
    <t xml:space="preserve">中野出資</t>
  </si>
  <si>
    <r>
      <rPr>
        <sz val="11"/>
        <rFont val="WenQuanYi Zen Hei"/>
        <family val="2"/>
      </rPr>
      <t xml:space="preserve">営業収益（</t>
    </r>
    <r>
      <rPr>
        <sz val="11"/>
        <rFont val="メイリオ"/>
        <family val="0"/>
        <charset val="1"/>
      </rPr>
      <t xml:space="preserve">12</t>
    </r>
    <r>
      <rPr>
        <sz val="11"/>
        <rFont val="WenQuanYi Zen Hei"/>
        <family val="2"/>
      </rPr>
      <t xml:space="preserve">か月按分）</t>
    </r>
  </si>
  <si>
    <r>
      <rPr>
        <sz val="11"/>
        <rFont val="WenQuanYi Zen Hei"/>
        <family val="2"/>
      </rPr>
      <t xml:space="preserve">コンサルティング料　</t>
    </r>
    <r>
      <rPr>
        <sz val="11"/>
        <rFont val="メイリオ"/>
        <family val="0"/>
        <charset val="1"/>
      </rPr>
      <t xml:space="preserve">Thierry Marx</t>
    </r>
    <r>
      <rPr>
        <sz val="11"/>
        <rFont val="WenQuanYi Zen Hei"/>
        <family val="2"/>
      </rPr>
      <t xml:space="preserve">（</t>
    </r>
    <r>
      <rPr>
        <sz val="11"/>
        <rFont val="メイリオ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メイリオ"/>
        <family val="0"/>
        <charset val="1"/>
      </rPr>
      <t xml:space="preserve">4</t>
    </r>
    <r>
      <rPr>
        <sz val="11"/>
        <rFont val="WenQuanYi Zen Hei"/>
        <family val="2"/>
      </rPr>
      <t xml:space="preserve">月開業）</t>
    </r>
  </si>
  <si>
    <r>
      <rPr>
        <sz val="11"/>
        <rFont val="メイリオ"/>
        <family val="0"/>
        <charset val="1"/>
      </rPr>
      <t xml:space="preserve">Apicius</t>
    </r>
    <r>
      <rPr>
        <sz val="11"/>
        <rFont val="WenQuanYi Zen Hei"/>
        <family val="2"/>
      </rPr>
      <t xml:space="preserve">グループ</t>
    </r>
  </si>
  <si>
    <r>
      <rPr>
        <sz val="11"/>
        <rFont val="WenQuanYi Zen Hei"/>
        <family val="2"/>
      </rPr>
      <t xml:space="preserve">コンサルティング料　</t>
    </r>
    <r>
      <rPr>
        <sz val="11"/>
        <rFont val="メイリオ"/>
        <family val="0"/>
        <charset val="1"/>
      </rPr>
      <t xml:space="preserve">Apicius</t>
    </r>
  </si>
  <si>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</t>
    </r>
  </si>
  <si>
    <t xml:space="preserve">外部</t>
  </si>
  <si>
    <t xml:space="preserve">営業収益（一時）</t>
  </si>
  <si>
    <r>
      <rPr>
        <sz val="11"/>
        <rFont val="WenQuanYi Zen Hei"/>
        <family val="2"/>
      </rPr>
      <t xml:space="preserve">クルーザー</t>
    </r>
    <r>
      <rPr>
        <sz val="11"/>
        <rFont val="メイリオ"/>
        <family val="0"/>
        <charset val="1"/>
      </rPr>
      <t xml:space="preserve">×</t>
    </r>
    <r>
      <rPr>
        <sz val="11"/>
        <rFont val="WenQuanYi Zen Hei"/>
        <family val="2"/>
      </rPr>
      <t xml:space="preserve">ワイン事業 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回目</t>
    </r>
  </si>
  <si>
    <r>
      <rPr>
        <sz val="11"/>
        <rFont val="WenQuanYi Zen Hei"/>
        <family val="2"/>
      </rPr>
      <t xml:space="preserve">クルーザー</t>
    </r>
    <r>
      <rPr>
        <sz val="11"/>
        <rFont val="メイリオ"/>
        <family val="0"/>
        <charset val="1"/>
      </rPr>
      <t xml:space="preserve">×</t>
    </r>
    <r>
      <rPr>
        <sz val="11"/>
        <rFont val="WenQuanYi Zen Hei"/>
        <family val="2"/>
      </rPr>
      <t xml:space="preserve">ワイン事業 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回目</t>
    </r>
  </si>
  <si>
    <t xml:space="preserve">合計</t>
  </si>
  <si>
    <r>
      <rPr>
        <sz val="9"/>
        <color rgb="FF333333"/>
        <rFont val="WenQuanYi Zen Hei"/>
        <family val="2"/>
      </rPr>
      <t xml:space="preserve">※期間表記は</t>
    </r>
    <r>
      <rPr>
        <sz val="9"/>
        <color rgb="FF333333"/>
        <rFont val="メイリオ"/>
        <family val="0"/>
        <charset val="1"/>
      </rPr>
      <t xml:space="preserve">2026/09-2027/08</t>
    </r>
    <r>
      <rPr>
        <sz val="9"/>
        <color rgb="FF333333"/>
        <rFont val="WenQuanYi Zen Hei"/>
        <family val="2"/>
      </rPr>
      <t xml:space="preserve">。決算期</t>
    </r>
    <r>
      <rPr>
        <sz val="9"/>
        <color rgb="FF333333"/>
        <rFont val="メイリオ"/>
        <family val="0"/>
        <charset val="1"/>
      </rPr>
      <t xml:space="preserve">(2026/10-2027/09)</t>
    </r>
    <r>
      <rPr>
        <sz val="9"/>
        <color rgb="FF333333"/>
        <rFont val="WenQuanYi Zen Hei"/>
        <family val="2"/>
      </rPr>
      <t xml:space="preserve">と</t>
    </r>
    <r>
      <rPr>
        <sz val="9"/>
        <color rgb="FF333333"/>
        <rFont val="メイリオ"/>
        <family val="0"/>
        <charset val="1"/>
      </rPr>
      <t xml:space="preserve">1</t>
    </r>
    <r>
      <rPr>
        <sz val="9"/>
        <color rgb="FF333333"/>
        <rFont val="WenQuanYi Zen Hei"/>
        <family val="2"/>
      </rPr>
      <t xml:space="preserve">か月ズレるため全額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帰属で試算。</t>
    </r>
  </si>
  <si>
    <t xml:space="preserve">　うち 営業収益</t>
  </si>
  <si>
    <r>
      <rPr>
        <sz val="9"/>
        <color rgb="FF333333"/>
        <rFont val="WenQuanYi Zen Hei"/>
        <family val="2"/>
      </rPr>
      <t xml:space="preserve">※グループ内 </t>
    </r>
    <r>
      <rPr>
        <sz val="9"/>
        <color rgb="FF333333"/>
        <rFont val="メイリオ"/>
        <family val="0"/>
        <charset val="1"/>
      </rPr>
      <t xml:space="preserve">92.5</t>
    </r>
    <r>
      <rPr>
        <sz val="9"/>
        <color rgb="FF333333"/>
        <rFont val="WenQuanYi Zen Hei"/>
        <family val="2"/>
      </rPr>
      <t xml:space="preserve">百万円（中野出資</t>
    </r>
    <r>
      <rPr>
        <sz val="9"/>
        <color rgb="FF333333"/>
        <rFont val="メイリオ"/>
        <family val="0"/>
        <charset val="1"/>
      </rPr>
      <t xml:space="preserve">90.0</t>
    </r>
    <r>
      <rPr>
        <sz val="9"/>
        <color rgb="FF333333"/>
        <rFont val="WenQuanYi Zen Hei"/>
        <family val="2"/>
      </rPr>
      <t xml:space="preserve">＋</t>
    </r>
    <r>
      <rPr>
        <sz val="9"/>
        <color rgb="FF333333"/>
        <rFont val="メイリオ"/>
        <family val="0"/>
        <charset val="1"/>
      </rPr>
      <t xml:space="preserve">Apicius</t>
    </r>
    <r>
      <rPr>
        <sz val="9"/>
        <color rgb="FF333333"/>
        <rFont val="WenQuanYi Zen Hei"/>
        <family val="2"/>
      </rPr>
      <t xml:space="preserve">グループ</t>
    </r>
    <r>
      <rPr>
        <sz val="9"/>
        <color rgb="FF333333"/>
        <rFont val="メイリオ"/>
        <family val="0"/>
        <charset val="1"/>
      </rPr>
      <t xml:space="preserve">2.5</t>
    </r>
    <r>
      <rPr>
        <sz val="9"/>
        <color rgb="FF333333"/>
        <rFont val="WenQuanYi Zen Hei"/>
        <family val="2"/>
      </rPr>
      <t xml:space="preserve">）／外部 </t>
    </r>
    <r>
      <rPr>
        <sz val="9"/>
        <color rgb="FF333333"/>
        <rFont val="メイリオ"/>
        <family val="0"/>
        <charset val="1"/>
      </rPr>
      <t xml:space="preserve">40.0</t>
    </r>
    <r>
      <rPr>
        <sz val="9"/>
        <color rgb="FF333333"/>
        <rFont val="WenQuanYi Zen Hei"/>
        <family val="2"/>
      </rPr>
      <t xml:space="preserve">百万円（</t>
    </r>
    <r>
      <rPr>
        <sz val="9"/>
        <color rgb="FF333333"/>
        <rFont val="メイリオ"/>
        <family val="0"/>
        <charset val="1"/>
      </rPr>
      <t xml:space="preserve">M&amp;A</t>
    </r>
    <r>
      <rPr>
        <sz val="9"/>
        <color rgb="FF333333"/>
        <rFont val="WenQuanYi Zen Hei"/>
        <family val="2"/>
      </rPr>
      <t xml:space="preserve">仲介</t>
    </r>
    <r>
      <rPr>
        <sz val="9"/>
        <color rgb="FF333333"/>
        <rFont val="メイリオ"/>
        <family val="0"/>
        <charset val="1"/>
      </rPr>
      <t xml:space="preserve">20.0</t>
    </r>
    <r>
      <rPr>
        <sz val="9"/>
        <color rgb="FF333333"/>
        <rFont val="WenQuanYi Zen Hei"/>
        <family val="2"/>
      </rPr>
      <t xml:space="preserve">＋クルーザー</t>
    </r>
    <r>
      <rPr>
        <sz val="9"/>
        <color rgb="FF333333"/>
        <rFont val="メイリオ"/>
        <family val="0"/>
        <charset val="1"/>
      </rPr>
      <t xml:space="preserve">×</t>
    </r>
    <r>
      <rPr>
        <sz val="9"/>
        <color rgb="FF333333"/>
        <rFont val="WenQuanYi Zen Hei"/>
        <family val="2"/>
      </rPr>
      <t xml:space="preserve">ワイン事業</t>
    </r>
    <r>
      <rPr>
        <sz val="9"/>
        <color rgb="FF333333"/>
        <rFont val="メイリオ"/>
        <family val="0"/>
        <charset val="1"/>
      </rPr>
      <t xml:space="preserve">20.0</t>
    </r>
    <r>
      <rPr>
        <sz val="9"/>
        <color rgb="FF333333"/>
        <rFont val="WenQuanYi Zen Hei"/>
        <family val="2"/>
      </rPr>
      <t xml:space="preserve">）。</t>
    </r>
  </si>
  <si>
    <t xml:space="preserve">　うち 営業外収益</t>
  </si>
  <si>
    <r>
      <rPr>
        <sz val="9"/>
        <color rgb="FF333333"/>
        <rFont val="WenQuanYi Zen Hei"/>
        <family val="2"/>
      </rPr>
      <t xml:space="preserve">※クルーザー</t>
    </r>
    <r>
      <rPr>
        <sz val="9"/>
        <color rgb="FF333333"/>
        <rFont val="メイリオ"/>
        <family val="0"/>
        <charset val="1"/>
      </rPr>
      <t xml:space="preserve">×</t>
    </r>
    <r>
      <rPr>
        <sz val="9"/>
        <color rgb="FF333333"/>
        <rFont val="WenQuanYi Zen Hei"/>
        <family val="2"/>
      </rPr>
      <t xml:space="preserve">ワイン事業は投資業ではなく事業収益のため、全額を営業収益に計上。営業外収益は</t>
    </r>
    <r>
      <rPr>
        <sz val="9"/>
        <color rgb="FF333333"/>
        <rFont val="メイリオ"/>
        <family val="0"/>
        <charset val="1"/>
      </rPr>
      <t xml:space="preserve">0</t>
    </r>
    <r>
      <rPr>
        <sz val="9"/>
        <color rgb="FF333333"/>
        <rFont val="WenQuanYi Zen Hei"/>
        <family val="2"/>
      </rPr>
      <t xml:space="preserve">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</si>
  <si>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】その他前提</t>
    </r>
  </si>
  <si>
    <t xml:space="preserve">営業外費用（支払利息等・年額）</t>
  </si>
  <si>
    <r>
      <rPr>
        <sz val="9"/>
        <color rgb="FF8C8C8C"/>
        <rFont val="WenQuanYi Zen Hei"/>
        <family val="2"/>
      </rPr>
      <t xml:space="preserve">事業計画</t>
    </r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計画値</t>
    </r>
  </si>
  <si>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 計上月（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〜</t>
    </r>
    <r>
      <rPr>
        <sz val="11"/>
        <rFont val="メイリオ"/>
        <family val="0"/>
        <charset val="1"/>
      </rPr>
      <t xml:space="preserve">12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</si>
  <si>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メイリオ"/>
        <family val="0"/>
        <charset val="1"/>
      </rPr>
      <t xml:space="preserve">6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2027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月</t>
    </r>
  </si>
  <si>
    <r>
      <rPr>
        <sz val="11"/>
        <rFont val="WenQuanYi Zen Hei"/>
        <family val="2"/>
      </rPr>
      <t xml:space="preserve">クルーザー</t>
    </r>
    <r>
      <rPr>
        <sz val="11"/>
        <rFont val="メイリオ"/>
        <family val="0"/>
        <charset val="1"/>
      </rPr>
      <t xml:space="preserve">×</t>
    </r>
    <r>
      <rPr>
        <sz val="11"/>
        <rFont val="WenQuanYi Zen Hei"/>
        <family val="2"/>
      </rPr>
      <t xml:space="preserve">ワイン事業 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回目 計上月</t>
    </r>
  </si>
  <si>
    <r>
      <rPr>
        <sz val="11"/>
        <rFont val="WenQuanYi Zen Hei"/>
        <family val="2"/>
      </rPr>
      <t xml:space="preserve">クルーザー</t>
    </r>
    <r>
      <rPr>
        <sz val="11"/>
        <rFont val="メイリオ"/>
        <family val="0"/>
        <charset val="1"/>
      </rPr>
      <t xml:space="preserve">×</t>
    </r>
    <r>
      <rPr>
        <sz val="11"/>
        <rFont val="WenQuanYi Zen Hei"/>
        <family val="2"/>
      </rPr>
      <t xml:space="preserve">ワイン事業 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回目 計上月</t>
    </r>
  </si>
  <si>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2027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9</t>
    </r>
    <r>
      <rPr>
        <sz val="9"/>
        <color rgb="FF8C8C8C"/>
        <rFont val="WenQuanYi Zen Hei"/>
        <family val="2"/>
      </rPr>
      <t xml:space="preserve">月（期末までに計上）</t>
    </r>
  </si>
  <si>
    <t xml:space="preserve">（未使用）</t>
  </si>
  <si>
    <t xml:space="preserve">—</t>
  </si>
  <si>
    <r>
      <rPr>
        <sz val="11"/>
        <rFont val="WenQuanYi Zen Hei"/>
        <family val="2"/>
      </rPr>
      <t xml:space="preserve">新規顧客売上 計画額（</t>
    </r>
    <r>
      <rPr>
        <sz val="11"/>
        <rFont val="メイリオ"/>
        <family val="0"/>
        <charset val="1"/>
      </rPr>
      <t xml:space="preserve">FY2027</t>
    </r>
    <r>
      <rPr>
        <sz val="11"/>
        <rFont val="WenQuanYi Zen Hei"/>
        <family val="2"/>
      </rPr>
      <t xml:space="preserve">）</t>
    </r>
  </si>
  <si>
    <t xml:space="preserve">事業計画のワイン投資 新規顧客計画 合計</t>
  </si>
  <si>
    <r>
      <rPr>
        <sz val="11"/>
        <rFont val="WenQuanYi Zen Hei"/>
        <family val="2"/>
      </rPr>
      <t xml:space="preserve">シナリオ選択（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＝横ばい／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＝プラン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／</t>
    </r>
    <r>
      <rPr>
        <sz val="11"/>
        <rFont val="メイリオ"/>
        <family val="0"/>
        <charset val="1"/>
      </rPr>
      <t xml:space="preserve">3</t>
    </r>
    <r>
      <rPr>
        <sz val="11"/>
        <rFont val="WenQuanYi Zen Hei"/>
        <family val="2"/>
      </rPr>
      <t xml:space="preserve">＝プラン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）</t>
    </r>
  </si>
  <si>
    <t xml:space="preserve">③月次推移・⑦資金繰り表に反映</t>
  </si>
  <si>
    <r>
      <rPr>
        <sz val="11"/>
        <rFont val="WenQuanYi Zen Hei"/>
        <family val="2"/>
      </rPr>
      <t xml:space="preserve">ワイン仕入 方針（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＝在庫横ばい／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＝</t>
    </r>
    <r>
      <rPr>
        <sz val="11"/>
        <rFont val="メイリオ"/>
        <family val="0"/>
        <charset val="1"/>
      </rPr>
      <t xml:space="preserve">FY2026</t>
    </r>
    <r>
      <rPr>
        <sz val="11"/>
        <rFont val="WenQuanYi Zen Hei"/>
        <family val="2"/>
      </rPr>
      <t xml:space="preserve">と同額）</t>
    </r>
  </si>
  <si>
    <t xml:space="preserve">⑥仕入・在庫計画に反映</t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</si>
  <si>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年間仕入額</t>
    </r>
  </si>
  <si>
    <r>
      <rPr>
        <sz val="9"/>
        <color rgb="FF8C8C8C"/>
        <rFont val="WenQuanYi Zen Hei"/>
        <family val="2"/>
      </rPr>
      <t xml:space="preserve">売上原価</t>
    </r>
    <r>
      <rPr>
        <sz val="9"/>
        <color rgb="FF8C8C8C"/>
        <rFont val="メイリオ"/>
        <family val="0"/>
        <charset val="1"/>
      </rPr>
      <t xml:space="preserve">479,066,414</t>
    </r>
    <r>
      <rPr>
        <sz val="9"/>
        <color rgb="FF8C8C8C"/>
        <rFont val="WenQuanYi Zen Hei"/>
        <family val="2"/>
      </rPr>
      <t xml:space="preserve">＋在庫増減▲</t>
    </r>
    <r>
      <rPr>
        <sz val="9"/>
        <color rgb="FF8C8C8C"/>
        <rFont val="メイリオ"/>
        <family val="0"/>
        <charset val="1"/>
      </rPr>
      <t xml:space="preserve">60,000,000</t>
    </r>
    <r>
      <rPr>
        <sz val="9"/>
        <color rgb="FF8C8C8C"/>
        <rFont val="WenQuanYi Zen Hei"/>
        <family val="2"/>
      </rPr>
      <t xml:space="preserve">（</t>
    </r>
    <r>
      <rPr>
        <sz val="9"/>
        <color rgb="FF8C8C8C"/>
        <rFont val="メイリオ"/>
        <family val="0"/>
        <charset val="1"/>
      </rPr>
      <t xml:space="preserve">480→420</t>
    </r>
    <r>
      <rPr>
        <sz val="9"/>
        <color rgb="FF8C8C8C"/>
        <rFont val="WenQuanYi Zen Hei"/>
        <family val="2"/>
      </rPr>
      <t xml:space="preserve">百万円）</t>
    </r>
  </si>
  <si>
    <t xml:space="preserve">均等割のみ</t>
  </si>
  <si>
    <r>
      <rPr>
        <sz val="9"/>
        <color rgb="FF8C8C8C"/>
        <rFont val="WenQuanYi Zen Hei"/>
        <family val="2"/>
      </rPr>
      <t xml:space="preserve">繰越欠損金 約</t>
    </r>
    <r>
      <rPr>
        <sz val="9"/>
        <color rgb="FF8C8C8C"/>
        <rFont val="メイリオ"/>
        <family val="0"/>
        <charset val="1"/>
      </rPr>
      <t xml:space="preserve">252</t>
    </r>
    <r>
      <rPr>
        <sz val="9"/>
        <color rgb="FF8C8C8C"/>
        <rFont val="WenQuanYi Zen Hei"/>
        <family val="2"/>
      </rPr>
      <t xml:space="preserve">百万円（</t>
    </r>
    <r>
      <rPr>
        <sz val="9"/>
        <color rgb="FF8C8C8C"/>
        <rFont val="メイリオ"/>
        <family val="0"/>
        <charset val="1"/>
      </rPr>
      <t xml:space="preserve">FY2025▲127.4</t>
    </r>
    <r>
      <rPr>
        <sz val="9"/>
        <color rgb="FF8C8C8C"/>
        <rFont val="WenQuanYi Zen Hei"/>
        <family val="2"/>
      </rPr>
      <t xml:space="preserve">＋</t>
    </r>
    <r>
      <rPr>
        <sz val="9"/>
        <color rgb="FF8C8C8C"/>
        <rFont val="メイリオ"/>
        <family val="0"/>
        <charset val="1"/>
      </rPr>
      <t xml:space="preserve">FY2026▲124.8</t>
    </r>
    <r>
      <rPr>
        <sz val="9"/>
        <color rgb="FF8C8C8C"/>
        <rFont val="WenQuanYi Zen Hei"/>
        <family val="2"/>
      </rPr>
      <t xml:space="preserve">）。資本金</t>
    </r>
    <r>
      <rPr>
        <sz val="9"/>
        <color rgb="FF8C8C8C"/>
        <rFont val="メイリオ"/>
        <family val="0"/>
        <charset val="1"/>
      </rPr>
      <t xml:space="preserve">1,000</t>
    </r>
    <r>
      <rPr>
        <sz val="9"/>
        <color rgb="FF8C8C8C"/>
        <rFont val="WenQuanYi Zen Hei"/>
        <family val="2"/>
      </rPr>
      <t xml:space="preserve">万円の中小法人は所得の</t>
    </r>
    <r>
      <rPr>
        <sz val="9"/>
        <color rgb="FF8C8C8C"/>
        <rFont val="メイリオ"/>
        <family val="0"/>
        <charset val="1"/>
      </rPr>
      <t xml:space="preserve">100%</t>
    </r>
    <r>
      <rPr>
        <sz val="9"/>
        <color rgb="FF8C8C8C"/>
        <rFont val="WenQuanYi Zen Hei"/>
        <family val="2"/>
      </rPr>
      <t xml:space="preserve">控除可。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</si>
  <si>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】消費税の算定　※</t>
    </r>
    <r>
      <rPr>
        <b val="true"/>
        <sz val="11"/>
        <color rgb="FFFFFFFF"/>
        <rFont val="メイリオ"/>
        <family val="0"/>
        <charset val="1"/>
      </rPr>
      <t xml:space="preserve">FY2027</t>
    </r>
    <r>
      <rPr>
        <b val="true"/>
        <sz val="11"/>
        <color rgb="FFFFFFFF"/>
        <rFont val="WenQuanYi Zen Hei"/>
        <family val="2"/>
      </rPr>
      <t xml:space="preserve">の資金繰りに乗るのは</t>
    </r>
    <r>
      <rPr>
        <b val="true"/>
        <sz val="11"/>
        <color rgb="FFFFFFFF"/>
        <rFont val="メイリオ"/>
        <family val="0"/>
        <charset val="1"/>
      </rPr>
      <t xml:space="preserve">FY2026</t>
    </r>
    <r>
      <rPr>
        <b val="true"/>
        <sz val="11"/>
        <color rgb="FFFFFFFF"/>
        <rFont val="WenQuanYi Zen Hei"/>
        <family val="2"/>
      </rPr>
      <t xml:space="preserve">分の確定納付と当期の中間納付</t>
    </r>
  </si>
  <si>
    <t xml:space="preserve">消費税率</t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</si>
  <si>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課税売上高</t>
    </r>
  </si>
  <si>
    <r>
      <rPr>
        <sz val="9"/>
        <color rgb="FF8C8C8C"/>
        <rFont val="WenQuanYi Zen Hei"/>
        <family val="2"/>
      </rPr>
      <t xml:space="preserve">事業計画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見込の売上高</t>
    </r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</si>
  <si>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ワイン仕入（課税仕入）</t>
    </r>
  </si>
  <si>
    <r>
      <rPr>
        <sz val="9"/>
        <color rgb="FF8C8C8C"/>
        <rFont val="WenQuanYi Zen Hei"/>
        <family val="2"/>
      </rPr>
      <t xml:space="preserve">売上原価</t>
    </r>
    <r>
      <rPr>
        <sz val="9"/>
        <color rgb="FF8C8C8C"/>
        <rFont val="メイリオ"/>
        <family val="0"/>
        <charset val="1"/>
      </rPr>
      <t xml:space="preserve">479,066,414</t>
    </r>
    <r>
      <rPr>
        <sz val="9"/>
        <color rgb="FF8C8C8C"/>
        <rFont val="WenQuanYi Zen Hei"/>
        <family val="2"/>
      </rPr>
      <t xml:space="preserve">＋在庫増減▲</t>
    </r>
    <r>
      <rPr>
        <sz val="9"/>
        <color rgb="FF8C8C8C"/>
        <rFont val="メイリオ"/>
        <family val="0"/>
        <charset val="1"/>
      </rPr>
      <t xml:space="preserve">60,000,000</t>
    </r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</si>
  <si>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販管費のうち課税仕入</t>
    </r>
  </si>
  <si>
    <r>
      <rPr>
        <sz val="9"/>
        <color rgb="FF8C8C8C"/>
        <rFont val="WenQuanYi Zen Hei"/>
        <family val="2"/>
      </rPr>
      <t xml:space="preserve">販管費</t>
    </r>
    <r>
      <rPr>
        <sz val="9"/>
        <color rgb="FF8C8C8C"/>
        <rFont val="メイリオ"/>
        <family val="0"/>
        <charset val="1"/>
      </rPr>
      <t xml:space="preserve">343,932,836−</t>
    </r>
    <r>
      <rPr>
        <sz val="9"/>
        <color rgb="FF8C8C8C"/>
        <rFont val="WenQuanYi Zen Hei"/>
        <family val="2"/>
      </rPr>
      <t xml:space="preserve">人件費・減価償却・租税公課等</t>
    </r>
    <r>
      <rPr>
        <sz val="9"/>
        <color rgb="FF8C8C8C"/>
        <rFont val="メイリオ"/>
        <family val="0"/>
        <charset val="1"/>
      </rPr>
      <t xml:space="preserve">135,338,521</t>
    </r>
  </si>
  <si>
    <t xml:space="preserve">　仮受消費税</t>
  </si>
  <si>
    <t xml:space="preserve">　仮払消費税</t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</si>
  <si>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確定消費税額</t>
    </r>
  </si>
  <si>
    <t xml:space="preserve">仮受−仮払。赤字でも人件費・減価償却は仕入税額控除できないため納付が生じる</t>
  </si>
  <si>
    <r>
      <rPr>
        <sz val="11"/>
        <rFont val="WenQuanYi Zen Hei"/>
        <family val="2"/>
      </rPr>
      <t xml:space="preserve">　うち</t>
    </r>
    <r>
      <rPr>
        <sz val="11"/>
        <rFont val="メイリオ"/>
        <family val="0"/>
        <charset val="1"/>
      </rPr>
      <t xml:space="preserve">FY2026</t>
    </r>
    <r>
      <rPr>
        <sz val="11"/>
        <rFont val="WenQuanYi Zen Hei"/>
        <family val="2"/>
      </rPr>
      <t xml:space="preserve">中に中間納付済</t>
    </r>
  </si>
  <si>
    <r>
      <rPr>
        <sz val="9"/>
        <color rgb="FF8C8C8C"/>
        <rFont val="メイリオ"/>
        <family val="0"/>
        <charset val="1"/>
      </rPr>
      <t xml:space="preserve">FY2025</t>
    </r>
    <r>
      <rPr>
        <sz val="9"/>
        <color rgb="FF8C8C8C"/>
        <rFont val="WenQuanYi Zen Hei"/>
        <family val="2"/>
      </rPr>
      <t xml:space="preserve">確定額ベースの中間納付（年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回）の概算。実績値に差し替えてください</t>
    </r>
  </si>
  <si>
    <r>
      <rPr>
        <sz val="11"/>
        <rFont val="メイリオ"/>
        <family val="0"/>
        <charset val="1"/>
      </rPr>
      <t xml:space="preserve">2026/11 </t>
    </r>
    <r>
      <rPr>
        <sz val="11"/>
        <rFont val="WenQuanYi Zen Hei"/>
        <family val="2"/>
      </rPr>
      <t xml:space="preserve">確定納付額</t>
    </r>
  </si>
  <si>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の資金繰りに計上</t>
    </r>
  </si>
  <si>
    <r>
      <rPr>
        <sz val="11"/>
        <rFont val="メイリオ"/>
        <family val="0"/>
        <charset val="1"/>
      </rPr>
      <t xml:space="preserve">FY2027 </t>
    </r>
    <r>
      <rPr>
        <sz val="11"/>
        <rFont val="WenQuanYi Zen Hei"/>
        <family val="2"/>
      </rPr>
      <t xml:space="preserve">中間納付（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回あたり）</t>
    </r>
  </si>
  <si>
    <r>
      <rPr>
        <sz val="9"/>
        <color rgb="FF8C8C8C"/>
        <rFont val="WenQuanYi Zen Hei"/>
        <family val="2"/>
      </rPr>
      <t xml:space="preserve">確定額</t>
    </r>
    <r>
      <rPr>
        <sz val="9"/>
        <color rgb="FF8C8C8C"/>
        <rFont val="メイリオ"/>
        <family val="0"/>
        <charset val="1"/>
      </rPr>
      <t xml:space="preserve">÷4</t>
    </r>
    <r>
      <rPr>
        <sz val="9"/>
        <color rgb="FF8C8C8C"/>
        <rFont val="WenQuanYi Zen Hei"/>
        <family val="2"/>
      </rPr>
      <t xml:space="preserve">。</t>
    </r>
    <r>
      <rPr>
        <sz val="9"/>
        <color rgb="FF8C8C8C"/>
        <rFont val="メイリオ"/>
        <family val="0"/>
        <charset val="1"/>
      </rPr>
      <t xml:space="preserve">2027/02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05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08</t>
    </r>
    <r>
      <rPr>
        <sz val="9"/>
        <color rgb="FF8C8C8C"/>
        <rFont val="WenQuanYi Zen Hei"/>
        <family val="2"/>
      </rPr>
      <t xml:space="preserve">の年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回</t>
    </r>
  </si>
  <si>
    <r>
      <rPr>
        <sz val="9"/>
        <color rgb="FF333333"/>
        <rFont val="WenQuanYi Zen Hei"/>
        <family val="2"/>
      </rPr>
      <t xml:space="preserve">※ワイン仕入が課税売上−課税販管費（約</t>
    </r>
    <r>
      <rPr>
        <sz val="9"/>
        <color rgb="FF333333"/>
        <rFont val="メイリオ"/>
        <family val="0"/>
        <charset val="1"/>
      </rPr>
      <t xml:space="preserve">499.6</t>
    </r>
    <r>
      <rPr>
        <sz val="9"/>
        <color rgb="FF333333"/>
        <rFont val="WenQuanYi Zen Hei"/>
        <family val="2"/>
      </rPr>
      <t xml:space="preserve">百万円）を超えると還付に転じる。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の仕入</t>
    </r>
    <r>
      <rPr>
        <sz val="9"/>
        <color rgb="FF333333"/>
        <rFont val="メイリオ"/>
        <family val="0"/>
        <charset val="1"/>
      </rPr>
      <t xml:space="preserve">419.1</t>
    </r>
    <r>
      <rPr>
        <sz val="9"/>
        <color rgb="FF333333"/>
        <rFont val="WenQuanYi Zen Hei"/>
        <family val="2"/>
      </rPr>
      <t xml:space="preserve">百万円では納付側。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</si>
  <si>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】プラン</t>
    </r>
    <r>
      <rPr>
        <b val="true"/>
        <sz val="11"/>
        <color rgb="FFFFFFFF"/>
        <rFont val="メイリオ"/>
        <family val="0"/>
        <charset val="1"/>
      </rPr>
      <t xml:space="preserve">D</t>
    </r>
    <r>
      <rPr>
        <b val="true"/>
        <sz val="11"/>
        <color rgb="FFFFFFFF"/>
        <rFont val="WenQuanYi Zen Hei"/>
        <family val="2"/>
      </rPr>
      <t xml:space="preserve">・</t>
    </r>
    <r>
      <rPr>
        <b val="true"/>
        <sz val="11"/>
        <color rgb="FFFFFFFF"/>
        <rFont val="メイリオ"/>
        <family val="0"/>
        <charset val="1"/>
      </rPr>
      <t xml:space="preserve">E</t>
    </r>
    <r>
      <rPr>
        <b val="true"/>
        <sz val="11"/>
        <color rgb="FFFFFFFF"/>
        <rFont val="WenQuanYi Zen Hei"/>
        <family val="2"/>
      </rPr>
      <t xml:space="preserve">の前提　</t>
    </r>
    <r>
      <rPr>
        <b val="true"/>
        <sz val="11"/>
        <color rgb="FFFFFFFF"/>
        <rFont val="メイリオ"/>
        <family val="0"/>
        <charset val="1"/>
      </rPr>
      <t xml:space="preserve">D</t>
    </r>
    <r>
      <rPr>
        <b val="true"/>
        <sz val="11"/>
        <color rgb="FFFFFFFF"/>
        <rFont val="WenQuanYi Zen Hei"/>
        <family val="2"/>
      </rPr>
      <t xml:space="preserve">は前期・今期の売上平均に上乗せ案件を外数で加算、</t>
    </r>
    <r>
      <rPr>
        <b val="true"/>
        <sz val="11"/>
        <color rgb="FFFFFFFF"/>
        <rFont val="メイリオ"/>
        <family val="0"/>
        <charset val="1"/>
      </rPr>
      <t xml:space="preserve">E</t>
    </r>
    <r>
      <rPr>
        <b val="true"/>
        <sz val="11"/>
        <color rgb="FFFFFFFF"/>
        <rFont val="WenQuanYi Zen Hei"/>
        <family val="2"/>
      </rPr>
      <t xml:space="preserve">はさらに私募＋オークションを上積み</t>
    </r>
  </si>
  <si>
    <t xml:space="preserve">前期・今期の売上平均</t>
  </si>
  <si>
    <r>
      <rPr>
        <sz val="9"/>
        <color rgb="FF8C8C8C"/>
        <rFont val="メイリオ"/>
        <family val="0"/>
        <charset val="1"/>
      </rPr>
      <t xml:space="preserve">FY2025</t>
    </r>
    <r>
      <rPr>
        <sz val="9"/>
        <color rgb="FF8C8C8C"/>
        <rFont val="WenQuanYi Zen Hei"/>
        <family val="2"/>
      </rPr>
      <t xml:space="preserve">実績</t>
    </r>
    <r>
      <rPr>
        <sz val="9"/>
        <color rgb="FF8C8C8C"/>
        <rFont val="メイリオ"/>
        <family val="0"/>
        <charset val="1"/>
      </rPr>
      <t xml:space="preserve">752,864,901</t>
    </r>
    <r>
      <rPr>
        <sz val="9"/>
        <color rgb="FF8C8C8C"/>
        <rFont val="WenQuanYi Zen Hei"/>
        <family val="2"/>
      </rPr>
      <t xml:space="preserve">と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見込</t>
    </r>
    <r>
      <rPr>
        <sz val="9"/>
        <color rgb="FF8C8C8C"/>
        <rFont val="メイリオ"/>
        <family val="0"/>
        <charset val="1"/>
      </rPr>
      <t xml:space="preserve">708,205,820</t>
    </r>
    <r>
      <rPr>
        <sz val="9"/>
        <color rgb="FF8C8C8C"/>
        <rFont val="WenQuanYi Zen Hei"/>
        <family val="2"/>
      </rPr>
      <t xml:space="preserve">の平均</t>
    </r>
  </si>
  <si>
    <t xml:space="preserve">上乗せ案件（コンサルティング料等）</t>
  </si>
  <si>
    <t xml:space="preserve">追加売上の粗利率</t>
  </si>
  <si>
    <r>
      <rPr>
        <sz val="9"/>
        <color rgb="FF8C8C8C"/>
        <rFont val="WenQuanYi Zen Hei"/>
        <family val="2"/>
      </rPr>
      <t xml:space="preserve">既存事業の実績（</t>
    </r>
    <r>
      <rPr>
        <sz val="9"/>
        <color rgb="FF8C8C8C"/>
        <rFont val="メイリオ"/>
        <family val="0"/>
        <charset val="1"/>
      </rPr>
      <t xml:space="preserve">FY2025 26.8%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FY2026 32.4%</t>
    </r>
    <r>
      <rPr>
        <sz val="9"/>
        <color rgb="FF8C8C8C"/>
        <rFont val="WenQuanYi Zen Hei"/>
        <family val="2"/>
      </rPr>
      <t xml:space="preserve">）を踏まえ保守的に</t>
    </r>
    <r>
      <rPr>
        <sz val="9"/>
        <color rgb="FF8C8C8C"/>
        <rFont val="メイリオ"/>
        <family val="0"/>
        <charset val="1"/>
      </rPr>
      <t xml:space="preserve">30%</t>
    </r>
  </si>
  <si>
    <r>
      <rPr>
        <sz val="11"/>
        <rFont val="WenQuanYi Zen Hei"/>
        <family val="2"/>
      </rPr>
      <t xml:space="preserve">私募ファンド＋オークション 追加売上（プラン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</si>
  <si>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に私募で約</t>
    </r>
    <r>
      <rPr>
        <sz val="9"/>
        <color rgb="FF8C8C8C"/>
        <rFont val="メイリオ"/>
        <family val="0"/>
        <charset val="1"/>
      </rPr>
      <t xml:space="preserve">300</t>
    </r>
    <r>
      <rPr>
        <sz val="9"/>
        <color rgb="FF8C8C8C"/>
        <rFont val="WenQuanYi Zen Hei"/>
        <family val="2"/>
      </rPr>
      <t xml:space="preserve">百万円を巻き返した実績を踏まえ、来期も同水準を私募＋オークションで積む</t>
    </r>
  </si>
  <si>
    <r>
      <rPr>
        <b val="true"/>
        <sz val="11"/>
        <rFont val="WenQuanYi Zen Hei"/>
        <family val="2"/>
      </rPr>
      <t xml:space="preserve">【プラン</t>
    </r>
    <r>
      <rPr>
        <b val="true"/>
        <sz val="11"/>
        <rFont val="メイリオ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】メインシナリオ：売上平均に上乗せ案件を外数で加算</t>
    </r>
  </si>
  <si>
    <t xml:space="preserve">　既存事業 売上</t>
  </si>
  <si>
    <t xml:space="preserve">　差額売上（横ばい実力値からの上積み）</t>
  </si>
  <si>
    <t xml:space="preserve">　差額売上の粗利</t>
  </si>
  <si>
    <t xml:space="preserve">　売上総利益 合計</t>
  </si>
  <si>
    <t xml:space="preserve">　売上高（上乗せ含む）</t>
  </si>
  <si>
    <t xml:space="preserve">　総合粗利率</t>
  </si>
  <si>
    <r>
      <rPr>
        <b val="true"/>
        <sz val="11"/>
        <rFont val="WenQuanYi Zen Hei"/>
        <family val="2"/>
      </rPr>
      <t xml:space="preserve">【プラン</t>
    </r>
    <r>
      <rPr>
        <b val="true"/>
        <sz val="11"/>
        <rFont val="メイリオ"/>
        <family val="0"/>
        <charset val="1"/>
      </rPr>
      <t xml:space="preserve">E</t>
    </r>
    <r>
      <rPr>
        <b val="true"/>
        <sz val="11"/>
        <rFont val="WenQuanYi Zen Hei"/>
        <family val="2"/>
      </rPr>
      <t xml:space="preserve">】上振れシナリオ：</t>
    </r>
    <r>
      <rPr>
        <b val="true"/>
        <sz val="11"/>
        <rFont val="メイリオ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に私募＋オークション</t>
    </r>
    <r>
      <rPr>
        <b val="true"/>
        <sz val="11"/>
        <rFont val="メイリオ"/>
        <family val="0"/>
        <charset val="1"/>
      </rPr>
      <t xml:space="preserve">300</t>
    </r>
    <r>
      <rPr>
        <b val="true"/>
        <sz val="11"/>
        <rFont val="WenQuanYi Zen Hei"/>
        <family val="2"/>
      </rPr>
      <t xml:space="preserve">百万円を上積み</t>
    </r>
  </si>
  <si>
    <r>
      <rPr>
        <sz val="9"/>
        <color rgb="FF333333"/>
        <rFont val="メイリオ"/>
        <family val="0"/>
        <charset val="1"/>
      </rPr>
      <t xml:space="preserve">※D</t>
    </r>
    <r>
      <rPr>
        <sz val="9"/>
        <color rgb="FF333333"/>
        <rFont val="WenQuanYi Zen Hei"/>
        <family val="2"/>
      </rPr>
      <t xml:space="preserve">の既存事業売上</t>
    </r>
    <r>
      <rPr>
        <sz val="9"/>
        <color rgb="FF333333"/>
        <rFont val="メイリオ"/>
        <family val="0"/>
        <charset val="1"/>
      </rPr>
      <t xml:space="preserve">730.5</t>
    </r>
    <r>
      <rPr>
        <sz val="9"/>
        <color rgb="FF333333"/>
        <rFont val="WenQuanYi Zen Hei"/>
        <family val="2"/>
      </rPr>
      <t xml:space="preserve">百万円は前期・今期の平均そのもの。上乗せ案件</t>
    </r>
    <r>
      <rPr>
        <sz val="9"/>
        <color rgb="FF333333"/>
        <rFont val="メイリオ"/>
        <family val="0"/>
        <charset val="1"/>
      </rPr>
      <t xml:space="preserve">132.5</t>
    </r>
    <r>
      <rPr>
        <sz val="9"/>
        <color rgb="FF333333"/>
        <rFont val="WenQuanYi Zen Hei"/>
        <family val="2"/>
      </rPr>
      <t xml:space="preserve">百万円は外数で加算し売上</t>
    </r>
    <r>
      <rPr>
        <sz val="9"/>
        <color rgb="FF333333"/>
        <rFont val="メイリオ"/>
        <family val="0"/>
        <charset val="1"/>
      </rPr>
      <t xml:space="preserve">863.0</t>
    </r>
    <r>
      <rPr>
        <sz val="9"/>
        <color rgb="FF333333"/>
        <rFont val="WenQuanYi Zen Hei"/>
        <family val="2"/>
      </rPr>
      <t xml:space="preserve">百万円。</t>
    </r>
  </si>
  <si>
    <r>
      <rPr>
        <sz val="9"/>
        <color rgb="FF333333"/>
        <rFont val="メイリオ"/>
        <family val="0"/>
        <charset val="1"/>
      </rPr>
      <t xml:space="preserve">※E</t>
    </r>
    <r>
      <rPr>
        <sz val="9"/>
        <color rgb="FF333333"/>
        <rFont val="WenQuanYi Zen Hei"/>
        <family val="2"/>
      </rPr>
      <t xml:space="preserve">は私募ファンド＋オークションで</t>
    </r>
    <r>
      <rPr>
        <sz val="9"/>
        <color rgb="FF333333"/>
        <rFont val="メイリオ"/>
        <family val="0"/>
        <charset val="1"/>
      </rPr>
      <t xml:space="preserve">300</t>
    </r>
    <r>
      <rPr>
        <sz val="9"/>
        <color rgb="FF333333"/>
        <rFont val="WenQuanYi Zen Hei"/>
        <family val="2"/>
      </rPr>
      <t xml:space="preserve">百万円（粗利率</t>
    </r>
    <r>
      <rPr>
        <sz val="9"/>
        <color rgb="FF333333"/>
        <rFont val="メイリオ"/>
        <family val="0"/>
        <charset val="1"/>
      </rPr>
      <t xml:space="preserve">30%</t>
    </r>
    <r>
      <rPr>
        <sz val="9"/>
        <color rgb="FF333333"/>
        <rFont val="WenQuanYi Zen Hei"/>
        <family val="2"/>
      </rPr>
      <t xml:space="preserve">）を上積みし売上</t>
    </r>
    <r>
      <rPr>
        <sz val="9"/>
        <color rgb="FF333333"/>
        <rFont val="メイリオ"/>
        <family val="0"/>
        <charset val="1"/>
      </rPr>
      <t xml:space="preserve">1,163.0</t>
    </r>
    <r>
      <rPr>
        <sz val="9"/>
        <color rgb="FF333333"/>
        <rFont val="WenQuanYi Zen Hei"/>
        <family val="2"/>
      </rPr>
      <t xml:space="preserve">百万円。販管費は既存人員で対応可能とみて据置き。</t>
    </r>
  </si>
  <si>
    <r>
      <rPr>
        <b val="true"/>
        <sz val="13"/>
        <rFont val="メイリオ"/>
        <family val="0"/>
        <charset val="1"/>
      </rPr>
      <t xml:space="preserve">FY2027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メイリオ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</t>
    </r>
    <r>
      <rPr>
        <b val="true"/>
        <sz val="13"/>
        <rFont val="メイリオ"/>
        <family val="0"/>
        <charset val="1"/>
      </rPr>
      <t xml:space="preserve">-2027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9</t>
    </r>
    <r>
      <rPr>
        <b val="true"/>
        <sz val="13"/>
        <rFont val="WenQuanYi Zen Hei"/>
        <family val="2"/>
      </rPr>
      <t xml:space="preserve">月）月次推移表　②前提の「シナリオ選択」で 横ばい／プラン</t>
    </r>
    <r>
      <rPr>
        <b val="true"/>
        <sz val="13"/>
        <rFont val="メイリオ"/>
        <family val="0"/>
        <charset val="1"/>
      </rPr>
      <t xml:space="preserve">D</t>
    </r>
    <r>
      <rPr>
        <b val="true"/>
        <sz val="13"/>
        <rFont val="WenQuanYi Zen Hei"/>
        <family val="2"/>
      </rPr>
      <t xml:space="preserve">／プラン</t>
    </r>
    <r>
      <rPr>
        <b val="true"/>
        <sz val="13"/>
        <rFont val="メイリオ"/>
        <family val="0"/>
        <charset val="1"/>
      </rPr>
      <t xml:space="preserve">E </t>
    </r>
    <r>
      <rPr>
        <b val="true"/>
        <sz val="13"/>
        <rFont val="WenQuanYi Zen Hei"/>
        <family val="2"/>
      </rPr>
      <t xml:space="preserve">を切替</t>
    </r>
  </si>
  <si>
    <r>
      <rPr>
        <sz val="9"/>
        <color rgb="FF8C8C8C"/>
        <rFont val="メイリオ"/>
        <family val="0"/>
        <charset val="1"/>
      </rPr>
      <t xml:space="preserve">C</t>
    </r>
    <r>
      <rPr>
        <sz val="9"/>
        <color rgb="FF8C8C8C"/>
        <rFont val="WenQuanYi Zen Hei"/>
        <family val="2"/>
      </rPr>
      <t xml:space="preserve">列＝月次ベース（</t>
    </r>
    <r>
      <rPr>
        <sz val="9"/>
        <color rgb="FF8C8C8C"/>
        <rFont val="メイリオ"/>
        <family val="0"/>
        <charset val="1"/>
      </rPr>
      <t xml:space="preserve">2026/04-06</t>
    </r>
    <r>
      <rPr>
        <sz val="9"/>
        <color rgb="FF8C8C8C"/>
        <rFont val="WenQuanYi Zen Hei"/>
        <family val="2"/>
      </rPr>
      <t xml:space="preserve">実績平均、④シートから自動リンク）。</t>
    </r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列以降は同額で横ばい。緑字＝他シートからのリンク</t>
    </r>
  </si>
  <si>
    <r>
      <rPr>
        <b val="true"/>
        <sz val="11"/>
        <rFont val="WenQuanYi Zen Hei"/>
        <family val="2"/>
      </rPr>
      <t xml:space="preserve">月次ベース
</t>
    </r>
    <r>
      <rPr>
        <b val="true"/>
        <sz val="11"/>
        <rFont val="メイリオ"/>
        <family val="0"/>
        <charset val="1"/>
      </rPr>
      <t xml:space="preserve">(26/4-6</t>
    </r>
    <r>
      <rPr>
        <b val="true"/>
        <sz val="11"/>
        <rFont val="WenQuanYi Zen Hei"/>
        <family val="2"/>
      </rPr>
      <t xml:space="preserve">平均</t>
    </r>
    <r>
      <rPr>
        <b val="true"/>
        <sz val="11"/>
        <rFont val="メイリオ"/>
        <family val="0"/>
        <charset val="1"/>
      </rPr>
      <t xml:space="preserve">)</t>
    </r>
  </si>
  <si>
    <t xml:space="preserve">2026/10</t>
  </si>
  <si>
    <t xml:space="preserve">2026/11</t>
  </si>
  <si>
    <t xml:space="preserve">2026/12</t>
  </si>
  <si>
    <t xml:space="preserve">2027/01</t>
  </si>
  <si>
    <t xml:space="preserve">2027/02</t>
  </si>
  <si>
    <t xml:space="preserve">2027/03</t>
  </si>
  <si>
    <t xml:space="preserve">2027/04</t>
  </si>
  <si>
    <t xml:space="preserve">2027/05</t>
  </si>
  <si>
    <t xml:space="preserve">2027/06</t>
  </si>
  <si>
    <t xml:space="preserve">2027/07</t>
  </si>
  <si>
    <t xml:space="preserve">2027/08</t>
  </si>
  <si>
    <t xml:space="preserve">2027/09</t>
  </si>
  <si>
    <t xml:space="preserve">通期合計</t>
  </si>
  <si>
    <t xml:space="preserve">【収益】</t>
  </si>
  <si>
    <r>
      <rPr>
        <sz val="11"/>
        <rFont val="WenQuanYi Zen Hei"/>
        <family val="2"/>
      </rPr>
      <t xml:space="preserve">差額売上（プラン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／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）</t>
    </r>
  </si>
  <si>
    <t xml:space="preserve">売上 合計</t>
  </si>
  <si>
    <t xml:space="preserve">　売上原価</t>
  </si>
  <si>
    <t xml:space="preserve">既存事業 売上総利益</t>
  </si>
  <si>
    <t xml:space="preserve">追加売上 総利益</t>
  </si>
  <si>
    <r>
      <rPr>
        <sz val="11"/>
        <rFont val="WenQuanYi Zen Hei"/>
        <family val="2"/>
      </rPr>
      <t xml:space="preserve">＋コンサルティング料 間接グループ</t>
    </r>
    <r>
      <rPr>
        <sz val="11"/>
        <rFont val="メイリオ"/>
        <family val="0"/>
        <charset val="1"/>
      </rPr>
      <t xml:space="preserve">5</t>
    </r>
    <r>
      <rPr>
        <sz val="11"/>
        <rFont val="WenQuanYi Zen Hei"/>
        <family val="2"/>
      </rPr>
      <t xml:space="preserve">社</t>
    </r>
  </si>
  <si>
    <r>
      <rPr>
        <sz val="11"/>
        <rFont val="WenQuanYi Zen Hei"/>
        <family val="2"/>
      </rPr>
      <t xml:space="preserve">＋コンサルティング料 </t>
    </r>
    <r>
      <rPr>
        <sz val="11"/>
        <rFont val="メイリオ"/>
        <family val="0"/>
        <charset val="1"/>
      </rPr>
      <t xml:space="preserve">Thierry Marx</t>
    </r>
  </si>
  <si>
    <r>
      <rPr>
        <sz val="11"/>
        <rFont val="WenQuanYi Zen Hei"/>
        <family val="2"/>
      </rPr>
      <t xml:space="preserve">＋コンサルティング料 </t>
    </r>
    <r>
      <rPr>
        <sz val="11"/>
        <rFont val="メイリオ"/>
        <family val="0"/>
        <charset val="1"/>
      </rPr>
      <t xml:space="preserve">Apicius</t>
    </r>
  </si>
  <si>
    <r>
      <rPr>
        <sz val="11"/>
        <rFont val="WenQuanYi Zen Hei"/>
        <family val="2"/>
      </rPr>
      <t xml:space="preserve">＋</t>
    </r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</t>
    </r>
  </si>
  <si>
    <r>
      <rPr>
        <sz val="11"/>
        <rFont val="WenQuanYi Zen Hei"/>
        <family val="2"/>
      </rPr>
      <t xml:space="preserve">＋クルーザー</t>
    </r>
    <r>
      <rPr>
        <sz val="11"/>
        <rFont val="メイリオ"/>
        <family val="0"/>
        <charset val="1"/>
      </rPr>
      <t xml:space="preserve">×</t>
    </r>
    <r>
      <rPr>
        <sz val="11"/>
        <rFont val="WenQuanYi Zen Hei"/>
        <family val="2"/>
      </rPr>
      <t xml:space="preserve">ワイン事業</t>
    </r>
  </si>
  <si>
    <t xml:space="preserve">【販売費及び一般管理費】</t>
  </si>
  <si>
    <t xml:space="preserve">【損益】</t>
  </si>
  <si>
    <t xml:space="preserve">営業外費用（支払利息等）</t>
  </si>
  <si>
    <t xml:space="preserve">経常利益 累計</t>
  </si>
  <si>
    <r>
      <rPr>
        <sz val="9"/>
        <color rgb="FF8C8C8C"/>
        <rFont val="WenQuanYi Zen Hei"/>
        <family val="2"/>
      </rPr>
      <t xml:space="preserve">※既存事業の売上・粗利・販管費は</t>
    </r>
    <r>
      <rPr>
        <sz val="9"/>
        <color rgb="FF8C8C8C"/>
        <rFont val="メイリオ"/>
        <family val="0"/>
        <charset val="1"/>
      </rPr>
      <t xml:space="preserve">2026/04-06</t>
    </r>
    <r>
      <rPr>
        <sz val="9"/>
        <color rgb="FF8C8C8C"/>
        <rFont val="WenQuanYi Zen Hei"/>
        <family val="2"/>
      </rPr>
      <t xml:space="preserve">実績の月平均を横ばい。成長・季節変動は織り込んでいない保守前提。</t>
    </r>
  </si>
  <si>
    <r>
      <rPr>
        <sz val="9"/>
        <color rgb="FF8C8C8C"/>
        <rFont val="WenQuanYi Zen Hei"/>
        <family val="2"/>
      </rPr>
      <t xml:space="preserve">※コンサルティング料は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か月按分。</t>
    </r>
    <r>
      <rPr>
        <sz val="9"/>
        <color rgb="FF8C8C8C"/>
        <rFont val="メイリオ"/>
        <family val="0"/>
        <charset val="1"/>
      </rPr>
      <t xml:space="preserve">M&amp;A</t>
    </r>
    <r>
      <rPr>
        <sz val="9"/>
        <color rgb="FF8C8C8C"/>
        <rFont val="WenQuanYi Zen Hei"/>
        <family val="2"/>
      </rPr>
      <t xml:space="preserve">仲介とクルーザー</t>
    </r>
    <r>
      <rPr>
        <sz val="9"/>
        <color rgb="FF8C8C8C"/>
        <rFont val="メイリオ"/>
        <family val="0"/>
        <charset val="1"/>
      </rPr>
      <t xml:space="preserve">×</t>
    </r>
    <r>
      <rPr>
        <sz val="9"/>
        <color rgb="FF8C8C8C"/>
        <rFont val="WenQuanYi Zen Hei"/>
        <family val="2"/>
      </rPr>
      <t xml:space="preserve">ワイン事業は②前提で指定した月に計上（クルーザーは</t>
    </r>
    <r>
      <rPr>
        <sz val="9"/>
        <color rgb="FF8C8C8C"/>
        <rFont val="メイリオ"/>
        <family val="0"/>
        <charset val="1"/>
      </rPr>
      <t xml:space="preserve">2027/03</t>
    </r>
    <r>
      <rPr>
        <sz val="9"/>
        <color rgb="FF8C8C8C"/>
        <rFont val="WenQuanYi Zen Hei"/>
        <family val="2"/>
      </rPr>
      <t xml:space="preserve">と</t>
    </r>
    <r>
      <rPr>
        <sz val="9"/>
        <color rgb="FF8C8C8C"/>
        <rFont val="メイリオ"/>
        <family val="0"/>
        <charset val="1"/>
      </rPr>
      <t xml:space="preserve">2027/09</t>
    </r>
    <r>
      <rPr>
        <sz val="9"/>
        <color rgb="FF8C8C8C"/>
        <rFont val="WenQuanYi Zen Hei"/>
        <family val="2"/>
      </rPr>
      <t xml:space="preserve">に各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百万円）。</t>
    </r>
  </si>
  <si>
    <r>
      <rPr>
        <b val="true"/>
        <sz val="14"/>
        <rFont val="メイリオ"/>
        <family val="0"/>
        <charset val="1"/>
      </rPr>
      <t xml:space="preserve">FY2026 → FY2027 </t>
    </r>
    <r>
      <rPr>
        <b val="true"/>
        <sz val="14"/>
        <rFont val="WenQuanYi Zen Hei"/>
        <family val="2"/>
      </rPr>
      <t xml:space="preserve">営業利益ブリッジ（プラン</t>
    </r>
    <r>
      <rPr>
        <b val="true"/>
        <sz val="14"/>
        <rFont val="メイリオ"/>
        <family val="0"/>
        <charset val="1"/>
      </rPr>
      <t xml:space="preserve">D</t>
    </r>
    <r>
      <rPr>
        <b val="true"/>
        <sz val="14"/>
        <rFont val="WenQuanYi Zen Hei"/>
        <family val="2"/>
      </rPr>
      <t xml:space="preserve">）</t>
    </r>
  </si>
  <si>
    <t xml:space="preserve">単位：円（税別）</t>
  </si>
  <si>
    <t xml:space="preserve">増減</t>
  </si>
  <si>
    <r>
      <rPr>
        <b val="true"/>
        <sz val="11"/>
        <rFont val="メイリオ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営業利益（見込）</t>
    </r>
  </si>
  <si>
    <t xml:space="preserve">① 既存事業 粗利の減少（横ばい実力値ベース）</t>
  </si>
  <si>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は</t>
    </r>
    <r>
      <rPr>
        <sz val="9"/>
        <color rgb="FF8C8C8C"/>
        <rFont val="メイリオ"/>
        <family val="0"/>
        <charset val="1"/>
      </rPr>
      <t xml:space="preserve">2025/11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2026/09</t>
    </r>
    <r>
      <rPr>
        <sz val="9"/>
        <color rgb="FF8C8C8C"/>
        <rFont val="WenQuanYi Zen Hei"/>
        <family val="2"/>
      </rPr>
      <t xml:space="preserve">の大口を含む。撤退後の</t>
    </r>
    <r>
      <rPr>
        <sz val="9"/>
        <color rgb="FF8C8C8C"/>
        <rFont val="メイリオ"/>
        <family val="0"/>
        <charset val="1"/>
      </rPr>
      <t xml:space="preserve">4-6</t>
    </r>
    <r>
      <rPr>
        <sz val="9"/>
        <color rgb="FF8C8C8C"/>
        <rFont val="WenQuanYi Zen Hei"/>
        <family val="2"/>
      </rPr>
      <t xml:space="preserve">月実力値ベースでは減少</t>
    </r>
  </si>
  <si>
    <t xml:space="preserve">② 販管費の削減</t>
  </si>
  <si>
    <r>
      <rPr>
        <sz val="9"/>
        <color rgb="FF8C8C8C"/>
        <rFont val="WenQuanYi Zen Hei"/>
        <family val="2"/>
      </rPr>
      <t xml:space="preserve">不採算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店舗の撤退＋固定費削減。</t>
    </r>
    <r>
      <rPr>
        <sz val="9"/>
        <color rgb="FF8C8C8C"/>
        <rFont val="メイリオ"/>
        <family val="0"/>
        <charset val="1"/>
      </rPr>
      <t xml:space="preserve">10-3</t>
    </r>
    <r>
      <rPr>
        <sz val="9"/>
        <color rgb="FF8C8C8C"/>
        <rFont val="WenQuanYi Zen Hei"/>
        <family val="2"/>
      </rPr>
      <t xml:space="preserve">月平均比で月▲</t>
    </r>
    <r>
      <rPr>
        <sz val="9"/>
        <color rgb="FF8C8C8C"/>
        <rFont val="メイリオ"/>
        <family val="0"/>
        <charset val="1"/>
      </rPr>
      <t xml:space="preserve">8.58</t>
    </r>
    <r>
      <rPr>
        <sz val="9"/>
        <color rgb="FF8C8C8C"/>
        <rFont val="WenQuanYi Zen Hei"/>
        <family val="2"/>
      </rPr>
      <t xml:space="preserve">百万円</t>
    </r>
  </si>
  <si>
    <t xml:space="preserve">③ 差額売上の粗利（売上平均への回復）</t>
  </si>
  <si>
    <r>
      <rPr>
        <sz val="9"/>
        <color rgb="FF8C8C8C"/>
        <rFont val="WenQuanYi Zen Hei"/>
        <family val="2"/>
      </rPr>
      <t xml:space="preserve">既存事業を前期・今期の売上平均</t>
    </r>
    <r>
      <rPr>
        <sz val="9"/>
        <color rgb="FF8C8C8C"/>
        <rFont val="メイリオ"/>
        <family val="0"/>
        <charset val="1"/>
      </rPr>
      <t xml:space="preserve">730.5</t>
    </r>
    <r>
      <rPr>
        <sz val="9"/>
        <color rgb="FF8C8C8C"/>
        <rFont val="WenQuanYi Zen Hei"/>
        <family val="2"/>
      </rPr>
      <t xml:space="preserve">百万円に戻す。差額</t>
    </r>
    <r>
      <rPr>
        <sz val="9"/>
        <color rgb="FF8C8C8C"/>
        <rFont val="メイリオ"/>
        <family val="0"/>
        <charset val="1"/>
      </rPr>
      <t xml:space="preserve">341.4</t>
    </r>
    <r>
      <rPr>
        <sz val="9"/>
        <color rgb="FF8C8C8C"/>
        <rFont val="WenQuanYi Zen Hei"/>
        <family val="2"/>
      </rPr>
      <t xml:space="preserve">百万円</t>
    </r>
    <r>
      <rPr>
        <sz val="9"/>
        <color rgb="FF8C8C8C"/>
        <rFont val="メイリオ"/>
        <family val="0"/>
        <charset val="1"/>
      </rPr>
      <t xml:space="preserve">×</t>
    </r>
    <r>
      <rPr>
        <sz val="9"/>
        <color rgb="FF8C8C8C"/>
        <rFont val="WenQuanYi Zen Hei"/>
        <family val="2"/>
      </rPr>
      <t xml:space="preserve">粗利率</t>
    </r>
    <r>
      <rPr>
        <sz val="9"/>
        <color rgb="FF8C8C8C"/>
        <rFont val="メイリオ"/>
        <family val="0"/>
        <charset val="1"/>
      </rPr>
      <t xml:space="preserve">30%</t>
    </r>
  </si>
  <si>
    <t xml:space="preserve">④ 上乗せ案件（営業収益）</t>
  </si>
  <si>
    <r>
      <rPr>
        <b val="true"/>
        <sz val="11"/>
        <rFont val="メイリオ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営業利益（プラン</t>
    </r>
    <r>
      <rPr>
        <b val="true"/>
        <sz val="11"/>
        <rFont val="メイリオ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）</t>
    </r>
  </si>
  <si>
    <t xml:space="preserve">①〜④の合計</t>
  </si>
  <si>
    <r>
      <rPr>
        <sz val="11"/>
        <rFont val="WenQuanYi Zen Hei"/>
        <family val="2"/>
      </rPr>
      <t xml:space="preserve">⑤ 私募＋オークションの上積み（プラン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</si>
  <si>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WenQuanYi Zen Hei"/>
        <family val="2"/>
      </rPr>
      <t xml:space="preserve">追加売上</t>
    </r>
    <r>
      <rPr>
        <sz val="9"/>
        <color rgb="FF8C8C8C"/>
        <rFont val="メイリオ"/>
        <family val="0"/>
        <charset val="1"/>
      </rPr>
      <t xml:space="preserve">300</t>
    </r>
    <r>
      <rPr>
        <sz val="9"/>
        <color rgb="FF8C8C8C"/>
        <rFont val="WenQuanYi Zen Hei"/>
        <family val="2"/>
      </rPr>
      <t xml:space="preserve">百万円</t>
    </r>
    <r>
      <rPr>
        <sz val="9"/>
        <color rgb="FF8C8C8C"/>
        <rFont val="メイリオ"/>
        <family val="0"/>
        <charset val="1"/>
      </rPr>
      <t xml:space="preserve">×</t>
    </r>
    <r>
      <rPr>
        <sz val="9"/>
        <color rgb="FF8C8C8C"/>
        <rFont val="WenQuanYi Zen Hei"/>
        <family val="2"/>
      </rPr>
      <t xml:space="preserve">粗利率</t>
    </r>
    <r>
      <rPr>
        <sz val="9"/>
        <color rgb="FF8C8C8C"/>
        <rFont val="メイリオ"/>
        <family val="0"/>
        <charset val="1"/>
      </rPr>
      <t xml:space="preserve">30%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90</t>
    </r>
    <r>
      <rPr>
        <sz val="9"/>
        <color rgb="FF8C8C8C"/>
        <rFont val="WenQuanYi Zen Hei"/>
        <family val="2"/>
      </rPr>
      <t xml:space="preserve">百万円</t>
    </r>
  </si>
  <si>
    <r>
      <rPr>
        <b val="true"/>
        <sz val="11"/>
        <rFont val="メイリオ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営業利益（プラン</t>
    </r>
    <r>
      <rPr>
        <b val="true"/>
        <sz val="11"/>
        <rFont val="メイリオ"/>
        <family val="0"/>
        <charset val="1"/>
      </rPr>
      <t xml:space="preserve">E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</si>
  <si>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（粗利率</t>
    </r>
    <r>
      <rPr>
        <sz val="11"/>
        <rFont val="メイリオ"/>
        <family val="0"/>
        <charset val="1"/>
      </rPr>
      <t xml:space="preserve">30%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</si>
  <si>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WenQuanYi Zen Hei"/>
        <family val="2"/>
      </rPr>
      <t xml:space="preserve">新規顧客売上計画</t>
    </r>
    <r>
      <rPr>
        <sz val="9"/>
        <color rgb="FF8C8C8C"/>
        <rFont val="メイリオ"/>
        <family val="0"/>
        <charset val="1"/>
      </rPr>
      <t xml:space="preserve">1,066</t>
    </r>
    <r>
      <rPr>
        <sz val="9"/>
        <color rgb="FF8C8C8C"/>
        <rFont val="WenQuanYi Zen Hei"/>
        <family val="2"/>
      </rPr>
      <t xml:space="preserve">百万円に対する比率</t>
    </r>
  </si>
  <si>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（粗利率</t>
    </r>
    <r>
      <rPr>
        <sz val="11"/>
        <rFont val="メイリオ"/>
        <family val="0"/>
        <charset val="1"/>
      </rPr>
      <t xml:space="preserve">30%</t>
    </r>
    <r>
      <rPr>
        <sz val="11"/>
        <rFont val="WenQuanYi Zen Hei"/>
        <family val="2"/>
      </rPr>
      <t xml:space="preserve">）</t>
    </r>
  </si>
  <si>
    <r>
      <rPr>
        <b val="true"/>
        <sz val="14"/>
        <rFont val="WenQuanYi Zen Hei"/>
        <family val="2"/>
      </rPr>
      <t xml:space="preserve">ワイン仕入・自社在庫計画（</t>
    </r>
    <r>
      <rPr>
        <b val="true"/>
        <sz val="14"/>
        <rFont val="メイリオ"/>
        <family val="0"/>
        <charset val="1"/>
      </rPr>
      <t xml:space="preserve">FY2027</t>
    </r>
    <r>
      <rPr>
        <b val="true"/>
        <sz val="14"/>
        <rFont val="WenQuanYi Zen Hei"/>
        <family val="2"/>
      </rPr>
      <t xml:space="preserve">）</t>
    </r>
  </si>
  <si>
    <r>
      <rPr>
        <sz val="9"/>
        <color rgb="FF333333"/>
        <rFont val="WenQuanYi Zen Hei"/>
        <family val="2"/>
      </rPr>
      <t xml:space="preserve">ワイン仕入は「売上原価（出庫）＋在庫増減」がキャッシュアウト。</t>
    </r>
    <r>
      <rPr>
        <sz val="9"/>
        <color rgb="FF333333"/>
        <rFont val="メイリオ"/>
        <family val="0"/>
        <charset val="1"/>
      </rPr>
      <t xml:space="preserve">PL</t>
    </r>
    <r>
      <rPr>
        <sz val="9"/>
        <color rgb="FF333333"/>
        <rFont val="WenQuanYi Zen Hei"/>
        <family val="2"/>
      </rPr>
      <t xml:space="preserve">に現れない在庫積み増しが資金繰りの最大論点。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</si>
  <si>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】自社在庫（簿価）の実績推移　単位：百万円</t>
    </r>
  </si>
  <si>
    <t xml:space="preserve">時点</t>
  </si>
  <si>
    <r>
      <rPr>
        <b val="true"/>
        <sz val="11"/>
        <rFont val="メイリオ"/>
        <family val="0"/>
        <charset val="1"/>
      </rPr>
      <t xml:space="preserve">2024/12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</si>
  <si>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2025/07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</si>
  <si>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2025/09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</si>
  <si>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2025/12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</si>
  <si>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2026/03</t>
    </r>
    <r>
      <rPr>
        <b val="true"/>
        <sz val="11"/>
        <rFont val="WenQuanYi Zen Hei"/>
        <family val="2"/>
      </rPr>
      <t xml:space="preserve">末</t>
    </r>
  </si>
  <si>
    <t xml:space="preserve">自社在庫 簿価</t>
  </si>
  <si>
    <r>
      <rPr>
        <b val="true"/>
        <sz val="11"/>
        <rFont val="メイリオ"/>
        <family val="0"/>
        <charset val="1"/>
      </rPr>
      <t xml:space="preserve">2025/09</t>
    </r>
    <r>
      <rPr>
        <b val="true"/>
        <sz val="11"/>
        <rFont val="WenQuanYi Zen Hei"/>
        <family val="2"/>
      </rPr>
      <t xml:space="preserve">末→</t>
    </r>
    <r>
      <rPr>
        <b val="true"/>
        <sz val="11"/>
        <rFont val="メイリオ"/>
        <family val="0"/>
        <charset val="1"/>
      </rPr>
      <t xml:space="preserve">2026/03</t>
    </r>
    <r>
      <rPr>
        <b val="true"/>
        <sz val="11"/>
        <rFont val="WenQuanYi Zen Hei"/>
        <family val="2"/>
      </rPr>
      <t xml:space="preserve">末の増加</t>
    </r>
  </si>
  <si>
    <r>
      <rPr>
        <sz val="9"/>
        <color rgb="FF8C8C8C"/>
        <rFont val="WenQuanYi Zen Hei"/>
        <family val="2"/>
      </rPr>
      <t xml:space="preserve">百万円 </t>
    </r>
    <r>
      <rPr>
        <sz val="9"/>
        <color rgb="FF8C8C8C"/>
        <rFont val="メイリオ"/>
        <family val="0"/>
        <charset val="1"/>
      </rPr>
      <t xml:space="preserve">/ 6</t>
    </r>
    <r>
      <rPr>
        <sz val="9"/>
        <color rgb="FF8C8C8C"/>
        <rFont val="WenQuanYi Zen Hei"/>
        <family val="2"/>
      </rPr>
      <t xml:space="preserve">か月</t>
    </r>
  </si>
  <si>
    <r>
      <rPr>
        <sz val="9"/>
        <color rgb="FF333333"/>
        <rFont val="WenQuanYi Zen Hei"/>
        <family val="2"/>
      </rPr>
      <t xml:space="preserve">百万円</t>
    </r>
    <r>
      <rPr>
        <sz val="9"/>
        <color rgb="FF333333"/>
        <rFont val="メイリオ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月のキャッシュアウト</t>
    </r>
  </si>
  <si>
    <r>
      <rPr>
        <sz val="9"/>
        <color rgb="FF8C8C8C"/>
        <rFont val="WenQuanYi Zen Hei"/>
        <family val="2"/>
      </rPr>
      <t xml:space="preserve">出典：</t>
    </r>
    <r>
      <rPr>
        <sz val="9"/>
        <color rgb="FF8C8C8C"/>
        <rFont val="メイリオ"/>
        <family val="0"/>
        <charset val="1"/>
      </rPr>
      <t xml:space="preserve">2026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7</t>
    </r>
    <r>
      <rPr>
        <sz val="9"/>
        <color rgb="FF8C8C8C"/>
        <rFont val="WenQuanYi Zen Hei"/>
        <family val="2"/>
      </rPr>
      <t xml:space="preserve">月度 取締役会資料「ワイン預かり残高推移</t>
    </r>
    <r>
      <rPr>
        <sz val="9"/>
        <color rgb="FF8C8C8C"/>
        <rFont val="メイリオ"/>
        <family val="0"/>
        <charset val="1"/>
      </rPr>
      <t xml:space="preserve">KPI</t>
    </r>
    <r>
      <rPr>
        <sz val="9"/>
        <color rgb="FF8C8C8C"/>
        <rFont val="WenQuanYi Zen Hei"/>
        <family val="2"/>
      </rPr>
      <t xml:space="preserve">」（税抜・簿価）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</si>
  <si>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</t>
    </r>
    <r>
      <rPr>
        <b val="true"/>
        <sz val="11"/>
        <color rgb="FFFFFFFF"/>
        <rFont val="メイリオ"/>
        <family val="0"/>
        <charset val="1"/>
      </rPr>
      <t xml:space="preserve">FY2027 </t>
    </r>
    <r>
      <rPr>
        <b val="true"/>
        <sz val="11"/>
        <color rgb="FFFFFFFF"/>
        <rFont val="WenQuanYi Zen Hei"/>
        <family val="2"/>
      </rPr>
      <t xml:space="preserve">仕入・在庫計画（税抜）</t>
    </r>
  </si>
  <si>
    <t xml:space="preserve">月次ベース</t>
  </si>
  <si>
    <t xml:space="preserve">期首在庫</t>
  </si>
  <si>
    <r>
      <rPr>
        <sz val="9"/>
        <color rgb="FF333333"/>
        <rFont val="メイリオ"/>
        <family val="0"/>
        <charset val="1"/>
      </rPr>
      <t xml:space="preserve">2026/03</t>
    </r>
    <r>
      <rPr>
        <sz val="9"/>
        <color rgb="FF333333"/>
        <rFont val="WenQuanYi Zen Hei"/>
        <family val="2"/>
      </rPr>
      <t xml:space="preserve">末実績</t>
    </r>
    <r>
      <rPr>
        <sz val="9"/>
        <color rgb="FF333333"/>
        <rFont val="メイリオ"/>
        <family val="0"/>
        <charset val="1"/>
      </rPr>
      <t xml:space="preserve">620</t>
    </r>
    <r>
      <rPr>
        <sz val="9"/>
        <color rgb="FF333333"/>
        <rFont val="WenQuanYi Zen Hei"/>
        <family val="2"/>
      </rPr>
      <t xml:space="preserve">百万円 −</t>
    </r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の在庫販売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百万円＝</t>
    </r>
    <r>
      <rPr>
        <sz val="9"/>
        <color rgb="FF333333"/>
        <rFont val="メイリオ"/>
        <family val="0"/>
        <charset val="1"/>
      </rPr>
      <t xml:space="preserve">420</t>
    </r>
    <r>
      <rPr>
        <sz val="9"/>
        <color rgb="FF333333"/>
        <rFont val="WenQuanYi Zen Hei"/>
        <family val="2"/>
      </rPr>
      <t xml:space="preserve">百万円。</t>
    </r>
    <r>
      <rPr>
        <sz val="9"/>
        <color rgb="FF333333"/>
        <rFont val="メイリオ"/>
        <family val="0"/>
        <charset val="1"/>
      </rPr>
      <t xml:space="preserve">2026/04-08</t>
    </r>
    <r>
      <rPr>
        <sz val="9"/>
        <color rgb="FF333333"/>
        <rFont val="WenQuanYi Zen Hei"/>
        <family val="2"/>
      </rPr>
      <t xml:space="preserve">の増減は横ばいと仮定。</t>
    </r>
  </si>
  <si>
    <t xml:space="preserve">在庫方針（月次 増減額）</t>
  </si>
  <si>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＝在庫横ばい（仕入＝売上原価）。積み増す場合は月額を入力。</t>
    </r>
  </si>
  <si>
    <t xml:space="preserve">スポット大口仕入</t>
  </si>
  <si>
    <t xml:space="preserve">野村ユニソン等のロット仕入。発生月に入力。</t>
  </si>
  <si>
    <t xml:space="preserve">プリムール等 前払仕入</t>
  </si>
  <si>
    <t xml:space="preserve">引渡し前の前払。発生月に入力。</t>
  </si>
  <si>
    <t xml:space="preserve">通常仕入</t>
  </si>
  <si>
    <r>
      <rPr>
        <sz val="9"/>
        <color rgb="FF8C8C8C"/>
        <rFont val="WenQuanYi Zen Hei"/>
        <family val="2"/>
      </rPr>
      <t xml:space="preserve">方針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＝売上原価と同額（在庫横ばい）／方針</t>
    </r>
    <r>
      <rPr>
        <sz val="9"/>
        <color rgb="FF8C8C8C"/>
        <rFont val="メイリオ"/>
        <family val="0"/>
        <charset val="1"/>
      </rPr>
      <t xml:space="preserve">2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の年間仕入額を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等分。</t>
    </r>
  </si>
  <si>
    <t xml:space="preserve">仕入 合計（入庫）</t>
  </si>
  <si>
    <t xml:space="preserve">売上原価（出庫）</t>
  </si>
  <si>
    <t xml:space="preserve">期末在庫</t>
  </si>
  <si>
    <r>
      <rPr>
        <sz val="9"/>
        <color rgb="FF333333"/>
        <rFont val="WenQuanYi Zen Hei"/>
        <family val="2"/>
      </rPr>
      <t xml:space="preserve">※仕入方針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（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と同額</t>
    </r>
    <r>
      <rPr>
        <sz val="9"/>
        <color rgb="FF333333"/>
        <rFont val="メイリオ"/>
        <family val="0"/>
        <charset val="1"/>
      </rPr>
      <t xml:space="preserve">419.1</t>
    </r>
    <r>
      <rPr>
        <sz val="9"/>
        <color rgb="FF333333"/>
        <rFont val="WenQuanYi Zen Hei"/>
        <family val="2"/>
      </rPr>
      <t xml:space="preserve">百万円）では、売上原価との差額が在庫増となり、その分がキャッシュアウトになります。</t>
    </r>
  </si>
  <si>
    <t xml:space="preserve">※スポット大口仕入・プリムール前払は、売上計上より先に支払が発生するため、資金繰り上は最も注意を要する項目。</t>
  </si>
  <si>
    <r>
      <rPr>
        <sz val="9"/>
        <color rgb="FF333333"/>
        <rFont val="メイリオ"/>
        <family val="0"/>
        <charset val="1"/>
      </rPr>
      <t xml:space="preserve">※2026/09</t>
    </r>
    <r>
      <rPr>
        <sz val="9"/>
        <color rgb="FF333333"/>
        <rFont val="WenQuanYi Zen Hei"/>
        <family val="2"/>
      </rPr>
      <t xml:space="preserve">に在庫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百万円を販売（削減）し、その代金をみずほ銀行への融資返済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百万円に充当する前提。期首在庫はその後の残高。</t>
    </r>
  </si>
  <si>
    <r>
      <rPr>
        <b val="true"/>
        <sz val="14"/>
        <rFont val="メイリオ"/>
        <family val="0"/>
        <charset val="1"/>
      </rPr>
      <t xml:space="preserve">FY2027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メイリオ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メイリオ"/>
        <family val="0"/>
        <charset val="1"/>
      </rPr>
      <t xml:space="preserve">10</t>
    </r>
    <r>
      <rPr>
        <b val="true"/>
        <sz val="14"/>
        <rFont val="WenQuanYi Zen Hei"/>
        <family val="2"/>
      </rPr>
      <t xml:space="preserve">月</t>
    </r>
    <r>
      <rPr>
        <b val="true"/>
        <sz val="14"/>
        <rFont val="メイリオ"/>
        <family val="0"/>
        <charset val="1"/>
      </rPr>
      <t xml:space="preserve">-2027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メイリオ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月）月次資金繰り表</t>
    </r>
  </si>
  <si>
    <r>
      <rPr>
        <sz val="9"/>
        <color rgb="FF8C8C8C"/>
        <rFont val="WenQuanYi Zen Hei"/>
        <family val="2"/>
      </rPr>
      <t xml:space="preserve">単位：円（税込ベース）　プラン</t>
    </r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（②前提の「シナリオ選択」に連動）／ワイン仕入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同額の前提　青字＝入力セル・緑字＝他シートからのリンク</t>
    </r>
  </si>
  <si>
    <t xml:space="preserve">【前提】</t>
  </si>
  <si>
    <r>
      <rPr>
        <sz val="11"/>
        <rFont val="WenQuanYi Zen Hei"/>
        <family val="2"/>
      </rPr>
      <t xml:space="preserve">期首現預金（</t>
    </r>
    <r>
      <rPr>
        <sz val="11"/>
        <rFont val="メイリオ"/>
        <family val="0"/>
        <charset val="1"/>
      </rPr>
      <t xml:space="preserve">2026/09</t>
    </r>
    <r>
      <rPr>
        <sz val="11"/>
        <rFont val="WenQuanYi Zen Hei"/>
        <family val="2"/>
      </rPr>
      <t xml:space="preserve">末）</t>
    </r>
  </si>
  <si>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末にみずほ銀行へ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百万円を返済した後のキャッシュポジション（貴社ご指定）。</t>
    </r>
  </si>
  <si>
    <r>
      <rPr>
        <sz val="9"/>
        <color rgb="FF8C8C8C"/>
        <rFont val="WenQuanYi Zen Hei"/>
        <family val="2"/>
      </rPr>
      <t xml:space="preserve">②前提の【</t>
    </r>
    <r>
      <rPr>
        <sz val="9"/>
        <color rgb="FF8C8C8C"/>
        <rFont val="メイリオ"/>
        <family val="0"/>
        <charset val="1"/>
      </rPr>
      <t xml:space="preserve">6</t>
    </r>
    <r>
      <rPr>
        <sz val="9"/>
        <color rgb="FF8C8C8C"/>
        <rFont val="WenQuanYi Zen Hei"/>
        <family val="2"/>
      </rPr>
      <t xml:space="preserve">】消費税の算定から自動参照</t>
    </r>
  </si>
  <si>
    <t xml:space="preserve">売上 回収サイト（か月）</t>
  </si>
  <si>
    <r>
      <rPr>
        <sz val="9"/>
        <color rgb="FF8C8C8C"/>
        <rFont val="WenQuanYi Zen Hei"/>
        <family val="2"/>
      </rPr>
      <t xml:space="preserve">売掛金回転</t>
    </r>
    <r>
      <rPr>
        <sz val="9"/>
        <color rgb="FF8C8C8C"/>
        <rFont val="メイリオ"/>
        <family val="0"/>
        <charset val="1"/>
      </rPr>
      <t xml:space="preserve">32.2</t>
    </r>
    <r>
      <rPr>
        <sz val="9"/>
        <color rgb="FF8C8C8C"/>
        <rFont val="WenQuanYi Zen Hei"/>
        <family val="2"/>
      </rPr>
      <t xml:space="preserve">日（</t>
    </r>
    <r>
      <rPr>
        <sz val="9"/>
        <color rgb="FF8C8C8C"/>
        <rFont val="メイリオ"/>
        <family val="0"/>
        <charset val="1"/>
      </rPr>
      <t xml:space="preserve">2025/09</t>
    </r>
    <r>
      <rPr>
        <sz val="9"/>
        <color rgb="FF8C8C8C"/>
        <rFont val="WenQuanYi Zen Hei"/>
        <family val="2"/>
      </rPr>
      <t xml:space="preserve">末</t>
    </r>
    <r>
      <rPr>
        <sz val="9"/>
        <color rgb="FF8C8C8C"/>
        <rFont val="メイリオ"/>
        <family val="0"/>
        <charset val="1"/>
      </rPr>
      <t xml:space="preserve">BS</t>
    </r>
    <r>
      <rPr>
        <sz val="9"/>
        <color rgb="FF8C8C8C"/>
        <rFont val="WenQuanYi Zen Hei"/>
        <family val="2"/>
      </rPr>
      <t xml:space="preserve">）より</t>
    </r>
    <r>
      <rPr>
        <sz val="9"/>
        <color rgb="FF8C8C8C"/>
        <rFont val="メイリオ"/>
        <family val="0"/>
        <charset val="1"/>
      </rPr>
      <t xml:space="preserve">1.06</t>
    </r>
    <r>
      <rPr>
        <sz val="9"/>
        <color rgb="FF8C8C8C"/>
        <rFont val="WenQuanYi Zen Hei"/>
        <family val="2"/>
      </rPr>
      <t xml:space="preserve">か月→</t>
    </r>
    <r>
      <rPr>
        <sz val="9"/>
        <color rgb="FF8C8C8C"/>
        <rFont val="メイリオ"/>
        <family val="0"/>
        <charset val="1"/>
      </rPr>
      <t xml:space="preserve">1.0</t>
    </r>
    <r>
      <rPr>
        <sz val="9"/>
        <color rgb="FF8C8C8C"/>
        <rFont val="WenQuanYi Zen Hei"/>
        <family val="2"/>
      </rPr>
      <t xml:space="preserve">か月と設定。</t>
    </r>
  </si>
  <si>
    <t xml:space="preserve">仕入 支払サイト（か月）</t>
  </si>
  <si>
    <r>
      <rPr>
        <sz val="9"/>
        <color rgb="FF8C8C8C"/>
        <rFont val="WenQuanYi Zen Hei"/>
        <family val="2"/>
      </rPr>
      <t xml:space="preserve">買掛金回転</t>
    </r>
    <r>
      <rPr>
        <sz val="9"/>
        <color rgb="FF8C8C8C"/>
        <rFont val="メイリオ"/>
        <family val="0"/>
        <charset val="1"/>
      </rPr>
      <t xml:space="preserve">23.5</t>
    </r>
    <r>
      <rPr>
        <sz val="9"/>
        <color rgb="FF8C8C8C"/>
        <rFont val="WenQuanYi Zen Hei"/>
        <family val="2"/>
      </rPr>
      <t xml:space="preserve">日（</t>
    </r>
    <r>
      <rPr>
        <sz val="9"/>
        <color rgb="FF8C8C8C"/>
        <rFont val="メイリオ"/>
        <family val="0"/>
        <charset val="1"/>
      </rPr>
      <t xml:space="preserve">2025/09</t>
    </r>
    <r>
      <rPr>
        <sz val="9"/>
        <color rgb="FF8C8C8C"/>
        <rFont val="WenQuanYi Zen Hei"/>
        <family val="2"/>
      </rPr>
      <t xml:space="preserve">末</t>
    </r>
    <r>
      <rPr>
        <sz val="9"/>
        <color rgb="FF8C8C8C"/>
        <rFont val="メイリオ"/>
        <family val="0"/>
        <charset val="1"/>
      </rPr>
      <t xml:space="preserve">BS</t>
    </r>
    <r>
      <rPr>
        <sz val="9"/>
        <color rgb="FF8C8C8C"/>
        <rFont val="WenQuanYi Zen Hei"/>
        <family val="2"/>
      </rPr>
      <t xml:space="preserve">）より</t>
    </r>
    <r>
      <rPr>
        <sz val="9"/>
        <color rgb="FF8C8C8C"/>
        <rFont val="メイリオ"/>
        <family val="0"/>
        <charset val="1"/>
      </rPr>
      <t xml:space="preserve">0.77</t>
    </r>
    <r>
      <rPr>
        <sz val="9"/>
        <color rgb="FF8C8C8C"/>
        <rFont val="WenQuanYi Zen Hei"/>
        <family val="2"/>
      </rPr>
      <t xml:space="preserve">か月→</t>
    </r>
    <r>
      <rPr>
        <sz val="9"/>
        <color rgb="FF8C8C8C"/>
        <rFont val="メイリオ"/>
        <family val="0"/>
        <charset val="1"/>
      </rPr>
      <t xml:space="preserve">1.0</t>
    </r>
    <r>
      <rPr>
        <sz val="9"/>
        <color rgb="FF8C8C8C"/>
        <rFont val="WenQuanYi Zen Hei"/>
        <family val="2"/>
      </rPr>
      <t xml:space="preserve">か月と設定。</t>
    </r>
  </si>
  <si>
    <t xml:space="preserve">長期借入金 約定返済（月額）</t>
  </si>
  <si>
    <r>
      <rPr>
        <sz val="9"/>
        <color rgb="FF333333"/>
        <rFont val="WenQuanYi Zen Hei"/>
        <family val="2"/>
      </rPr>
      <t xml:space="preserve">★要差替え。長期借入</t>
    </r>
    <r>
      <rPr>
        <sz val="9"/>
        <color rgb="FF333333"/>
        <rFont val="メイリオ"/>
        <family val="0"/>
        <charset val="1"/>
      </rPr>
      <t xml:space="preserve">423,623,000</t>
    </r>
    <r>
      <rPr>
        <sz val="9"/>
        <color rgb="FF333333"/>
        <rFont val="WenQuanYi Zen Hei"/>
        <family val="2"/>
      </rPr>
      <t xml:space="preserve">円−みずほ一括返済</t>
    </r>
    <r>
      <rPr>
        <sz val="9"/>
        <color rgb="FF333333"/>
        <rFont val="メイリオ"/>
        <family val="0"/>
        <charset val="1"/>
      </rPr>
      <t xml:space="preserve">200,000,000</t>
    </r>
    <r>
      <rPr>
        <sz val="9"/>
        <color rgb="FF333333"/>
        <rFont val="WenQuanYi Zen Hei"/>
        <family val="2"/>
      </rPr>
      <t xml:space="preserve">円＝</t>
    </r>
    <r>
      <rPr>
        <sz val="9"/>
        <color rgb="FF333333"/>
        <rFont val="メイリオ"/>
        <family val="0"/>
        <charset val="1"/>
      </rPr>
      <t xml:space="preserve">223,623,000</t>
    </r>
    <r>
      <rPr>
        <sz val="9"/>
        <color rgb="FF333333"/>
        <rFont val="WenQuanYi Zen Hei"/>
        <family val="2"/>
      </rPr>
      <t xml:space="preserve">円を</t>
    </r>
    <r>
      <rPr>
        <sz val="9"/>
        <color rgb="FF333333"/>
        <rFont val="メイリオ"/>
        <family val="0"/>
        <charset val="1"/>
      </rPr>
      <t xml:space="preserve">7</t>
    </r>
    <r>
      <rPr>
        <sz val="9"/>
        <color rgb="FF333333"/>
        <rFont val="WenQuanYi Zen Hei"/>
        <family val="2"/>
      </rPr>
      <t xml:space="preserve">年均等返済と仮定した暫定値。</t>
    </r>
  </si>
  <si>
    <t xml:space="preserve">短期借入金 純増減（月額）</t>
  </si>
  <si>
    <r>
      <rPr>
        <sz val="9"/>
        <color rgb="FF8C8C8C"/>
        <rFont val="WenQuanYi Zen Hei"/>
        <family val="2"/>
      </rPr>
      <t xml:space="preserve">短期借入</t>
    </r>
    <r>
      <rPr>
        <sz val="9"/>
        <color rgb="FF8C8C8C"/>
        <rFont val="メイリオ"/>
        <family val="0"/>
        <charset val="1"/>
      </rPr>
      <t xml:space="preserve">162,440,980</t>
    </r>
    <r>
      <rPr>
        <sz val="9"/>
        <color rgb="FF8C8C8C"/>
        <rFont val="WenQuanYi Zen Hei"/>
        <family val="2"/>
      </rPr>
      <t xml:space="preserve">円は同額借換（継続）を前提。</t>
    </r>
  </si>
  <si>
    <t xml:space="preserve">【営業収入】</t>
  </si>
  <si>
    <t xml:space="preserve">売上入金（税込）</t>
  </si>
  <si>
    <t xml:space="preserve">コンサルティング料 入金（税込）</t>
  </si>
  <si>
    <r>
      <rPr>
        <sz val="11"/>
        <color rgb="FF595959"/>
        <rFont val="メイリオ"/>
        <family val="0"/>
        <charset val="1"/>
      </rPr>
      <t xml:space="preserve">M&amp;A</t>
    </r>
    <r>
      <rPr>
        <sz val="11"/>
        <color rgb="FF595959"/>
        <rFont val="WenQuanYi Zen Hei"/>
        <family val="2"/>
      </rPr>
      <t xml:space="preserve">仲介 入金（税込）</t>
    </r>
  </si>
  <si>
    <t xml:space="preserve">前期末売掛金 回収</t>
  </si>
  <si>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の在庫販売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百万円の代金回収およびみずほ銀行への返済は</t>
    </r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末までに完了済み（期首現預金</t>
    </r>
    <r>
      <rPr>
        <sz val="9"/>
        <color rgb="FF333333"/>
        <rFont val="メイリオ"/>
        <family val="0"/>
        <charset val="1"/>
      </rPr>
      <t xml:space="preserve">30</t>
    </r>
    <r>
      <rPr>
        <sz val="9"/>
        <color rgb="FF333333"/>
        <rFont val="WenQuanYi Zen Hei"/>
        <family val="2"/>
      </rPr>
      <t xml:space="preserve">百万円に反映）。</t>
    </r>
  </si>
  <si>
    <r>
      <rPr>
        <sz val="11"/>
        <color rgb="FF595959"/>
        <rFont val="WenQuanYi Zen Hei"/>
        <family val="2"/>
      </rPr>
      <t xml:space="preserve">クルーザー</t>
    </r>
    <r>
      <rPr>
        <sz val="11"/>
        <color rgb="FF595959"/>
        <rFont val="メイリオ"/>
        <family val="0"/>
        <charset val="1"/>
      </rPr>
      <t xml:space="preserve">×</t>
    </r>
    <r>
      <rPr>
        <sz val="11"/>
        <color rgb="FF595959"/>
        <rFont val="WenQuanYi Zen Hei"/>
        <family val="2"/>
      </rPr>
      <t xml:space="preserve">ワイン事業 入金（税込）</t>
    </r>
  </si>
  <si>
    <r>
      <rPr>
        <sz val="9"/>
        <color rgb="FF8C8C8C"/>
        <rFont val="WenQuanYi Zen Hei"/>
        <family val="2"/>
      </rPr>
      <t xml:space="preserve">新規クルーザー事業。</t>
    </r>
    <r>
      <rPr>
        <sz val="9"/>
        <color rgb="FF8C8C8C"/>
        <rFont val="メイリオ"/>
        <family val="0"/>
        <charset val="1"/>
      </rPr>
      <t xml:space="preserve">2027/03</t>
    </r>
    <r>
      <rPr>
        <sz val="9"/>
        <color rgb="FF8C8C8C"/>
        <rFont val="WenQuanYi Zen Hei"/>
        <family val="2"/>
      </rPr>
      <t xml:space="preserve">と</t>
    </r>
    <r>
      <rPr>
        <sz val="9"/>
        <color rgb="FF8C8C8C"/>
        <rFont val="メイリオ"/>
        <family val="0"/>
        <charset val="1"/>
      </rPr>
      <t xml:space="preserve">2027/09</t>
    </r>
    <r>
      <rPr>
        <sz val="9"/>
        <color rgb="FF8C8C8C"/>
        <rFont val="WenQuanYi Zen Hei"/>
        <family val="2"/>
      </rPr>
      <t xml:space="preserve">に各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百万円。課税取引として税込入金と仮定。</t>
    </r>
  </si>
  <si>
    <t xml:space="preserve">営業収入 計</t>
  </si>
  <si>
    <t xml:space="preserve">【営業支出】</t>
  </si>
  <si>
    <t xml:space="preserve">ワイン仕入 支払（税込）</t>
  </si>
  <si>
    <t xml:space="preserve">人件費（役員報酬・給与・雑給・法定福利）</t>
  </si>
  <si>
    <t xml:space="preserve">その他販管費（税込・減価償却除く）</t>
  </si>
  <si>
    <t xml:space="preserve">支払利息</t>
  </si>
  <si>
    <t xml:space="preserve">消費税 納付</t>
  </si>
  <si>
    <r>
      <rPr>
        <sz val="9"/>
        <color rgb="FF333333"/>
        <rFont val="WenQuanYi Zen Hei"/>
        <family val="2"/>
      </rPr>
      <t xml:space="preserve">②前提【</t>
    </r>
    <r>
      <rPr>
        <sz val="9"/>
        <color rgb="FF333333"/>
        <rFont val="メイリオ"/>
        <family val="0"/>
        <charset val="1"/>
      </rPr>
      <t xml:space="preserve">6</t>
    </r>
    <r>
      <rPr>
        <sz val="9"/>
        <color rgb="FF333333"/>
        <rFont val="WenQuanYi Zen Hei"/>
        <family val="2"/>
      </rPr>
      <t xml:space="preserve">】の算定結果を参照。</t>
    </r>
    <r>
      <rPr>
        <sz val="9"/>
        <color rgb="FF333333"/>
        <rFont val="メイリオ"/>
        <family val="0"/>
        <charset val="1"/>
      </rPr>
      <t xml:space="preserve">2026/11</t>
    </r>
    <r>
      <rPr>
        <sz val="9"/>
        <color rgb="FF333333"/>
        <rFont val="WenQuanYi Zen Hei"/>
        <family val="2"/>
      </rPr>
      <t xml:space="preserve">＝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分の確定納付、</t>
    </r>
    <r>
      <rPr>
        <sz val="9"/>
        <color rgb="FF333333"/>
        <rFont val="メイリオ"/>
        <family val="0"/>
        <charset val="1"/>
      </rPr>
      <t xml:space="preserve">2027/02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メイリオ"/>
        <family val="0"/>
        <charset val="1"/>
      </rPr>
      <t xml:space="preserve">05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メイリオ"/>
        <family val="0"/>
        <charset val="1"/>
      </rPr>
      <t xml:space="preserve">08</t>
    </r>
    <r>
      <rPr>
        <sz val="9"/>
        <color rgb="FF333333"/>
        <rFont val="WenQuanYi Zen Hei"/>
        <family val="2"/>
      </rPr>
      <t xml:space="preserve">＝当期の中間納付（年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回）。</t>
    </r>
  </si>
  <si>
    <t xml:space="preserve">法人税等（均等割）</t>
  </si>
  <si>
    <t xml:space="preserve">営業支出 計</t>
  </si>
  <si>
    <t xml:space="preserve">経常収支</t>
  </si>
  <si>
    <t xml:space="preserve">【財務収支】</t>
  </si>
  <si>
    <t xml:space="preserve">長期借入金 約定返済</t>
  </si>
  <si>
    <t xml:space="preserve">短期借入金 純増減</t>
  </si>
  <si>
    <t xml:space="preserve">新規調達（借入・増資）</t>
  </si>
  <si>
    <t xml:space="preserve">みずほ銀行 融資返済</t>
  </si>
  <si>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末に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百万円を返済済みのため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には計上しない。</t>
    </r>
  </si>
  <si>
    <t xml:space="preserve">財務収支 計</t>
  </si>
  <si>
    <t xml:space="preserve">当月収支</t>
  </si>
  <si>
    <t xml:space="preserve">前月繰越 現預金</t>
  </si>
  <si>
    <t xml:space="preserve">翌月繰越 現預金</t>
  </si>
  <si>
    <t xml:space="preserve">資金不足額（マイナス時）</t>
  </si>
  <si>
    <t xml:space="preserve">通期列＝最大不足額（必要調達額の下限）</t>
  </si>
  <si>
    <r>
      <rPr>
        <sz val="9"/>
        <color rgb="FF8C8C8C"/>
        <rFont val="WenQuanYi Zen Hei"/>
        <family val="2"/>
      </rPr>
      <t xml:space="preserve">※売上・仕入とも回収／支払サイト</t>
    </r>
    <r>
      <rPr>
        <sz val="9"/>
        <color rgb="FF8C8C8C"/>
        <rFont val="メイリオ"/>
        <family val="0"/>
        <charset val="1"/>
      </rPr>
      <t xml:space="preserve">1.0</t>
    </r>
    <r>
      <rPr>
        <sz val="9"/>
        <color rgb="FF8C8C8C"/>
        <rFont val="WenQuanYi Zen Hei"/>
        <family val="2"/>
      </rPr>
      <t xml:space="preserve">か月。既存事業の売上は横ばい前提のため、月ズレの影響は通期では相殺されます。</t>
    </r>
  </si>
  <si>
    <t xml:space="preserve">※ワイン仕入の支払は前月仕入額を当月に支払う前提（⑥シートで仕入月を入力すると、翌月に資金流出として反映されます）。</t>
  </si>
  <si>
    <r>
      <rPr>
        <sz val="9"/>
        <color rgb="FF8C8C8C"/>
        <rFont val="WenQuanYi Zen Hei"/>
        <family val="2"/>
      </rPr>
      <t xml:space="preserve">※減価償却費（月</t>
    </r>
    <r>
      <rPr>
        <sz val="9"/>
        <color rgb="FF8C8C8C"/>
        <rFont val="メイリオ"/>
        <family val="0"/>
        <charset val="1"/>
      </rPr>
      <t xml:space="preserve">3.6</t>
    </r>
    <r>
      <rPr>
        <sz val="9"/>
        <color rgb="FF8C8C8C"/>
        <rFont val="WenQuanYi Zen Hei"/>
        <family val="2"/>
      </rPr>
      <t xml:space="preserve">百万円）は資金支出を伴わないため、営業支出から除外しています。</t>
    </r>
  </si>
  <si>
    <t xml:space="preserve">※消費税納付・法人税等は暫定値です。税理士確定額に差し替えてください。</t>
  </si>
  <si>
    <r>
      <rPr>
        <sz val="9"/>
        <color rgb="FF333333"/>
        <rFont val="WenQuanYi Zen Hei"/>
        <family val="2"/>
      </rPr>
      <t xml:space="preserve">※期首現預金と長期借入返済額（黄色セル）は必ず実際の数値に差し替えてください。この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つで結論が大きく変わります。</t>
    </r>
  </si>
  <si>
    <t xml:space="preserve">【感応度】どこまで耐えられるか</t>
  </si>
  <si>
    <t xml:space="preserve">ケース</t>
  </si>
  <si>
    <t xml:space="preserve">期末 現預金残高</t>
  </si>
  <si>
    <t xml:space="preserve">期中 最低残高</t>
  </si>
  <si>
    <t xml:space="preserve">必要調達額</t>
  </si>
  <si>
    <t xml:space="preserve">前提</t>
  </si>
  <si>
    <r>
      <rPr>
        <b val="true"/>
        <sz val="11"/>
        <rFont val="メイリオ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基本（プラン</t>
    </r>
    <r>
      <rPr>
        <b val="true"/>
        <sz val="11"/>
        <rFont val="メイリオ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：仕入</t>
    </r>
    <r>
      <rPr>
        <b val="true"/>
        <sz val="11"/>
        <rFont val="メイリオ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同額・売上</t>
    </r>
    <r>
      <rPr>
        <b val="true"/>
        <sz val="11"/>
        <rFont val="メイリオ"/>
        <family val="0"/>
        <charset val="1"/>
      </rPr>
      <t xml:space="preserve">863.0</t>
    </r>
    <r>
      <rPr>
        <b val="true"/>
        <sz val="11"/>
        <rFont val="WenQuanYi Zen Hei"/>
        <family val="2"/>
      </rPr>
      <t xml:space="preserve">百万円）</t>
    </r>
  </si>
  <si>
    <r>
      <rPr>
        <sz val="9"/>
        <color rgb="FF8C8C8C"/>
        <rFont val="WenQuanYi Zen Hei"/>
        <family val="2"/>
      </rPr>
      <t xml:space="preserve">期首現預金</t>
    </r>
    <r>
      <rPr>
        <sz val="9"/>
        <color rgb="FF8C8C8C"/>
        <rFont val="メイリオ"/>
        <family val="0"/>
        <charset val="1"/>
      </rPr>
      <t xml:space="preserve">30</t>
    </r>
    <r>
      <rPr>
        <sz val="9"/>
        <color rgb="FF8C8C8C"/>
        <rFont val="WenQuanYi Zen Hei"/>
        <family val="2"/>
      </rPr>
      <t xml:space="preserve">百万円、ワイン仕入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と同額</t>
    </r>
    <r>
      <rPr>
        <sz val="9"/>
        <color rgb="FF8C8C8C"/>
        <rFont val="メイリオ"/>
        <family val="0"/>
        <charset val="1"/>
      </rPr>
      <t xml:space="preserve">419.1</t>
    </r>
    <r>
      <rPr>
        <sz val="9"/>
        <color rgb="FF8C8C8C"/>
        <rFont val="WenQuanYi Zen Hei"/>
        <family val="2"/>
      </rPr>
      <t xml:space="preserve">百万円、売上</t>
    </r>
    <r>
      <rPr>
        <sz val="9"/>
        <color rgb="FF8C8C8C"/>
        <rFont val="メイリオ"/>
        <family val="0"/>
        <charset val="1"/>
      </rPr>
      <t xml:space="preserve">863.0</t>
    </r>
    <r>
      <rPr>
        <sz val="9"/>
        <color rgb="FF8C8C8C"/>
        <rFont val="WenQuanYi Zen Hei"/>
        <family val="2"/>
      </rPr>
      <t xml:space="preserve">百万円</t>
    </r>
  </si>
  <si>
    <r>
      <rPr>
        <sz val="11"/>
        <rFont val="メイリオ"/>
        <family val="0"/>
        <charset val="1"/>
      </rPr>
      <t xml:space="preserve">B. </t>
    </r>
    <r>
      <rPr>
        <sz val="11"/>
        <rFont val="WenQuanYi Zen Hei"/>
        <family val="2"/>
      </rPr>
      <t xml:space="preserve">ワイン仕入を在庫横ばいにした場合</t>
    </r>
  </si>
  <si>
    <r>
      <rPr>
        <sz val="9"/>
        <color rgb="FF8C8C8C"/>
        <rFont val="WenQuanYi Zen Hei"/>
        <family val="2"/>
      </rPr>
      <t xml:space="preserve">仕入＝売上原価（②前提のワイン仕入方針を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に変更）。在庫は増えない</t>
    </r>
  </si>
  <si>
    <r>
      <rPr>
        <sz val="11"/>
        <rFont val="メイリオ"/>
        <family val="0"/>
        <charset val="1"/>
      </rPr>
      <t xml:space="preserve">C. 2027/03</t>
    </r>
    <r>
      <rPr>
        <sz val="11"/>
        <rFont val="WenQuanYi Zen Hei"/>
        <family val="2"/>
      </rPr>
      <t xml:space="preserve">・</t>
    </r>
    <r>
      <rPr>
        <sz val="11"/>
        <rFont val="メイリオ"/>
        <family val="0"/>
        <charset val="1"/>
      </rPr>
      <t xml:space="preserve">09</t>
    </r>
    <r>
      <rPr>
        <sz val="11"/>
        <rFont val="WenQuanYi Zen Hei"/>
        <family val="2"/>
      </rPr>
      <t xml:space="preserve">の一時収益が入らない</t>
    </r>
  </si>
  <si>
    <r>
      <rPr>
        <sz val="9"/>
        <color rgb="FF8C8C8C"/>
        <rFont val="メイリオ"/>
        <family val="0"/>
        <charset val="1"/>
      </rPr>
      <t xml:space="preserve">M&amp;A</t>
    </r>
    <r>
      <rPr>
        <sz val="9"/>
        <color rgb="FF8C8C8C"/>
        <rFont val="WenQuanYi Zen Hei"/>
        <family val="2"/>
      </rPr>
      <t xml:space="preserve">仲介</t>
    </r>
    <r>
      <rPr>
        <sz val="9"/>
        <color rgb="FF8C8C8C"/>
        <rFont val="メイリオ"/>
        <family val="0"/>
        <charset val="1"/>
      </rPr>
      <t xml:space="preserve">22.0</t>
    </r>
    <r>
      <rPr>
        <sz val="9"/>
        <color rgb="FF8C8C8C"/>
        <rFont val="WenQuanYi Zen Hei"/>
        <family val="2"/>
      </rPr>
      <t xml:space="preserve">百万円＋クルーザー</t>
    </r>
    <r>
      <rPr>
        <sz val="9"/>
        <color rgb="FF8C8C8C"/>
        <rFont val="メイリオ"/>
        <family val="0"/>
        <charset val="1"/>
      </rPr>
      <t xml:space="preserve">×</t>
    </r>
    <r>
      <rPr>
        <sz val="9"/>
        <color rgb="FF8C8C8C"/>
        <rFont val="WenQuanYi Zen Hei"/>
        <family val="2"/>
      </rPr>
      <t xml:space="preserve">ワイン事業</t>
    </r>
    <r>
      <rPr>
        <sz val="9"/>
        <color rgb="FF8C8C8C"/>
        <rFont val="メイリオ"/>
        <family val="0"/>
        <charset val="1"/>
      </rPr>
      <t xml:space="preserve">22.0</t>
    </r>
    <r>
      <rPr>
        <sz val="9"/>
        <color rgb="FF8C8C8C"/>
        <rFont val="WenQuanYi Zen Hei"/>
        <family val="2"/>
      </rPr>
      <t xml:space="preserve">百万円（いずれも税込）が未入金</t>
    </r>
  </si>
  <si>
    <r>
      <rPr>
        <sz val="11"/>
        <rFont val="メイリオ"/>
        <family val="0"/>
        <charset val="1"/>
      </rPr>
      <t xml:space="preserve">D. </t>
    </r>
    <r>
      <rPr>
        <sz val="11"/>
        <rFont val="WenQuanYi Zen Hei"/>
        <family val="2"/>
      </rPr>
      <t xml:space="preserve">差額売上が未達（横ばい実力値にとどまる）</t>
    </r>
  </si>
  <si>
    <r>
      <rPr>
        <sz val="9"/>
        <color rgb="FF8C8C8C"/>
        <rFont val="WenQuanYi Zen Hei"/>
        <family val="2"/>
      </rPr>
      <t xml:space="preserve">差額売上</t>
    </r>
    <r>
      <rPr>
        <sz val="9"/>
        <color rgb="FF8C8C8C"/>
        <rFont val="メイリオ"/>
        <family val="0"/>
        <charset val="1"/>
      </rPr>
      <t xml:space="preserve">341.4</t>
    </r>
    <r>
      <rPr>
        <sz val="9"/>
        <color rgb="FF8C8C8C"/>
        <rFont val="WenQuanYi Zen Hei"/>
        <family val="2"/>
      </rPr>
      <t xml:space="preserve">百万円が未達。仕入方針</t>
    </r>
    <r>
      <rPr>
        <sz val="9"/>
        <color rgb="FF8C8C8C"/>
        <rFont val="メイリオ"/>
        <family val="0"/>
        <charset val="1"/>
      </rPr>
      <t xml:space="preserve">2</t>
    </r>
    <r>
      <rPr>
        <sz val="9"/>
        <color rgb="FF8C8C8C"/>
        <rFont val="WenQuanYi Zen Hei"/>
        <family val="2"/>
      </rPr>
      <t xml:space="preserve">では仕入額が減らないため全額が資金不足に直結</t>
    </r>
  </si>
  <si>
    <r>
      <rPr>
        <sz val="11"/>
        <rFont val="メイリオ"/>
        <family val="0"/>
        <charset val="1"/>
      </rPr>
      <t xml:space="preserve">E. </t>
    </r>
    <r>
      <rPr>
        <sz val="11"/>
        <rFont val="WenQuanYi Zen Hei"/>
        <family val="2"/>
      </rPr>
      <t xml:space="preserve">プラン</t>
    </r>
    <r>
      <rPr>
        <sz val="11"/>
        <rFont val="メイリオ"/>
        <family val="0"/>
        <charset val="1"/>
      </rPr>
      <t xml:space="preserve">E</t>
    </r>
    <r>
      <rPr>
        <sz val="11"/>
        <rFont val="WenQuanYi Zen Hei"/>
        <family val="2"/>
      </rPr>
      <t xml:space="preserve">（私募＋オークション</t>
    </r>
    <r>
      <rPr>
        <sz val="11"/>
        <rFont val="メイリオ"/>
        <family val="0"/>
        <charset val="1"/>
      </rPr>
      <t xml:space="preserve">300</t>
    </r>
    <r>
      <rPr>
        <sz val="11"/>
        <rFont val="WenQuanYi Zen Hei"/>
        <family val="2"/>
      </rPr>
      <t xml:space="preserve">百万円が上積み）</t>
    </r>
  </si>
  <si>
    <r>
      <rPr>
        <sz val="9"/>
        <color rgb="FF8C8C8C"/>
        <rFont val="WenQuanYi Zen Hei"/>
        <family val="2"/>
      </rPr>
      <t xml:space="preserve">上振れケース。追加売上</t>
    </r>
    <r>
      <rPr>
        <sz val="9"/>
        <color rgb="FF8C8C8C"/>
        <rFont val="メイリオ"/>
        <family val="0"/>
        <charset val="1"/>
      </rPr>
      <t xml:space="preserve">300</t>
    </r>
    <r>
      <rPr>
        <sz val="9"/>
        <color rgb="FF8C8C8C"/>
        <rFont val="WenQuanYi Zen Hei"/>
        <family val="2"/>
      </rPr>
      <t xml:space="preserve">百万円が当期中に入金した場合</t>
    </r>
  </si>
  <si>
    <r>
      <rPr>
        <sz val="11"/>
        <rFont val="WenQuanYi Zen Hei"/>
        <family val="2"/>
      </rPr>
      <t xml:space="preserve">運転資金バッファ（月商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か月）</t>
    </r>
  </si>
  <si>
    <r>
      <rPr>
        <sz val="9"/>
        <color rgb="FF8C8C8C"/>
        <rFont val="WenQuanYi Zen Hei"/>
        <family val="2"/>
      </rPr>
      <t xml:space="preserve">最低残高をゼロに戻すだけでは足りないため、月商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か月分を上乗せして必要調達額を算定。</t>
    </r>
  </si>
  <si>
    <r>
      <rPr>
        <sz val="9"/>
        <color rgb="FF333333"/>
        <rFont val="WenQuanYi Zen Hei"/>
        <family val="2"/>
      </rPr>
      <t xml:space="preserve">※ケース</t>
    </r>
    <r>
      <rPr>
        <sz val="9"/>
        <color rgb="FF333333"/>
        <rFont val="メイリオ"/>
        <family val="0"/>
        <charset val="1"/>
      </rPr>
      <t xml:space="preserve">A</t>
    </r>
    <r>
      <rPr>
        <sz val="9"/>
        <color rgb="FF333333"/>
        <rFont val="WenQuanYi Zen Hei"/>
        <family val="2"/>
      </rPr>
      <t xml:space="preserve">と</t>
    </r>
    <r>
      <rPr>
        <sz val="9"/>
        <color rgb="FF333333"/>
        <rFont val="メイリオ"/>
        <family val="0"/>
        <charset val="1"/>
      </rPr>
      <t xml:space="preserve">B</t>
    </r>
    <r>
      <rPr>
        <sz val="9"/>
        <color rgb="FF333333"/>
        <rFont val="WenQuanYi Zen Hei"/>
        <family val="2"/>
      </rPr>
      <t xml:space="preserve">の差が、ワイン仕入方針（在庫を積むか積まないか）による資金インパクトです。</t>
    </r>
  </si>
  <si>
    <r>
      <rPr>
        <sz val="9"/>
        <color rgb="FF333333"/>
        <rFont val="WenQuanYi Zen Hei"/>
        <family val="2"/>
      </rPr>
      <t xml:space="preserve">※ケース</t>
    </r>
    <r>
      <rPr>
        <sz val="9"/>
        <color rgb="FF333333"/>
        <rFont val="メイリオ"/>
        <family val="0"/>
        <charset val="1"/>
      </rPr>
      <t xml:space="preserve">C</t>
    </r>
    <r>
      <rPr>
        <sz val="9"/>
        <color rgb="FF333333"/>
        <rFont val="WenQuanYi Zen Hei"/>
        <family val="2"/>
      </rPr>
      <t xml:space="preserve">と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が同時に起きた場合、必要調達額は両者の合計に近い水準となります。</t>
    </r>
  </si>
  <si>
    <r>
      <rPr>
        <b val="true"/>
        <sz val="11"/>
        <color rgb="FFFFFFFF"/>
        <rFont val="WenQuanYi Zen Hei"/>
        <family val="2"/>
      </rPr>
      <t xml:space="preserve">【必要売上高の算定】ワイン仕入を</t>
    </r>
    <r>
      <rPr>
        <b val="true"/>
        <sz val="11"/>
        <color rgb="FFFFFFFF"/>
        <rFont val="メイリオ"/>
        <family val="0"/>
        <charset val="1"/>
      </rPr>
      <t xml:space="preserve">FY2026</t>
    </r>
    <r>
      <rPr>
        <b val="true"/>
        <sz val="11"/>
        <color rgb="FFFFFFFF"/>
        <rFont val="WenQuanYi Zen Hei"/>
        <family val="2"/>
      </rPr>
      <t xml:space="preserve">と同水準（</t>
    </r>
    <r>
      <rPr>
        <b val="true"/>
        <sz val="11"/>
        <color rgb="FFFFFFFF"/>
        <rFont val="メイリオ"/>
        <family val="0"/>
        <charset val="1"/>
      </rPr>
      <t xml:space="preserve">419.1</t>
    </r>
    <r>
      <rPr>
        <b val="true"/>
        <sz val="11"/>
        <color rgb="FFFFFFFF"/>
        <rFont val="WenQuanYi Zen Hei"/>
        <family val="2"/>
      </rPr>
      <t xml:space="preserve">百万円）に維持した場合</t>
    </r>
  </si>
  <si>
    <t xml:space="preserve">目標 期中最低残高</t>
  </si>
  <si>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＝期中に一度も現預金がマイナスにならない水準。バッファを確保したい場合は金額を入力。</t>
    </r>
  </si>
  <si>
    <t xml:space="preserve">月次ネット収支（追加売上を除く）</t>
  </si>
  <si>
    <t xml:space="preserve">既存事業売上＋経営指導料の入金から、ワイン仕入・人件費・その他販管費・支払利息・長期借入返済を差し引いた月次ネット。</t>
  </si>
  <si>
    <t xml:space="preserve">経過月</t>
  </si>
  <si>
    <t xml:space="preserve">基礎 累計現預金（追加売上なし）</t>
  </si>
  <si>
    <t xml:space="preserve">その月をゼロにするのに必要な追加売上</t>
  </si>
  <si>
    <t xml:space="preserve">必要な追加売上（年額）</t>
  </si>
  <si>
    <t xml:space="preserve">必要な売上高（既存＋追加）</t>
  </si>
  <si>
    <t xml:space="preserve">ボトルネックとなる月</t>
  </si>
  <si>
    <t xml:space="preserve">この月の資金需要が最も大きく、必要売上高を決めています。</t>
  </si>
  <si>
    <r>
      <rPr>
        <sz val="9"/>
        <color rgb="FF333333"/>
        <rFont val="WenQuanYi Zen Hei"/>
        <family val="2"/>
      </rPr>
      <t xml:space="preserve">※追加売上は</t>
    </r>
    <r>
      <rPr>
        <sz val="9"/>
        <color rgb="FF333333"/>
        <rFont val="メイリオ"/>
        <family val="0"/>
        <charset val="1"/>
      </rPr>
      <t xml:space="preserve">12</t>
    </r>
    <r>
      <rPr>
        <sz val="9"/>
        <color rgb="FF333333"/>
        <rFont val="WenQuanYi Zen Hei"/>
        <family val="2"/>
      </rPr>
      <t xml:space="preserve">か月に均等按分し、当月入金する前提。売上が期の前半に寄れば必要額は下がります。</t>
    </r>
  </si>
  <si>
    <r>
      <rPr>
        <sz val="9"/>
        <color rgb="FF333333"/>
        <rFont val="WenQuanYi Zen Hei"/>
        <family val="2"/>
      </rPr>
      <t xml:space="preserve">※本算定はワイン仕入方針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（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と同額の固定仕入）を前提としています。方針</t>
    </r>
    <r>
      <rPr>
        <sz val="9"/>
        <color rgb="FF333333"/>
        <rFont val="メイリオ"/>
        <family val="0"/>
        <charset val="1"/>
      </rPr>
      <t xml:space="preserve">1</t>
    </r>
    <r>
      <rPr>
        <sz val="9"/>
        <color rgb="FF333333"/>
        <rFont val="WenQuanYi Zen Hei"/>
        <family val="2"/>
      </rPr>
      <t xml:space="preserve">では仕入が売上原価に連動するため別途算定が必要です。</t>
    </r>
  </si>
  <si>
    <r>
      <rPr>
        <sz val="9"/>
        <color rgb="FF333333"/>
        <rFont val="WenQuanYi Zen Hei"/>
        <family val="2"/>
      </rPr>
      <t xml:space="preserve">※追加売上に係る消費税は翌期（</t>
    </r>
    <r>
      <rPr>
        <sz val="9"/>
        <color rgb="FF333333"/>
        <rFont val="メイリオ"/>
        <family val="0"/>
        <charset val="1"/>
      </rPr>
      <t xml:space="preserve">2027/11</t>
    </r>
    <r>
      <rPr>
        <sz val="9"/>
        <color rgb="FF333333"/>
        <rFont val="WenQuanYi Zen Hei"/>
        <family val="2"/>
      </rPr>
      <t xml:space="preserve">）の納付となるため、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の資金繰りには現れません。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</si>
</sst>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¥#,##0;&quot;(¥&quot;#,##0\);\-"/>
    <numFmt numFmtId="166" formatCode="0.0%"/>
    <numFmt numFmtId="167" formatCode="0"/>
    <numFmt numFmtId="168" formatCode="#,##0"/>
    <numFmt numFmtId="169" formatCode="#,##0.0"/>
    <numFmt numFmtId="170" formatCode="0.0"/>
  </numFmts>
  <fonts count="34">
    <font>
      <sz val="11"/>
      <color theme="1"/>
      <name val="メイリオ"/>
      <family val="2"/>
      <charset val="1"/>
    </font>
    <font>
      <sz val="10"/>
      <name val="メイリオ"/>
      <family val="0"/>
    </font>
    <font>
      <sz val="10"/>
      <name val="メイリオ"/>
      <family val="0"/>
    </font>
    <font>
      <sz val="10"/>
      <name val="メイリオ"/>
      <family val="0"/>
    </font>
    <font>
      <b val="true"/>
      <sz val="15"/>
      <name val="メイリオ"/>
      <family val="0"/>
      <charset val="1"/>
    </font>
    <font>
      <b val="true"/>
      <sz val="15"/>
      <name val="メイリオ"/>
      <family val="2"/>
    </font>
    <font>
      <sz val="9"/>
      <color rgb="FF8C8C8C"/>
      <name val="メイリオ"/>
      <family val="2"/>
    </font>
    <font>
      <b val="true"/>
      <sz val="11"/>
      <color rgb="FFFFFFFF"/>
      <name val="メイリオ"/>
      <family val="2"/>
    </font>
    <font>
      <b val="true"/>
      <sz val="11"/>
      <color rgb="FFFFFFFF"/>
      <name val="メイリオ"/>
      <family val="0"/>
      <charset val="1"/>
    </font>
    <font>
      <b val="true"/>
      <sz val="11"/>
      <name val="メイリオ"/>
      <family val="0"/>
      <charset val="1"/>
    </font>
    <font>
      <b val="true"/>
      <sz val="11"/>
      <name val="メイリオ"/>
      <family val="2"/>
    </font>
    <font>
      <b val="true"/>
      <sz val="11"/>
      <color rgb="FF8A6A24"/>
      <name val="メイリオ"/>
      <family val="0"/>
      <charset val="1"/>
    </font>
    <font>
      <sz val="9"/>
      <color rgb="FF333333"/>
      <name val="メイリオ"/>
      <family val="2"/>
    </font>
    <font>
      <sz val="9"/>
      <color rgb="FF333333"/>
      <name val="メイリオ"/>
      <family val="0"/>
      <charset val="1"/>
    </font>
    <font>
      <sz val="11"/>
      <name val="メイリオ"/>
      <family val="2"/>
    </font>
    <font>
      <sz val="9"/>
      <color rgb="FF8C8C8C"/>
      <name val="メイリオ"/>
      <family val="0"/>
      <charset val="1"/>
    </font>
    <font>
      <sz val="11"/>
      <name val="メイリオ"/>
      <family val="0"/>
      <charset val="1"/>
    </font>
    <font>
      <sz val="10"/>
      <color rgb="FF8C8C8C"/>
      <name val="メイリオ"/>
      <family val="2"/>
    </font>
    <font>
      <sz val="10"/>
      <color rgb="FF8C8C8C"/>
      <name val="メイリオ"/>
      <family val="0"/>
      <charset val="1"/>
    </font>
    <font>
      <b val="true"/>
      <sz val="12"/>
      <name val="メイリオ"/>
      <family val="2"/>
    </font>
    <font>
      <sz val="10"/>
      <name val="メイリオ"/>
      <family val="0"/>
      <charset val="1"/>
    </font>
    <font>
      <sz val="10"/>
      <name val="メイリオ"/>
      <family val="2"/>
    </font>
    <font>
      <b val="true"/>
      <sz val="13"/>
      <name val="メイリオ"/>
      <family val="0"/>
      <charset val="1"/>
    </font>
    <font>
      <b val="true"/>
      <sz val="13"/>
      <name val="メイリオ"/>
      <family val="2"/>
    </font>
    <font>
      <i val="true"/>
      <sz val="11"/>
      <color rgb="FF8C8C8C"/>
      <name val="メイリオ"/>
      <family val="0"/>
      <charset val="1"/>
    </font>
    <font>
      <b val="true"/>
      <sz val="14"/>
      <name val="メイリオ"/>
      <family val="0"/>
      <charset val="1"/>
    </font>
    <font>
      <b val="true"/>
      <sz val="14"/>
      <name val="メイリオ"/>
      <family val="2"/>
    </font>
    <font>
      <sz val="11"/>
      <color rgb="FF595959"/>
      <name val="メイリオ"/>
      <family val="0"/>
      <charset val="1"/>
    </font>
    <font>
      <b val="true"/>
      <sz val="11"/>
      <color rgb="FF8A6A24"/>
      <name val="メイリオ"/>
      <family val="2"/>
    </font>
    <font>
      <sz val="11"/>
      <color rgb="FF595959"/>
      <name val="メイリオ"/>
      <family val="2"/>
    </font>
    <font>
      <b val="true"/>
      <sz val="18"/>
      <color rgb="FF000000"/>
      <name val="メイリオ"/>
      <family val="2"/>
    </font>
    <font>
      <b val="true"/>
      <sz val="18"/>
      <color rgb="FF000000"/>
      <name val="メイリオ"/>
      <family val="2"/>
    </font>
    <font>
      <sz val="10"/>
      <color rgb="FF000000"/>
      <name val="メイリオ"/>
      <family val="2"/>
    </font>
    <font>
      <b val="true"/>
      <sz val="10"/>
      <color rgb="FF000000"/>
      <name val="メイリオ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F7F6F3"/>
        <bgColor rgb="FFFBFAF7"/>
      </patternFill>
    </fill>
    <fill>
      <patternFill patternType="solid">
        <fgColor rgb="FFFAF3E2"/>
        <bgColor rgb="FFF4EDDC"/>
      </patternFill>
    </fill>
    <fill>
      <patternFill patternType="solid">
        <fgColor rgb="FFF4EDDC"/>
        <bgColor rgb="FFEFEEEA"/>
      </patternFill>
    </fill>
    <fill>
      <patternFill patternType="solid">
        <fgColor rgb="FFF2F1EE"/>
        <bgColor rgb="FFEFEEEA"/>
      </patternFill>
    </fill>
    <fill>
      <patternFill patternType="solid">
        <fgColor rgb="FFEFEEEA"/>
        <bgColor rgb="FFF2F1EE"/>
      </patternFill>
    </fill>
    <fill>
      <patternFill patternType="solid">
        <fgColor rgb="FFFBFAF7"/>
        <bgColor rgb="FFF7F6F3"/>
      </patternFill>
    </fill>
    <fill>
      <patternFill patternType="solid">
        <fgColor rgb="FFE0DE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A1A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4"/>
      <rgbColor rgb="FF800080"/>
      <rgbColor rgb="FF008080"/>
      <rgbColor rgb="FFE0DEDA"/>
      <rgbColor rgb="FF878787"/>
      <rgbColor rgb="FF9999FF"/>
      <rgbColor rgb="FF993366"/>
      <rgbColor rgb="FFFAF3E2"/>
      <rgbColor rgb="FFF2F1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EEA"/>
      <rgbColor rgb="FFF4EDDC"/>
      <rgbColor rgb="FFF7F6F3"/>
      <rgbColor rgb="FF99CCFF"/>
      <rgbColor rgb="FFFF99CC"/>
      <rgbColor rgb="FFCC99FF"/>
      <rgbColor rgb="FFFBFAF7"/>
      <rgbColor rgb="FF3366FF"/>
      <rgbColor rgb="FF33CCCC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月末 現預金残高の推移（ケースA：在庫横ばい・調達なし）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a1a1a"/>
            </a:solidFill>
            <a:ln w="2808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⑦FY2027資金繰り表!$D$12:$O$12</c:f>
              <c:strCache>
                <c:ptCount val="12"/>
                <c:pt idx="0">
                  <c:v>2026/10</c:v>
                </c:pt>
                <c:pt idx="1">
                  <c:v>2026/11</c:v>
                </c:pt>
                <c:pt idx="2">
                  <c:v>2026/12</c:v>
                </c:pt>
                <c:pt idx="3">
                  <c:v>2027/01</c:v>
                </c:pt>
                <c:pt idx="4">
                  <c:v>2027/02</c:v>
                </c:pt>
                <c:pt idx="5">
                  <c:v>2027/03</c:v>
                </c:pt>
                <c:pt idx="6">
                  <c:v>2027/04</c:v>
                </c:pt>
                <c:pt idx="7">
                  <c:v>2027/05</c:v>
                </c:pt>
                <c:pt idx="8">
                  <c:v>2027/06</c:v>
                </c:pt>
                <c:pt idx="9">
                  <c:v>2027/07</c:v>
                </c:pt>
                <c:pt idx="10">
                  <c:v>2027/08</c:v>
                </c:pt>
                <c:pt idx="11">
                  <c:v>2027/09</c:v>
                </c:pt>
              </c:strCache>
            </c:strRef>
          </c:cat>
          <c:val>
            <c:numRef>
              <c:f>⑦FY2027資金繰り表!$D$40:$O$40</c:f>
              <c:numCache>
                <c:formatCode>\¥#,##0;"(¥"#,##0\);\-</c:formatCode>
                <c:ptCount val="12"/>
                <c:pt idx="0">
                  <c:v>40265948.15</c:v>
                </c:pt>
                <c:pt idx="1">
                  <c:v>46514282.2</c:v>
                </c:pt>
                <c:pt idx="2">
                  <c:v>56780230.35</c:v>
                </c:pt>
                <c:pt idx="3">
                  <c:v>67046178.5</c:v>
                </c:pt>
                <c:pt idx="4">
                  <c:v>75298499.375</c:v>
                </c:pt>
                <c:pt idx="5">
                  <c:v>118564447.525</c:v>
                </c:pt>
                <c:pt idx="6">
                  <c:v>128830395.675</c:v>
                </c:pt>
                <c:pt idx="7">
                  <c:v>137082716.55</c:v>
                </c:pt>
                <c:pt idx="8">
                  <c:v>147348664.7</c:v>
                </c:pt>
                <c:pt idx="9">
                  <c:v>157614612.85</c:v>
                </c:pt>
                <c:pt idx="10">
                  <c:v>165866933.725</c:v>
                </c:pt>
                <c:pt idx="11">
                  <c:v>187132881.875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131216"/>
        <c:axId val="12810641"/>
      </c:lineChart>
      <c:catAx>
        <c:axId val="3613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10641"/>
        <c:crosses val="autoZero"/>
        <c:auto val="1"/>
        <c:lblAlgn val="ctr"/>
        <c:lblOffset val="100"/>
        <c:noMultiLvlLbl val="0"/>
      </c:catAx>
      <c:valAx>
        <c:axId val="12810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¥#,##0;&quot;(¥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31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60</xdr:row>
      <xdr:rowOff>134640</xdr:rowOff>
    </xdr:from>
    <xdr:to>
      <xdr:col>6</xdr:col>
      <xdr:colOff>1038600</xdr:colOff>
      <xdr:row>75</xdr:row>
      <xdr:rowOff>12600</xdr:rowOff>
    </xdr:to>
    <xdr:graphicFrame>
      <xdr:nvGraphicFramePr>
        <xdr:cNvPr id="0" name="Chart 1"/>
        <xdr:cNvGraphicFramePr/>
      </xdr:nvGraphicFramePr>
      <xdr:xfrm>
        <a:off x="266760" y="11620440"/>
        <a:ext cx="86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20"/>
    <col collapsed="false" customWidth="true" hidden="false" outlineLevel="0" max="5" min="5" style="0" width="62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  <c r="F4" s="4"/>
    </row>
    <row r="5" customFormat="false" ht="15" hidden="false" customHeight="false" outlineLevel="0" collapsed="false">
      <c r="B5" s="3" t="s">
        <v>3</v>
      </c>
      <c r="C5" s="3" t="s">
        <v>4</v>
      </c>
      <c r="D5" s="3" t="s">
        <v>5</v>
      </c>
      <c r="E5" s="3" t="s">
        <v>6</v>
      </c>
    </row>
    <row r="6" customFormat="false" ht="33.75" hidden="false" customHeight="true" outlineLevel="0" collapsed="false">
      <c r="B6" s="5" t="s">
        <v>7</v>
      </c>
      <c r="C6" s="6" t="n">
        <v>-124793431</v>
      </c>
      <c r="D6" s="6" t="n">
        <f aca="false">C6</f>
        <v>-124793431</v>
      </c>
      <c r="E6" s="7" t="s">
        <v>8</v>
      </c>
    </row>
    <row r="7" customFormat="false" ht="33.75" hidden="false" customHeight="true" outlineLevel="0" collapsed="false">
      <c r="B7" s="5" t="s">
        <v>9</v>
      </c>
      <c r="C7" s="8" t="n">
        <v>200000000</v>
      </c>
      <c r="D7" s="6" t="n">
        <f aca="false">D6+C7</f>
        <v>75206569</v>
      </c>
      <c r="E7" s="9" t="s">
        <v>10</v>
      </c>
    </row>
    <row r="8" customFormat="false" ht="33.75" hidden="false" customHeight="true" outlineLevel="0" collapsed="false">
      <c r="B8" s="10" t="s">
        <v>11</v>
      </c>
      <c r="C8" s="8" t="n">
        <v>30000000</v>
      </c>
      <c r="D8" s="6" t="n">
        <f aca="false">D7+C8</f>
        <v>105206569</v>
      </c>
      <c r="E8" s="7" t="s">
        <v>12</v>
      </c>
    </row>
    <row r="9" customFormat="false" ht="33.75" hidden="false" customHeight="true" outlineLevel="0" collapsed="false">
      <c r="B9" s="10" t="s">
        <v>13</v>
      </c>
      <c r="C9" s="8" t="n">
        <v>0</v>
      </c>
      <c r="D9" s="6" t="n">
        <f aca="false">D8+C9</f>
        <v>105206569</v>
      </c>
      <c r="E9" s="9" t="s">
        <v>14</v>
      </c>
    </row>
    <row r="10" customFormat="false" ht="15" hidden="false" customHeight="false" outlineLevel="0" collapsed="false">
      <c r="B10" s="11" t="s">
        <v>15</v>
      </c>
      <c r="C10" s="12"/>
      <c r="D10" s="13" t="n">
        <f aca="false">D9</f>
        <v>105206569</v>
      </c>
      <c r="E10" s="9" t="s">
        <v>16</v>
      </c>
    </row>
    <row r="12" customFormat="false" ht="15" hidden="false" customHeight="false" outlineLevel="0" collapsed="false">
      <c r="B12" s="3" t="s">
        <v>17</v>
      </c>
      <c r="C12" s="4"/>
      <c r="D12" s="4"/>
      <c r="E12" s="4"/>
      <c r="F12" s="4"/>
    </row>
    <row r="13" customFormat="false" ht="31.5" hidden="false" customHeight="true" outlineLevel="0" collapsed="false">
      <c r="B13" s="14" t="s">
        <v>18</v>
      </c>
      <c r="C13" s="15" t="s">
        <v>19</v>
      </c>
      <c r="D13" s="15"/>
      <c r="E13" s="15"/>
    </row>
    <row r="14" customFormat="false" ht="31.5" hidden="false" customHeight="true" outlineLevel="0" collapsed="false">
      <c r="B14" s="14" t="s">
        <v>20</v>
      </c>
      <c r="C14" s="15" t="s">
        <v>21</v>
      </c>
      <c r="D14" s="15"/>
      <c r="E14" s="15"/>
    </row>
    <row r="15" customFormat="false" ht="31.5" hidden="false" customHeight="true" outlineLevel="0" collapsed="false">
      <c r="B15" s="14" t="s">
        <v>22</v>
      </c>
      <c r="C15" s="15" t="s">
        <v>23</v>
      </c>
      <c r="D15" s="15"/>
      <c r="E15" s="15"/>
    </row>
    <row r="16" customFormat="false" ht="31.5" hidden="false" customHeight="true" outlineLevel="0" collapsed="false">
      <c r="B16" s="14" t="s">
        <v>24</v>
      </c>
      <c r="C16" s="15" t="s">
        <v>25</v>
      </c>
      <c r="D16" s="15"/>
      <c r="E16" s="15"/>
    </row>
    <row r="17" customFormat="false" ht="31.5" hidden="false" customHeight="true" outlineLevel="0" collapsed="false">
      <c r="B17" s="14" t="s">
        <v>26</v>
      </c>
      <c r="C17" s="15" t="s">
        <v>27</v>
      </c>
      <c r="D17" s="15"/>
      <c r="E17" s="15"/>
    </row>
    <row r="19" customFormat="false" ht="15" hidden="false" customHeight="false" outlineLevel="0" collapsed="false">
      <c r="B19" s="16" t="s">
        <v>28</v>
      </c>
    </row>
    <row r="20" customFormat="false" ht="15" hidden="false" customHeight="false" outlineLevel="0" collapsed="false">
      <c r="B20" s="16" t="s">
        <v>29</v>
      </c>
    </row>
  </sheetData>
  <mergeCells count="5">
    <mergeCell ref="C13:E13"/>
    <mergeCell ref="C14:E14"/>
    <mergeCell ref="C15:E15"/>
    <mergeCell ref="C16:E16"/>
    <mergeCell ref="C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9"/>
    <col collapsed="false" customWidth="true" hidden="false" outlineLevel="0" max="7" min="7" style="0" width="46"/>
  </cols>
  <sheetData>
    <row r="1" customFormat="false" ht="20.1" hidden="false" customHeight="false" outlineLevel="0" collapsed="false">
      <c r="B1" s="1" t="s">
        <v>30</v>
      </c>
    </row>
    <row r="2" customFormat="false" ht="15" hidden="false" customHeight="false" outlineLevel="0" collapsed="false">
      <c r="B2" s="17" t="s">
        <v>31</v>
      </c>
    </row>
    <row r="3" customFormat="false" ht="15" hidden="false" customHeight="false" outlineLevel="0" collapsed="false">
      <c r="B3" s="2" t="s">
        <v>32</v>
      </c>
    </row>
    <row r="5" customFormat="false" ht="43.5" hidden="false" customHeight="true" outlineLevel="0" collapsed="false">
      <c r="B5" s="18" t="s">
        <v>33</v>
      </c>
      <c r="C5" s="19" t="s">
        <v>34</v>
      </c>
      <c r="D5" s="18" t="s">
        <v>35</v>
      </c>
      <c r="E5" s="18" t="s">
        <v>36</v>
      </c>
      <c r="F5" s="18" t="s">
        <v>37</v>
      </c>
      <c r="G5" s="18" t="s">
        <v>38</v>
      </c>
    </row>
    <row r="6" customFormat="false" ht="15" hidden="false" customHeight="false" outlineLevel="0" collapsed="false">
      <c r="B6" s="10" t="s">
        <v>39</v>
      </c>
      <c r="C6" s="20" t="n">
        <v>708205820</v>
      </c>
      <c r="D6" s="21" t="n">
        <f aca="false">②前提!$C$6*12</f>
        <v>389140768</v>
      </c>
      <c r="E6" s="21" t="n">
        <f aca="false">②前提!$C$55</f>
        <v>730535360</v>
      </c>
      <c r="F6" s="21" t="n">
        <f aca="false">②前提!$C$62</f>
        <v>1030535360</v>
      </c>
      <c r="G6" s="22" t="s">
        <v>40</v>
      </c>
    </row>
    <row r="7" customFormat="false" ht="15" hidden="false" customHeight="false" outlineLevel="0" collapsed="false">
      <c r="B7" s="10" t="s">
        <v>41</v>
      </c>
      <c r="C7" s="20" t="n">
        <v>229139405</v>
      </c>
      <c r="D7" s="21" t="n">
        <f aca="false">②前提!$C$7*12</f>
        <v>200601928</v>
      </c>
      <c r="E7" s="21" t="n">
        <f aca="false">D7+②前提!$C$57</f>
        <v>303020305.6</v>
      </c>
      <c r="F7" s="21" t="n">
        <f aca="false">D7+②前提!$C$64</f>
        <v>393020305.6</v>
      </c>
      <c r="G7" s="2" t="s">
        <v>42</v>
      </c>
    </row>
    <row r="8" customFormat="false" ht="15" hidden="false" customHeight="false" outlineLevel="0" collapsed="false">
      <c r="B8" s="10" t="s">
        <v>43</v>
      </c>
      <c r="C8" s="20" t="n">
        <v>0</v>
      </c>
      <c r="D8" s="21" t="n">
        <v>0</v>
      </c>
      <c r="E8" s="21" t="n">
        <f aca="false">②前提!$C$20</f>
        <v>132500000</v>
      </c>
      <c r="F8" s="21" t="n">
        <f aca="false">②前提!$C$20</f>
        <v>132500000</v>
      </c>
      <c r="G8" s="2" t="s">
        <v>44</v>
      </c>
    </row>
    <row r="9" customFormat="false" ht="15" hidden="false" customHeight="false" outlineLevel="0" collapsed="false">
      <c r="B9" s="23" t="s">
        <v>45</v>
      </c>
      <c r="C9" s="24" t="n">
        <v>708205820</v>
      </c>
      <c r="D9" s="24" t="n">
        <f aca="false">D6</f>
        <v>389140768</v>
      </c>
      <c r="E9" s="24" t="n">
        <f aca="false">②前提!$C$59</f>
        <v>863035360</v>
      </c>
      <c r="F9" s="24" t="n">
        <f aca="false">②前提!$C$66</f>
        <v>1163035360</v>
      </c>
      <c r="G9" s="25" t="s">
        <v>46</v>
      </c>
    </row>
    <row r="10" customFormat="false" ht="15" hidden="false" customHeight="false" outlineLevel="0" collapsed="false">
      <c r="B10" s="23" t="s">
        <v>47</v>
      </c>
      <c r="C10" s="24" t="n">
        <v>229139405</v>
      </c>
      <c r="D10" s="24" t="n">
        <f aca="false">D7</f>
        <v>200601928</v>
      </c>
      <c r="E10" s="24" t="n">
        <f aca="false">②前提!$C$58</f>
        <v>435520305.6</v>
      </c>
      <c r="F10" s="24" t="n">
        <f aca="false">②前提!$C$65</f>
        <v>525520305.6</v>
      </c>
      <c r="G10" s="25"/>
    </row>
    <row r="11" customFormat="false" ht="15" hidden="false" customHeight="false" outlineLevel="0" collapsed="false">
      <c r="B11" s="10" t="s">
        <v>48</v>
      </c>
      <c r="C11" s="20" t="n">
        <v>343932836</v>
      </c>
      <c r="D11" s="21" t="n">
        <f aca="false">②前提!$C$8*12</f>
        <v>300161064</v>
      </c>
      <c r="E11" s="21" t="n">
        <f aca="false">D11</f>
        <v>300161064</v>
      </c>
      <c r="F11" s="21" t="n">
        <f aca="false">D11</f>
        <v>300161064</v>
      </c>
      <c r="G11" s="22" t="s">
        <v>49</v>
      </c>
    </row>
    <row r="12" customFormat="false" ht="15" hidden="false" customHeight="false" outlineLevel="0" collapsed="false">
      <c r="B12" s="23" t="s">
        <v>50</v>
      </c>
      <c r="C12" s="24" t="n">
        <v>-114793431</v>
      </c>
      <c r="D12" s="24" t="n">
        <f aca="false">D10-D11</f>
        <v>-99559136</v>
      </c>
      <c r="E12" s="24" t="n">
        <f aca="false">E10-E11</f>
        <v>135359241.6</v>
      </c>
      <c r="F12" s="24" t="n">
        <f aca="false">F10-F11</f>
        <v>225359241.6</v>
      </c>
      <c r="G12" s="25"/>
    </row>
    <row r="13" customFormat="false" ht="15" hidden="false" customHeight="false" outlineLevel="0" collapsed="false">
      <c r="B13" s="10" t="s">
        <v>51</v>
      </c>
      <c r="C13" s="20" t="n">
        <v>0</v>
      </c>
      <c r="D13" s="21" t="n">
        <v>0</v>
      </c>
      <c r="E13" s="21" t="n">
        <v>0</v>
      </c>
      <c r="F13" s="21" t="n">
        <v>0</v>
      </c>
      <c r="G13" s="2" t="s">
        <v>52</v>
      </c>
    </row>
    <row r="14" customFormat="false" ht="15" hidden="false" customHeight="false" outlineLevel="0" collapsed="false">
      <c r="B14" s="10" t="s">
        <v>53</v>
      </c>
      <c r="C14" s="20" t="n">
        <v>10000000</v>
      </c>
      <c r="D14" s="21" t="n">
        <f aca="false">②前提!$C$24</f>
        <v>15000000</v>
      </c>
      <c r="E14" s="21" t="n">
        <f aca="false">②前提!$C$24</f>
        <v>15000000</v>
      </c>
      <c r="F14" s="21" t="n">
        <f aca="false">②前提!$C$24</f>
        <v>15000000</v>
      </c>
      <c r="G14" s="2"/>
    </row>
    <row r="15" customFormat="false" ht="15" hidden="false" customHeight="false" outlineLevel="0" collapsed="false">
      <c r="B15" s="26" t="s">
        <v>54</v>
      </c>
      <c r="C15" s="13" t="n">
        <v>-124793431</v>
      </c>
      <c r="D15" s="13" t="n">
        <f aca="false">D12+D13-D14</f>
        <v>-114559136</v>
      </c>
      <c r="E15" s="13" t="n">
        <f aca="false">E12+E13-E14</f>
        <v>120359241.6</v>
      </c>
      <c r="F15" s="13" t="n">
        <f aca="false">F12+F13-F14</f>
        <v>210359241.6</v>
      </c>
      <c r="G15" s="27"/>
    </row>
    <row r="16" customFormat="false" ht="15" hidden="false" customHeight="false" outlineLevel="0" collapsed="false">
      <c r="B16" s="10" t="s">
        <v>55</v>
      </c>
      <c r="C16" s="20" t="n">
        <v>0</v>
      </c>
      <c r="D16" s="21" t="n">
        <v>0</v>
      </c>
      <c r="E16" s="21" t="n">
        <v>0</v>
      </c>
      <c r="F16" s="21" t="n">
        <v>0</v>
      </c>
      <c r="G16" s="2" t="s">
        <v>56</v>
      </c>
    </row>
    <row r="17" customFormat="false" ht="15" hidden="false" customHeight="false" outlineLevel="0" collapsed="false">
      <c r="B17" s="23" t="s">
        <v>57</v>
      </c>
      <c r="C17" s="24" t="n">
        <v>-124793431</v>
      </c>
      <c r="D17" s="24" t="n">
        <f aca="false">D15-D16</f>
        <v>-114559136</v>
      </c>
      <c r="E17" s="24" t="n">
        <f aca="false">E15-E16</f>
        <v>120359241.6</v>
      </c>
      <c r="F17" s="24" t="n">
        <f aca="false">F15-F16</f>
        <v>210359241.6</v>
      </c>
      <c r="G17" s="25"/>
    </row>
    <row r="21" customFormat="false" ht="15" hidden="false" customHeight="false" outlineLevel="0" collapsed="false">
      <c r="B21" s="28" t="s">
        <v>58</v>
      </c>
    </row>
    <row r="22" customFormat="false" ht="30" hidden="false" customHeight="true" outlineLevel="0" collapsed="false">
      <c r="C22" s="29" t="s">
        <v>59</v>
      </c>
      <c r="D22" s="30" t="s">
        <v>60</v>
      </c>
    </row>
    <row r="23" customFormat="false" ht="15" hidden="false" customHeight="false" outlineLevel="0" collapsed="false">
      <c r="B23" s="10" t="s">
        <v>61</v>
      </c>
      <c r="C23" s="31" t="n">
        <f aca="false">②前提!$C$56</f>
        <v>341394592</v>
      </c>
      <c r="D23" s="32" t="n">
        <f aca="false">C23/②前提!$C$29</f>
        <v>0.320257590994371</v>
      </c>
    </row>
    <row r="24" customFormat="false" ht="15" hidden="false" customHeight="false" outlineLevel="0" collapsed="false">
      <c r="B24" s="10" t="s">
        <v>62</v>
      </c>
      <c r="C24" s="31" t="n">
        <f aca="false">②前提!$C$63</f>
        <v>641394592</v>
      </c>
      <c r="D24" s="32" t="n">
        <f aca="false">C24/②前提!$C$29</f>
        <v>0.60168348217636</v>
      </c>
    </row>
    <row r="26" customFormat="false" ht="15" hidden="false" customHeight="false" outlineLevel="0" collapsed="false">
      <c r="B26" s="33"/>
      <c r="C26" s="33"/>
      <c r="D26" s="33"/>
      <c r="E26" s="33"/>
      <c r="F26" s="33"/>
      <c r="G26" s="33"/>
    </row>
    <row r="27" customFormat="false" ht="15" hidden="false" customHeight="false" outlineLevel="0" collapsed="false">
      <c r="B27" s="34" t="s">
        <v>63</v>
      </c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5" t="s">
        <v>64</v>
      </c>
      <c r="C28" s="35"/>
      <c r="D28" s="35"/>
      <c r="E28" s="35"/>
      <c r="F28" s="35"/>
      <c r="G28" s="35"/>
    </row>
    <row r="29" customFormat="false" ht="15" hidden="false" customHeight="false" outlineLevel="0" collapsed="false">
      <c r="B29" s="35" t="s">
        <v>65</v>
      </c>
      <c r="C29" s="35"/>
      <c r="D29" s="35"/>
      <c r="E29" s="35"/>
      <c r="F29" s="35"/>
      <c r="G29" s="35"/>
    </row>
    <row r="30" customFormat="false" ht="15" hidden="false" customHeight="false" outlineLevel="0" collapsed="false">
      <c r="B30" s="35" t="s">
        <v>66</v>
      </c>
      <c r="C30" s="35"/>
      <c r="D30" s="35"/>
      <c r="E30" s="35"/>
      <c r="F30" s="35"/>
      <c r="G30" s="35"/>
    </row>
    <row r="31" customFormat="false" ht="15" hidden="false" customHeight="false" outlineLevel="0" collapsed="false">
      <c r="B31" s="35" t="s">
        <v>67</v>
      </c>
      <c r="C31" s="35"/>
      <c r="D31" s="35"/>
      <c r="E31" s="35"/>
      <c r="F31" s="35"/>
      <c r="G31" s="35"/>
    </row>
    <row r="32" customFormat="false" ht="15" hidden="false" customHeight="false" outlineLevel="0" collapsed="false">
      <c r="B32" s="35" t="s">
        <v>68</v>
      </c>
      <c r="C32" s="35"/>
      <c r="D32" s="35"/>
      <c r="E32" s="35"/>
      <c r="F32" s="35"/>
      <c r="G32" s="35"/>
    </row>
    <row r="33" customFormat="false" ht="15" hidden="false" customHeight="false" outlineLevel="0" collapsed="false">
      <c r="B33" s="33"/>
      <c r="C33" s="33"/>
      <c r="D33" s="33"/>
      <c r="E33" s="33"/>
      <c r="F33" s="33"/>
      <c r="G33" s="33"/>
    </row>
    <row r="34" customFormat="false" ht="15" hidden="false" customHeight="false" outlineLevel="0" collapsed="false">
      <c r="B34" s="33" t="s">
        <v>69</v>
      </c>
      <c r="C34" s="33"/>
      <c r="D34" s="33"/>
      <c r="E34" s="33"/>
      <c r="F34" s="33"/>
      <c r="G34" s="33"/>
    </row>
    <row r="35" customFormat="false" ht="15" hidden="false" customHeight="false" outlineLevel="0" collapsed="false">
      <c r="B35" s="33" t="s">
        <v>70</v>
      </c>
      <c r="C35" s="33"/>
      <c r="D35" s="33"/>
      <c r="E35" s="33"/>
      <c r="F35" s="33"/>
      <c r="G35" s="33"/>
    </row>
    <row r="36" customFormat="false" ht="15" hidden="false" customHeight="false" outlineLevel="0" collapsed="false">
      <c r="B36" s="35" t="s">
        <v>71</v>
      </c>
      <c r="C36" s="35"/>
      <c r="D36" s="35"/>
      <c r="E36" s="35"/>
      <c r="F36" s="35"/>
      <c r="G36" s="35"/>
    </row>
  </sheetData>
  <mergeCells count="11"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4" min="3" style="0" width="13"/>
    <col collapsed="false" customWidth="true" hidden="false" outlineLevel="0" max="17" min="15" style="0" width="15"/>
    <col collapsed="false" customWidth="true" hidden="false" outlineLevel="0" max="18" min="18" style="0" width="14"/>
  </cols>
  <sheetData>
    <row r="1" customFormat="false" ht="17.15" hidden="false" customHeight="false" outlineLevel="0" collapsed="false">
      <c r="B1" s="36" t="s">
        <v>72</v>
      </c>
    </row>
    <row r="2" customFormat="false" ht="15" hidden="false" customHeight="false" outlineLevel="0" collapsed="false">
      <c r="B2" s="2" t="s">
        <v>73</v>
      </c>
    </row>
    <row r="3" customFormat="false" ht="15" hidden="false" customHeight="false" outlineLevel="0" collapsed="false">
      <c r="B3" s="16" t="s">
        <v>74</v>
      </c>
    </row>
    <row r="5" customFormat="false" ht="30" hidden="false" customHeight="true" outlineLevel="0" collapsed="false">
      <c r="B5" s="29" t="s">
        <v>33</v>
      </c>
      <c r="C5" s="37" t="s">
        <v>75</v>
      </c>
      <c r="D5" s="37" t="s">
        <v>76</v>
      </c>
      <c r="E5" s="37" t="s">
        <v>77</v>
      </c>
      <c r="F5" s="37" t="s">
        <v>78</v>
      </c>
      <c r="G5" s="37" t="s">
        <v>79</v>
      </c>
      <c r="H5" s="37" t="s">
        <v>80</v>
      </c>
      <c r="I5" s="37" t="s">
        <v>81</v>
      </c>
      <c r="J5" s="37" t="s">
        <v>82</v>
      </c>
      <c r="K5" s="37" t="s">
        <v>83</v>
      </c>
      <c r="L5" s="37" t="s">
        <v>84</v>
      </c>
      <c r="M5" s="37" t="s">
        <v>85</v>
      </c>
      <c r="N5" s="37" t="s">
        <v>86</v>
      </c>
      <c r="O5" s="30" t="s">
        <v>87</v>
      </c>
      <c r="P5" s="38" t="s">
        <v>88</v>
      </c>
      <c r="Q5" s="38" t="s">
        <v>89</v>
      </c>
      <c r="R5" s="30" t="s">
        <v>90</v>
      </c>
    </row>
    <row r="6" customFormat="false" ht="15" hidden="false" customHeight="false" outlineLevel="0" collapsed="false">
      <c r="B6" s="10" t="s">
        <v>91</v>
      </c>
      <c r="C6" s="20" t="n">
        <v>32789307</v>
      </c>
      <c r="D6" s="20" t="n">
        <v>96919229</v>
      </c>
      <c r="E6" s="20" t="n">
        <v>43039844</v>
      </c>
      <c r="F6" s="20" t="n">
        <v>32477958</v>
      </c>
      <c r="G6" s="20" t="n">
        <v>41290432</v>
      </c>
      <c r="H6" s="20" t="n">
        <v>33033585</v>
      </c>
      <c r="I6" s="20" t="n">
        <v>31863679</v>
      </c>
      <c r="J6" s="20" t="n">
        <v>33917025</v>
      </c>
      <c r="K6" s="20" t="n">
        <v>31504488</v>
      </c>
      <c r="L6" s="39" t="n">
        <v>60489854</v>
      </c>
      <c r="M6" s="39" t="n">
        <v>37962048</v>
      </c>
      <c r="N6" s="39" t="n">
        <v>232918371</v>
      </c>
      <c r="O6" s="6" t="n">
        <f aca="false">SUM(C6:N6)</f>
        <v>708205820</v>
      </c>
      <c r="P6" s="6" t="n">
        <f aca="false">AVERAGE(C6:H6)</f>
        <v>46591725.8333333</v>
      </c>
      <c r="Q6" s="6" t="n">
        <f aca="false">AVERAGE(I6:K6)</f>
        <v>32428397.3333333</v>
      </c>
      <c r="R6" s="6" t="n">
        <f aca="false">Q6-P6</f>
        <v>-14163328.5</v>
      </c>
    </row>
    <row r="7" customFormat="false" ht="15" hidden="false" customHeight="false" outlineLevel="0" collapsed="false">
      <c r="B7" s="10" t="s">
        <v>92</v>
      </c>
      <c r="C7" s="20" t="n">
        <v>18502877</v>
      </c>
      <c r="D7" s="20" t="n">
        <v>69212121</v>
      </c>
      <c r="E7" s="20" t="n">
        <v>21085289</v>
      </c>
      <c r="F7" s="20" t="n">
        <v>16521949</v>
      </c>
      <c r="G7" s="20" t="n">
        <v>21070367</v>
      </c>
      <c r="H7" s="20" t="n">
        <v>18454664</v>
      </c>
      <c r="I7" s="20" t="n">
        <v>16184238</v>
      </c>
      <c r="J7" s="20" t="n">
        <v>15777832</v>
      </c>
      <c r="K7" s="20" t="n">
        <v>15172640</v>
      </c>
      <c r="L7" s="39" t="n">
        <v>38396406</v>
      </c>
      <c r="M7" s="39" t="n">
        <v>23721353</v>
      </c>
      <c r="N7" s="39" t="n">
        <v>204966678</v>
      </c>
      <c r="O7" s="6" t="n">
        <f aca="false">SUM(C7:N7)</f>
        <v>479066414</v>
      </c>
      <c r="P7" s="6" t="n">
        <f aca="false">AVERAGE(C7:H7)</f>
        <v>27474544.5</v>
      </c>
      <c r="Q7" s="6" t="n">
        <f aca="false">AVERAGE(I7:K7)</f>
        <v>15711570</v>
      </c>
      <c r="R7" s="6" t="n">
        <f aca="false">Q7-P7</f>
        <v>-11762974.5</v>
      </c>
    </row>
    <row r="8" customFormat="false" ht="15" hidden="false" customHeight="false" outlineLevel="0" collapsed="false">
      <c r="B8" s="40" t="s">
        <v>93</v>
      </c>
      <c r="C8" s="6" t="n">
        <v>14286430</v>
      </c>
      <c r="D8" s="6" t="n">
        <v>27707108</v>
      </c>
      <c r="E8" s="6" t="n">
        <v>21954555</v>
      </c>
      <c r="F8" s="6" t="n">
        <v>15956009</v>
      </c>
      <c r="G8" s="6" t="n">
        <v>20220065</v>
      </c>
      <c r="H8" s="6" t="n">
        <v>14578921</v>
      </c>
      <c r="I8" s="6" t="n">
        <v>15679441</v>
      </c>
      <c r="J8" s="6" t="n">
        <v>18139193</v>
      </c>
      <c r="K8" s="6" t="n">
        <v>16331848</v>
      </c>
      <c r="L8" s="6" t="n">
        <v>22093448</v>
      </c>
      <c r="M8" s="6" t="n">
        <v>14240695</v>
      </c>
      <c r="N8" s="6" t="n">
        <v>27951692</v>
      </c>
      <c r="O8" s="6" t="n">
        <f aca="false">SUM(C8:N8)</f>
        <v>229139405</v>
      </c>
      <c r="P8" s="6" t="n">
        <f aca="false">AVERAGE(C8:H8)</f>
        <v>19117181.3333333</v>
      </c>
      <c r="Q8" s="6" t="n">
        <f aca="false">AVERAGE(I8:K8)</f>
        <v>16716827.3333333</v>
      </c>
      <c r="R8" s="6" t="n">
        <f aca="false">Q8-P8</f>
        <v>-2400354</v>
      </c>
    </row>
    <row r="10" customFormat="false" ht="15" hidden="false" customHeight="false" outlineLevel="0" collapsed="false">
      <c r="B10" s="41" t="s">
        <v>94</v>
      </c>
    </row>
    <row r="11" customFormat="false" ht="15" hidden="false" customHeight="false" outlineLevel="0" collapsed="false">
      <c r="B11" s="10" t="s">
        <v>95</v>
      </c>
      <c r="C11" s="20" t="n">
        <v>1450000</v>
      </c>
      <c r="D11" s="20" t="n">
        <v>1450000</v>
      </c>
      <c r="E11" s="20" t="n">
        <v>2104000</v>
      </c>
      <c r="F11" s="20" t="n">
        <v>2104000</v>
      </c>
      <c r="G11" s="20" t="n">
        <v>2104000</v>
      </c>
      <c r="H11" s="20" t="n">
        <v>2104000</v>
      </c>
      <c r="I11" s="20" t="n">
        <v>2104000</v>
      </c>
      <c r="J11" s="20" t="n">
        <v>2104000</v>
      </c>
      <c r="K11" s="20" t="n">
        <v>2104000</v>
      </c>
      <c r="L11" s="39" t="n">
        <v>1140000</v>
      </c>
      <c r="M11" s="39" t="n">
        <v>1140000</v>
      </c>
      <c r="N11" s="39" t="n">
        <v>1140000</v>
      </c>
      <c r="O11" s="6" t="n">
        <f aca="false">SUM(C11:N11)</f>
        <v>21048000</v>
      </c>
      <c r="P11" s="6" t="n">
        <f aca="false">AVERAGE(C11:H11)</f>
        <v>1886000</v>
      </c>
      <c r="Q11" s="6" t="n">
        <f aca="false">AVERAGE(I11:K11)</f>
        <v>2104000</v>
      </c>
      <c r="R11" s="6" t="n">
        <f aca="false">Q11-P11</f>
        <v>218000</v>
      </c>
    </row>
    <row r="12" customFormat="false" ht="15" hidden="false" customHeight="false" outlineLevel="0" collapsed="false">
      <c r="B12" s="10" t="s">
        <v>96</v>
      </c>
      <c r="C12" s="20" t="n">
        <v>5733907</v>
      </c>
      <c r="D12" s="20" t="n">
        <v>5680516</v>
      </c>
      <c r="E12" s="20" t="n">
        <v>5686530</v>
      </c>
      <c r="F12" s="20" t="n">
        <v>5159687</v>
      </c>
      <c r="G12" s="20" t="n">
        <v>4194202</v>
      </c>
      <c r="H12" s="20" t="n">
        <v>2811830</v>
      </c>
      <c r="I12" s="20" t="n">
        <v>2863712</v>
      </c>
      <c r="J12" s="20" t="n">
        <v>2818448</v>
      </c>
      <c r="K12" s="20" t="n">
        <v>2851646</v>
      </c>
      <c r="L12" s="39" t="n">
        <v>3360996</v>
      </c>
      <c r="M12" s="39" t="n">
        <v>3360996</v>
      </c>
      <c r="N12" s="39" t="n">
        <v>3360996</v>
      </c>
      <c r="O12" s="6" t="n">
        <f aca="false">SUM(C12:N12)</f>
        <v>47883466</v>
      </c>
      <c r="P12" s="6" t="n">
        <f aca="false">AVERAGE(C12:H12)</f>
        <v>4877778.66666667</v>
      </c>
      <c r="Q12" s="6" t="n">
        <f aca="false">AVERAGE(I12:K12)</f>
        <v>2844602</v>
      </c>
      <c r="R12" s="6" t="n">
        <f aca="false">Q12-P12</f>
        <v>-2033176.66666667</v>
      </c>
    </row>
    <row r="13" customFormat="false" ht="15" hidden="false" customHeight="false" outlineLevel="0" collapsed="false">
      <c r="B13" s="10" t="s">
        <v>97</v>
      </c>
      <c r="C13" s="20" t="n">
        <v>2678253</v>
      </c>
      <c r="D13" s="20" t="n">
        <v>2351213</v>
      </c>
      <c r="E13" s="20" t="n">
        <v>2399853</v>
      </c>
      <c r="F13" s="20" t="n">
        <v>2289298</v>
      </c>
      <c r="G13" s="20" t="n">
        <v>1935062</v>
      </c>
      <c r="H13" s="20" t="n">
        <v>206640</v>
      </c>
      <c r="I13" s="20" t="n">
        <v>203576</v>
      </c>
      <c r="J13" s="20" t="n">
        <v>177120</v>
      </c>
      <c r="K13" s="20" t="n">
        <v>213529</v>
      </c>
      <c r="L13" s="39" t="n">
        <v>300000</v>
      </c>
      <c r="M13" s="39" t="n">
        <v>300000</v>
      </c>
      <c r="N13" s="39" t="n">
        <v>300000</v>
      </c>
      <c r="O13" s="6" t="n">
        <f aca="false">SUM(C13:N13)</f>
        <v>13354544</v>
      </c>
      <c r="P13" s="6" t="n">
        <f aca="false">AVERAGE(C13:H13)</f>
        <v>1976719.83333333</v>
      </c>
      <c r="Q13" s="6" t="n">
        <f aca="false">AVERAGE(I13:K13)</f>
        <v>198075</v>
      </c>
      <c r="R13" s="6" t="n">
        <f aca="false">Q13-P13</f>
        <v>-1778644.83333333</v>
      </c>
    </row>
    <row r="14" customFormat="false" ht="15" hidden="false" customHeight="false" outlineLevel="0" collapsed="false">
      <c r="B14" s="10" t="s">
        <v>98</v>
      </c>
      <c r="C14" s="20" t="n">
        <v>932201</v>
      </c>
      <c r="D14" s="20" t="n">
        <v>691553</v>
      </c>
      <c r="E14" s="20" t="n">
        <v>306078</v>
      </c>
      <c r="F14" s="20" t="n">
        <v>504694</v>
      </c>
      <c r="G14" s="20" t="n">
        <v>261086</v>
      </c>
      <c r="H14" s="20" t="n">
        <v>270455</v>
      </c>
      <c r="I14" s="20" t="n">
        <v>1046339</v>
      </c>
      <c r="J14" s="20" t="n">
        <v>1511149</v>
      </c>
      <c r="K14" s="20" t="n">
        <v>272080</v>
      </c>
      <c r="L14" s="39" t="n">
        <v>700959</v>
      </c>
      <c r="M14" s="39" t="n">
        <v>700959</v>
      </c>
      <c r="N14" s="39" t="n">
        <v>700959</v>
      </c>
      <c r="O14" s="6" t="n">
        <f aca="false">SUM(C14:N14)</f>
        <v>7898512</v>
      </c>
      <c r="P14" s="6" t="n">
        <f aca="false">AVERAGE(C14:H14)</f>
        <v>494344.5</v>
      </c>
      <c r="Q14" s="6" t="n">
        <f aca="false">AVERAGE(I14:K14)</f>
        <v>943189.333333333</v>
      </c>
      <c r="R14" s="6" t="n">
        <f aca="false">Q14-P14</f>
        <v>448844.833333333</v>
      </c>
    </row>
    <row r="15" customFormat="false" ht="15" hidden="false" customHeight="false" outlineLevel="0" collapsed="false">
      <c r="B15" s="10" t="s">
        <v>99</v>
      </c>
      <c r="C15" s="20" t="n">
        <v>53900</v>
      </c>
      <c r="D15" s="20" t="n">
        <v>154236</v>
      </c>
      <c r="E15" s="20" t="n">
        <v>130336</v>
      </c>
      <c r="F15" s="20" t="n">
        <v>100336</v>
      </c>
      <c r="G15" s="20" t="n">
        <v>371711</v>
      </c>
      <c r="H15" s="20" t="n">
        <v>939098</v>
      </c>
      <c r="I15" s="20" t="n">
        <v>379233</v>
      </c>
      <c r="J15" s="20" t="n">
        <v>480196</v>
      </c>
      <c r="K15" s="20" t="n">
        <v>702798</v>
      </c>
      <c r="L15" s="39" t="n">
        <v>1101461</v>
      </c>
      <c r="M15" s="39" t="n">
        <v>2190787</v>
      </c>
      <c r="N15" s="39" t="n">
        <v>2207913</v>
      </c>
      <c r="O15" s="6" t="n">
        <f aca="false">SUM(C15:N15)</f>
        <v>8812005</v>
      </c>
      <c r="P15" s="6" t="n">
        <f aca="false">AVERAGE(C15:H15)</f>
        <v>291602.833333333</v>
      </c>
      <c r="Q15" s="6" t="n">
        <f aca="false">AVERAGE(I15:K15)</f>
        <v>520742.333333333</v>
      </c>
      <c r="R15" s="6" t="n">
        <f aca="false">Q15-P15</f>
        <v>229139.5</v>
      </c>
    </row>
    <row r="16" customFormat="false" ht="15" hidden="false" customHeight="false" outlineLevel="0" collapsed="false">
      <c r="B16" s="10" t="s">
        <v>100</v>
      </c>
      <c r="C16" s="20" t="n">
        <v>234134</v>
      </c>
      <c r="D16" s="20" t="n">
        <v>1115528</v>
      </c>
      <c r="E16" s="20" t="n">
        <v>1228240</v>
      </c>
      <c r="F16" s="20" t="n">
        <v>483409</v>
      </c>
      <c r="G16" s="20" t="n">
        <v>804329</v>
      </c>
      <c r="H16" s="20" t="n">
        <v>985484</v>
      </c>
      <c r="I16" s="20" t="n">
        <v>1222432</v>
      </c>
      <c r="J16" s="20" t="n">
        <v>825807</v>
      </c>
      <c r="K16" s="20" t="n">
        <v>910690</v>
      </c>
      <c r="L16" s="39" t="n">
        <v>728319</v>
      </c>
      <c r="M16" s="39" t="n">
        <v>1204454</v>
      </c>
      <c r="N16" s="39" t="n">
        <v>814324</v>
      </c>
      <c r="O16" s="6" t="n">
        <f aca="false">SUM(C16:N16)</f>
        <v>10557150</v>
      </c>
      <c r="P16" s="6" t="n">
        <f aca="false">AVERAGE(C16:H16)</f>
        <v>808520.666666667</v>
      </c>
      <c r="Q16" s="6" t="n">
        <f aca="false">AVERAGE(I16:K16)</f>
        <v>986309.666666667</v>
      </c>
      <c r="R16" s="6" t="n">
        <f aca="false">Q16-P16</f>
        <v>177789</v>
      </c>
    </row>
    <row r="17" customFormat="false" ht="15" hidden="false" customHeight="false" outlineLevel="0" collapsed="false">
      <c r="B17" s="10" t="s">
        <v>101</v>
      </c>
      <c r="C17" s="20" t="n">
        <v>2786025</v>
      </c>
      <c r="D17" s="20" t="n">
        <v>892984</v>
      </c>
      <c r="E17" s="20" t="n">
        <v>6616700</v>
      </c>
      <c r="F17" s="20" t="n">
        <v>3819686</v>
      </c>
      <c r="G17" s="20" t="n">
        <v>3382365</v>
      </c>
      <c r="H17" s="20" t="n">
        <v>7232976</v>
      </c>
      <c r="I17" s="20" t="n">
        <v>4246967</v>
      </c>
      <c r="J17" s="20" t="n">
        <v>2708814</v>
      </c>
      <c r="K17" s="20" t="n">
        <v>2821069</v>
      </c>
      <c r="L17" s="39" t="n">
        <v>1197015</v>
      </c>
      <c r="M17" s="39" t="n">
        <v>1315343</v>
      </c>
      <c r="N17" s="39" t="n">
        <v>1218389</v>
      </c>
      <c r="O17" s="6" t="n">
        <f aca="false">SUM(C17:N17)</f>
        <v>38238333</v>
      </c>
      <c r="P17" s="6" t="n">
        <f aca="false">AVERAGE(C17:H17)</f>
        <v>4121789.33333333</v>
      </c>
      <c r="Q17" s="6" t="n">
        <f aca="false">AVERAGE(I17:K17)</f>
        <v>3258950</v>
      </c>
      <c r="R17" s="6" t="n">
        <f aca="false">Q17-P17</f>
        <v>-862839.333333334</v>
      </c>
    </row>
    <row r="18" customFormat="false" ht="15" hidden="false" customHeight="false" outlineLevel="0" collapsed="false">
      <c r="B18" s="10" t="s">
        <v>102</v>
      </c>
      <c r="C18" s="20" t="n">
        <v>4193310</v>
      </c>
      <c r="D18" s="20" t="n">
        <v>4996110</v>
      </c>
      <c r="E18" s="20" t="n">
        <v>5069142</v>
      </c>
      <c r="F18" s="20" t="n">
        <v>5753005</v>
      </c>
      <c r="G18" s="20" t="n">
        <v>6089658</v>
      </c>
      <c r="H18" s="20" t="n">
        <v>3904683</v>
      </c>
      <c r="I18" s="20" t="n">
        <v>3293026</v>
      </c>
      <c r="J18" s="20" t="n">
        <v>3902041</v>
      </c>
      <c r="K18" s="20" t="n">
        <v>3970041</v>
      </c>
      <c r="L18" s="39" t="n">
        <v>1300000</v>
      </c>
      <c r="M18" s="39" t="n">
        <v>1300000</v>
      </c>
      <c r="N18" s="39" t="n">
        <v>1300000</v>
      </c>
      <c r="O18" s="6" t="n">
        <f aca="false">SUM(C18:N18)</f>
        <v>45071016</v>
      </c>
      <c r="P18" s="6" t="n">
        <f aca="false">AVERAGE(C18:H18)</f>
        <v>5000984.66666667</v>
      </c>
      <c r="Q18" s="6" t="n">
        <f aca="false">AVERAGE(I18:K18)</f>
        <v>3721702.66666667</v>
      </c>
      <c r="R18" s="6" t="n">
        <f aca="false">Q18-P18</f>
        <v>-1279282</v>
      </c>
    </row>
    <row r="19" customFormat="false" ht="15" hidden="false" customHeight="false" outlineLevel="0" collapsed="false">
      <c r="B19" s="10" t="s">
        <v>103</v>
      </c>
      <c r="C19" s="20" t="n">
        <v>298477</v>
      </c>
      <c r="D19" s="20" t="n">
        <v>502722</v>
      </c>
      <c r="E19" s="20" t="n">
        <v>616408</v>
      </c>
      <c r="F19" s="20" t="n">
        <v>275333</v>
      </c>
      <c r="G19" s="20" t="n">
        <v>458134</v>
      </c>
      <c r="H19" s="20" t="n">
        <v>252956</v>
      </c>
      <c r="I19" s="20" t="n">
        <v>125644</v>
      </c>
      <c r="J19" s="20" t="n">
        <v>272015</v>
      </c>
      <c r="K19" s="20" t="n">
        <v>802423</v>
      </c>
      <c r="L19" s="39" t="n">
        <v>172511</v>
      </c>
      <c r="M19" s="39" t="n">
        <v>172511</v>
      </c>
      <c r="N19" s="39" t="n">
        <v>172511</v>
      </c>
      <c r="O19" s="6" t="n">
        <f aca="false">SUM(C19:N19)</f>
        <v>4121645</v>
      </c>
      <c r="P19" s="6" t="n">
        <f aca="false">AVERAGE(C19:H19)</f>
        <v>400671.666666667</v>
      </c>
      <c r="Q19" s="6" t="n">
        <f aca="false">AVERAGE(I19:K19)</f>
        <v>400027.333333333</v>
      </c>
      <c r="R19" s="6" t="n">
        <f aca="false">Q19-P19</f>
        <v>-644.333333333372</v>
      </c>
    </row>
    <row r="20" customFormat="false" ht="15" hidden="false" customHeight="false" outlineLevel="0" collapsed="false">
      <c r="B20" s="10" t="s">
        <v>104</v>
      </c>
      <c r="C20" s="20" t="n">
        <v>956603</v>
      </c>
      <c r="D20" s="20" t="n">
        <v>757648</v>
      </c>
      <c r="E20" s="20" t="n">
        <v>986948</v>
      </c>
      <c r="F20" s="20" t="n">
        <v>1221393</v>
      </c>
      <c r="G20" s="20" t="n">
        <v>1130296</v>
      </c>
      <c r="H20" s="20" t="n">
        <v>792518</v>
      </c>
      <c r="I20" s="20" t="n">
        <v>751741</v>
      </c>
      <c r="J20" s="20" t="n">
        <v>903801</v>
      </c>
      <c r="K20" s="20" t="n">
        <v>406947</v>
      </c>
      <c r="L20" s="39" t="n">
        <v>400000</v>
      </c>
      <c r="M20" s="39" t="n">
        <v>400000</v>
      </c>
      <c r="N20" s="39" t="n">
        <v>400000</v>
      </c>
      <c r="O20" s="6" t="n">
        <f aca="false">SUM(C20:N20)</f>
        <v>9107895</v>
      </c>
      <c r="P20" s="6" t="n">
        <f aca="false">AVERAGE(C20:H20)</f>
        <v>974234.333333333</v>
      </c>
      <c r="Q20" s="6" t="n">
        <f aca="false">AVERAGE(I20:K20)</f>
        <v>687496.333333333</v>
      </c>
      <c r="R20" s="6" t="n">
        <f aca="false">Q20-P20</f>
        <v>-286738</v>
      </c>
    </row>
    <row r="21" customFormat="false" ht="15" hidden="false" customHeight="false" outlineLevel="0" collapsed="false">
      <c r="B21" s="10" t="s">
        <v>105</v>
      </c>
      <c r="C21" s="20" t="n">
        <v>385679</v>
      </c>
      <c r="D21" s="20" t="n">
        <v>409461</v>
      </c>
      <c r="E21" s="20" t="n">
        <v>423594</v>
      </c>
      <c r="F21" s="20" t="n">
        <v>48463</v>
      </c>
      <c r="G21" s="20" t="n">
        <v>455455</v>
      </c>
      <c r="H21" s="20" t="n">
        <v>6275</v>
      </c>
      <c r="I21" s="20" t="n">
        <v>224456</v>
      </c>
      <c r="J21" s="20" t="n">
        <v>0</v>
      </c>
      <c r="K21" s="20" t="n">
        <v>237941</v>
      </c>
      <c r="L21" s="39" t="n">
        <v>0</v>
      </c>
      <c r="M21" s="39" t="n">
        <v>0</v>
      </c>
      <c r="N21" s="39" t="n">
        <v>0</v>
      </c>
      <c r="O21" s="6" t="n">
        <f aca="false">SUM(C21:N21)</f>
        <v>2191324</v>
      </c>
      <c r="P21" s="6" t="n">
        <f aca="false">AVERAGE(C21:H21)</f>
        <v>288154.5</v>
      </c>
      <c r="Q21" s="6" t="n">
        <f aca="false">AVERAGE(I21:K21)</f>
        <v>154132.333333333</v>
      </c>
      <c r="R21" s="6" t="n">
        <f aca="false">Q21-P21</f>
        <v>-134022.166666667</v>
      </c>
    </row>
    <row r="22" customFormat="false" ht="15" hidden="false" customHeight="false" outlineLevel="0" collapsed="false">
      <c r="B22" s="10" t="s">
        <v>106</v>
      </c>
      <c r="C22" s="20" t="n">
        <v>163840</v>
      </c>
      <c r="D22" s="20" t="n">
        <v>163840</v>
      </c>
      <c r="E22" s="20" t="n">
        <v>163840</v>
      </c>
      <c r="F22" s="20" t="n">
        <v>163840</v>
      </c>
      <c r="G22" s="20" t="n">
        <v>134106</v>
      </c>
      <c r="H22" s="20" t="n">
        <v>111575</v>
      </c>
      <c r="I22" s="20" t="n">
        <v>147305</v>
      </c>
      <c r="J22" s="20" t="n">
        <v>112235</v>
      </c>
      <c r="K22" s="20" t="n">
        <v>109311</v>
      </c>
      <c r="L22" s="39" t="n">
        <v>112868</v>
      </c>
      <c r="M22" s="39" t="n">
        <v>114508</v>
      </c>
      <c r="N22" s="39" t="n">
        <v>114868</v>
      </c>
      <c r="O22" s="6" t="n">
        <f aca="false">SUM(C22:N22)</f>
        <v>1612136</v>
      </c>
      <c r="P22" s="6" t="n">
        <f aca="false">AVERAGE(C22:H22)</f>
        <v>150173.5</v>
      </c>
      <c r="Q22" s="6" t="n">
        <f aca="false">AVERAGE(I22:K22)</f>
        <v>122950.333333333</v>
      </c>
      <c r="R22" s="6" t="n">
        <f aca="false">Q22-P22</f>
        <v>-27223.1666666667</v>
      </c>
    </row>
    <row r="23" customFormat="false" ht="15" hidden="false" customHeight="false" outlineLevel="0" collapsed="false">
      <c r="B23" s="10" t="s">
        <v>107</v>
      </c>
      <c r="C23" s="20" t="n">
        <v>0</v>
      </c>
      <c r="D23" s="20" t="n">
        <v>7273</v>
      </c>
      <c r="E23" s="20" t="n">
        <v>136364</v>
      </c>
      <c r="F23" s="20" t="n">
        <v>437233</v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39" t="n">
        <v>0</v>
      </c>
      <c r="M23" s="39" t="n">
        <v>0</v>
      </c>
      <c r="N23" s="39" t="n">
        <v>0</v>
      </c>
      <c r="O23" s="6" t="n">
        <f aca="false">SUM(C23:N23)</f>
        <v>580870</v>
      </c>
      <c r="P23" s="6" t="n">
        <f aca="false">AVERAGE(C23:H23)</f>
        <v>96811.6666666667</v>
      </c>
      <c r="Q23" s="6" t="n">
        <f aca="false">AVERAGE(I23:K23)</f>
        <v>0</v>
      </c>
      <c r="R23" s="6" t="n">
        <f aca="false">Q23-P23</f>
        <v>-96811.6666666667</v>
      </c>
    </row>
    <row r="24" customFormat="false" ht="15" hidden="false" customHeight="false" outlineLevel="0" collapsed="false">
      <c r="B24" s="10" t="s">
        <v>108</v>
      </c>
      <c r="C24" s="20" t="n">
        <v>208971</v>
      </c>
      <c r="D24" s="20" t="n">
        <v>541789</v>
      </c>
      <c r="E24" s="20" t="n">
        <v>1218512</v>
      </c>
      <c r="F24" s="20" t="n">
        <v>300194</v>
      </c>
      <c r="G24" s="20" t="n">
        <v>157936</v>
      </c>
      <c r="H24" s="20" t="n">
        <v>45207</v>
      </c>
      <c r="I24" s="20" t="n">
        <v>318201</v>
      </c>
      <c r="J24" s="20" t="n">
        <v>354071</v>
      </c>
      <c r="K24" s="20" t="n">
        <v>67209</v>
      </c>
      <c r="L24" s="39" t="n">
        <v>0</v>
      </c>
      <c r="M24" s="39" t="n">
        <v>0</v>
      </c>
      <c r="N24" s="39" t="n">
        <v>0</v>
      </c>
      <c r="O24" s="6" t="n">
        <f aca="false">SUM(C24:N24)</f>
        <v>3212090</v>
      </c>
      <c r="P24" s="6" t="n">
        <f aca="false">AVERAGE(C24:H24)</f>
        <v>412101.5</v>
      </c>
      <c r="Q24" s="6" t="n">
        <f aca="false">AVERAGE(I24:K24)</f>
        <v>246493.666666667</v>
      </c>
      <c r="R24" s="6" t="n">
        <f aca="false">Q24-P24</f>
        <v>-165607.833333333</v>
      </c>
    </row>
    <row r="25" customFormat="false" ht="15" hidden="false" customHeight="false" outlineLevel="0" collapsed="false">
      <c r="B25" s="10" t="s">
        <v>109</v>
      </c>
      <c r="C25" s="20" t="n">
        <v>732759</v>
      </c>
      <c r="D25" s="20" t="n">
        <v>1772849</v>
      </c>
      <c r="E25" s="20" t="n">
        <v>1593889</v>
      </c>
      <c r="F25" s="20" t="n">
        <v>1429651</v>
      </c>
      <c r="G25" s="20" t="n">
        <v>2057129</v>
      </c>
      <c r="H25" s="20" t="n">
        <v>1220565</v>
      </c>
      <c r="I25" s="20" t="n">
        <v>1330222</v>
      </c>
      <c r="J25" s="20" t="n">
        <v>781049</v>
      </c>
      <c r="K25" s="20" t="n">
        <v>1527735</v>
      </c>
      <c r="L25" s="39" t="n">
        <v>1397165</v>
      </c>
      <c r="M25" s="39" t="n">
        <v>2239059</v>
      </c>
      <c r="N25" s="39" t="n">
        <v>1549238</v>
      </c>
      <c r="O25" s="6" t="n">
        <f aca="false">SUM(C25:N25)</f>
        <v>17631310</v>
      </c>
      <c r="P25" s="6" t="n">
        <f aca="false">AVERAGE(C25:H25)</f>
        <v>1467807</v>
      </c>
      <c r="Q25" s="6" t="n">
        <f aca="false">AVERAGE(I25:K25)</f>
        <v>1213002</v>
      </c>
      <c r="R25" s="6" t="n">
        <f aca="false">Q25-P25</f>
        <v>-254805</v>
      </c>
    </row>
    <row r="26" customFormat="false" ht="15" hidden="false" customHeight="false" outlineLevel="0" collapsed="false">
      <c r="B26" s="10" t="s">
        <v>110</v>
      </c>
      <c r="C26" s="20" t="n">
        <v>216380</v>
      </c>
      <c r="D26" s="20" t="n">
        <v>187821</v>
      </c>
      <c r="E26" s="20" t="n">
        <v>353693</v>
      </c>
      <c r="F26" s="20" t="n">
        <v>190734</v>
      </c>
      <c r="G26" s="20" t="n">
        <v>146470</v>
      </c>
      <c r="H26" s="20" t="n">
        <v>0</v>
      </c>
      <c r="I26" s="20" t="n">
        <v>0</v>
      </c>
      <c r="J26" s="20" t="n">
        <v>0</v>
      </c>
      <c r="K26" s="20" t="n">
        <v>0</v>
      </c>
      <c r="L26" s="39" t="n">
        <v>0</v>
      </c>
      <c r="M26" s="39" t="n">
        <v>0</v>
      </c>
      <c r="N26" s="39" t="n">
        <v>0</v>
      </c>
      <c r="O26" s="6" t="n">
        <f aca="false">SUM(C26:N26)</f>
        <v>1095098</v>
      </c>
      <c r="P26" s="6" t="n">
        <f aca="false">AVERAGE(C26:H26)</f>
        <v>182516.333333333</v>
      </c>
      <c r="Q26" s="6" t="n">
        <f aca="false">AVERAGE(I26:K26)</f>
        <v>0</v>
      </c>
      <c r="R26" s="6" t="n">
        <f aca="false">Q26-P26</f>
        <v>-182516.333333333</v>
      </c>
    </row>
    <row r="27" customFormat="false" ht="15" hidden="false" customHeight="false" outlineLevel="0" collapsed="false">
      <c r="B27" s="10" t="s">
        <v>111</v>
      </c>
      <c r="C27" s="20" t="n">
        <v>31310</v>
      </c>
      <c r="D27" s="20" t="n">
        <v>3384111</v>
      </c>
      <c r="E27" s="20" t="n">
        <v>3979857</v>
      </c>
      <c r="F27" s="20" t="n">
        <v>3817705</v>
      </c>
      <c r="G27" s="20" t="n">
        <v>5101111</v>
      </c>
      <c r="H27" s="20" t="n">
        <v>4052047</v>
      </c>
      <c r="I27" s="20" t="n">
        <v>3451669</v>
      </c>
      <c r="J27" s="20" t="n">
        <v>3221145</v>
      </c>
      <c r="K27" s="20" t="n">
        <v>3077916</v>
      </c>
      <c r="L27" s="39" t="n">
        <v>1137091</v>
      </c>
      <c r="M27" s="39" t="n">
        <v>1137091</v>
      </c>
      <c r="N27" s="39" t="n">
        <v>1137091</v>
      </c>
      <c r="O27" s="6" t="n">
        <f aca="false">SUM(C27:N27)</f>
        <v>33528144</v>
      </c>
      <c r="P27" s="6" t="n">
        <f aca="false">AVERAGE(C27:H27)</f>
        <v>3394356.83333333</v>
      </c>
      <c r="Q27" s="6" t="n">
        <f aca="false">AVERAGE(I27:K27)</f>
        <v>3250243.33333333</v>
      </c>
      <c r="R27" s="6" t="n">
        <f aca="false">Q27-P27</f>
        <v>-144113.5</v>
      </c>
    </row>
    <row r="28" customFormat="false" ht="15" hidden="false" customHeight="false" outlineLevel="0" collapsed="false">
      <c r="B28" s="10" t="s">
        <v>112</v>
      </c>
      <c r="C28" s="20" t="n">
        <v>64335</v>
      </c>
      <c r="D28" s="20" t="n">
        <v>164394</v>
      </c>
      <c r="E28" s="20" t="n">
        <v>135411</v>
      </c>
      <c r="F28" s="20" t="n">
        <v>0</v>
      </c>
      <c r="G28" s="20" t="n">
        <v>0</v>
      </c>
      <c r="H28" s="20" t="n">
        <v>0</v>
      </c>
      <c r="I28" s="20" t="n">
        <v>6251</v>
      </c>
      <c r="J28" s="20" t="n">
        <v>86499</v>
      </c>
      <c r="K28" s="20" t="n">
        <v>56817</v>
      </c>
      <c r="L28" s="39" t="n">
        <v>0</v>
      </c>
      <c r="M28" s="39" t="n">
        <v>0</v>
      </c>
      <c r="N28" s="39" t="n">
        <v>0</v>
      </c>
      <c r="O28" s="6" t="n">
        <f aca="false">SUM(C28:N28)</f>
        <v>513707</v>
      </c>
      <c r="P28" s="6" t="n">
        <f aca="false">AVERAGE(C28:H28)</f>
        <v>60690</v>
      </c>
      <c r="Q28" s="6" t="n">
        <f aca="false">AVERAGE(I28:K28)</f>
        <v>49855.6666666667</v>
      </c>
      <c r="R28" s="6" t="n">
        <f aca="false">Q28-P28</f>
        <v>-10834.3333333333</v>
      </c>
    </row>
    <row r="29" customFormat="false" ht="15" hidden="false" customHeight="false" outlineLevel="0" collapsed="false">
      <c r="B29" s="10" t="s">
        <v>113</v>
      </c>
      <c r="C29" s="20" t="n">
        <v>10000</v>
      </c>
      <c r="D29" s="20" t="n">
        <v>10000</v>
      </c>
      <c r="E29" s="20" t="n">
        <v>10000</v>
      </c>
      <c r="F29" s="20" t="n">
        <v>10000</v>
      </c>
      <c r="G29" s="20" t="n">
        <v>10000</v>
      </c>
      <c r="H29" s="20" t="n">
        <v>10000</v>
      </c>
      <c r="I29" s="20" t="n">
        <v>10000</v>
      </c>
      <c r="J29" s="20" t="n">
        <v>10000</v>
      </c>
      <c r="K29" s="20" t="n">
        <v>0</v>
      </c>
      <c r="L29" s="39" t="n">
        <v>179847</v>
      </c>
      <c r="M29" s="39" t="n">
        <v>179847</v>
      </c>
      <c r="N29" s="39" t="n">
        <v>179847</v>
      </c>
      <c r="O29" s="6" t="n">
        <f aca="false">SUM(C29:N29)</f>
        <v>619541</v>
      </c>
      <c r="P29" s="6" t="n">
        <f aca="false">AVERAGE(C29:H29)</f>
        <v>10000</v>
      </c>
      <c r="Q29" s="6" t="n">
        <f aca="false">AVERAGE(I29:K29)</f>
        <v>6666.66666666667</v>
      </c>
      <c r="R29" s="6" t="n">
        <f aca="false">Q29-P29</f>
        <v>-3333.33333333333</v>
      </c>
    </row>
    <row r="30" customFormat="false" ht="15" hidden="false" customHeight="false" outlineLevel="0" collapsed="false">
      <c r="B30" s="10" t="s">
        <v>114</v>
      </c>
      <c r="C30" s="20" t="n">
        <v>0</v>
      </c>
      <c r="D30" s="20" t="n">
        <v>190000</v>
      </c>
      <c r="E30" s="20" t="n">
        <v>619800</v>
      </c>
      <c r="F30" s="20" t="n">
        <v>0</v>
      </c>
      <c r="G30" s="20" t="n">
        <v>593317</v>
      </c>
      <c r="H30" s="20" t="n">
        <v>0</v>
      </c>
      <c r="I30" s="20" t="n">
        <v>6180</v>
      </c>
      <c r="J30" s="20" t="n">
        <v>3400</v>
      </c>
      <c r="K30" s="20" t="n">
        <v>1174300</v>
      </c>
      <c r="L30" s="39" t="n">
        <v>0</v>
      </c>
      <c r="M30" s="39" t="n">
        <v>0</v>
      </c>
      <c r="N30" s="39" t="n">
        <v>0</v>
      </c>
      <c r="O30" s="6" t="n">
        <f aca="false">SUM(C30:N30)</f>
        <v>2586997</v>
      </c>
      <c r="P30" s="6" t="n">
        <f aca="false">AVERAGE(C30:H30)</f>
        <v>233852.833333333</v>
      </c>
      <c r="Q30" s="6" t="n">
        <f aca="false">AVERAGE(I30:K30)</f>
        <v>394626.666666667</v>
      </c>
      <c r="R30" s="6" t="n">
        <f aca="false">Q30-P30</f>
        <v>160773.833333333</v>
      </c>
    </row>
    <row r="31" customFormat="false" ht="15" hidden="false" customHeight="false" outlineLevel="0" collapsed="false">
      <c r="B31" s="10" t="s">
        <v>115</v>
      </c>
      <c r="C31" s="20" t="n">
        <v>10091</v>
      </c>
      <c r="D31" s="20" t="n">
        <v>15091</v>
      </c>
      <c r="E31" s="20" t="n">
        <v>6091</v>
      </c>
      <c r="F31" s="20" t="n">
        <v>11341</v>
      </c>
      <c r="G31" s="20" t="n">
        <v>40091</v>
      </c>
      <c r="H31" s="20" t="n">
        <v>0</v>
      </c>
      <c r="I31" s="20" t="n">
        <v>0</v>
      </c>
      <c r="J31" s="20" t="n">
        <v>0</v>
      </c>
      <c r="K31" s="20" t="n">
        <v>0</v>
      </c>
      <c r="L31" s="39" t="n">
        <v>0</v>
      </c>
      <c r="M31" s="39" t="n">
        <v>0</v>
      </c>
      <c r="N31" s="39" t="n">
        <v>0</v>
      </c>
      <c r="O31" s="6" t="n">
        <f aca="false">SUM(C31:N31)</f>
        <v>82705</v>
      </c>
      <c r="P31" s="6" t="n">
        <f aca="false">AVERAGE(C31:H31)</f>
        <v>13784.1666666667</v>
      </c>
      <c r="Q31" s="6" t="n">
        <f aca="false">AVERAGE(I31:K31)</f>
        <v>0</v>
      </c>
      <c r="R31" s="6" t="n">
        <f aca="false">Q31-P31</f>
        <v>-13784.1666666667</v>
      </c>
    </row>
    <row r="32" customFormat="false" ht="15" hidden="false" customHeight="false" outlineLevel="0" collapsed="false">
      <c r="B32" s="10" t="s">
        <v>116</v>
      </c>
      <c r="C32" s="20" t="n">
        <v>3815699</v>
      </c>
      <c r="D32" s="20" t="n">
        <v>3868032</v>
      </c>
      <c r="E32" s="20" t="n">
        <v>3961360</v>
      </c>
      <c r="F32" s="20" t="n">
        <v>3970858</v>
      </c>
      <c r="G32" s="20" t="n">
        <v>3964526</v>
      </c>
      <c r="H32" s="20" t="n">
        <v>3637873</v>
      </c>
      <c r="I32" s="20" t="n">
        <v>3637873</v>
      </c>
      <c r="J32" s="20" t="n">
        <v>3637873</v>
      </c>
      <c r="K32" s="20" t="n">
        <v>3637873</v>
      </c>
      <c r="L32" s="39" t="n">
        <v>2246731</v>
      </c>
      <c r="M32" s="39" t="n">
        <v>2246731</v>
      </c>
      <c r="N32" s="39" t="n">
        <v>2246731</v>
      </c>
      <c r="O32" s="6" t="n">
        <f aca="false">SUM(C32:N32)</f>
        <v>40872160</v>
      </c>
      <c r="P32" s="6" t="n">
        <f aca="false">AVERAGE(C32:H32)</f>
        <v>3869724.66666667</v>
      </c>
      <c r="Q32" s="6" t="n">
        <f aca="false">AVERAGE(I32:K32)</f>
        <v>3637873</v>
      </c>
      <c r="R32" s="6" t="n">
        <f aca="false">Q32-P32</f>
        <v>-231851.666666667</v>
      </c>
    </row>
    <row r="33" customFormat="false" ht="15" hidden="false" customHeight="false" outlineLevel="0" collapsed="false">
      <c r="B33" s="10" t="s">
        <v>117</v>
      </c>
      <c r="C33" s="20" t="n">
        <v>419018</v>
      </c>
      <c r="D33" s="20" t="n">
        <v>1656111</v>
      </c>
      <c r="E33" s="20" t="n">
        <v>825810</v>
      </c>
      <c r="F33" s="20" t="n">
        <v>1670919</v>
      </c>
      <c r="G33" s="20" t="n">
        <v>742917</v>
      </c>
      <c r="H33" s="20" t="n">
        <v>10153686</v>
      </c>
      <c r="I33" s="20" t="n">
        <v>515140</v>
      </c>
      <c r="J33" s="20" t="n">
        <v>619350</v>
      </c>
      <c r="K33" s="20" t="n">
        <v>-317039</v>
      </c>
      <c r="L33" s="39" t="n">
        <v>5546051</v>
      </c>
      <c r="M33" s="39" t="n">
        <v>5910511</v>
      </c>
      <c r="N33" s="39" t="n">
        <v>5571711</v>
      </c>
      <c r="O33" s="6" t="n">
        <f aca="false">SUM(C33:N33)</f>
        <v>33314185</v>
      </c>
      <c r="P33" s="6" t="n">
        <f aca="false">AVERAGE(C33:H33)</f>
        <v>2578076.83333333</v>
      </c>
      <c r="Q33" s="6" t="n">
        <f aca="false">AVERAGE(I33:K33)</f>
        <v>272483.666666667</v>
      </c>
      <c r="R33" s="6" t="n">
        <f aca="false">Q33-P33</f>
        <v>-2305593.16666667</v>
      </c>
    </row>
    <row r="34" customFormat="false" ht="15" hidden="false" customHeight="false" outlineLevel="0" collapsed="false">
      <c r="B34" s="42" t="s">
        <v>118</v>
      </c>
      <c r="C34" s="24" t="n">
        <f aca="false">SUM(C11:C33)</f>
        <v>25374892</v>
      </c>
      <c r="D34" s="24" t="n">
        <f aca="false">SUM(D11:D33)</f>
        <v>30963282</v>
      </c>
      <c r="E34" s="24" t="n">
        <f aca="false">SUM(E11:E33)</f>
        <v>38572456</v>
      </c>
      <c r="F34" s="24" t="n">
        <f aca="false">SUM(F11:F33)</f>
        <v>33761779</v>
      </c>
      <c r="G34" s="24" t="n">
        <f aca="false">SUM(G11:G33)</f>
        <v>34133901</v>
      </c>
      <c r="H34" s="24" t="n">
        <f aca="false">SUM(H11:H33)</f>
        <v>38737868</v>
      </c>
      <c r="I34" s="24" t="n">
        <f aca="false">SUM(I11:I33)</f>
        <v>25883967</v>
      </c>
      <c r="J34" s="24" t="n">
        <f aca="false">SUM(J11:J33)</f>
        <v>24529013</v>
      </c>
      <c r="K34" s="24" t="n">
        <f aca="false">SUM(K11:K33)</f>
        <v>24627286</v>
      </c>
      <c r="L34" s="24" t="n">
        <f aca="false">SUM(L11:L33)</f>
        <v>21021014</v>
      </c>
      <c r="M34" s="24" t="n">
        <f aca="false">SUM(M11:M33)</f>
        <v>23912797</v>
      </c>
      <c r="N34" s="24" t="n">
        <f aca="false">SUM(N11:N33)</f>
        <v>22414578</v>
      </c>
      <c r="O34" s="24" t="n">
        <f aca="false">SUM(C34:N34)</f>
        <v>343932833</v>
      </c>
      <c r="P34" s="24" t="n">
        <f aca="false">AVERAGE(C34:H34)</f>
        <v>33590696.3333333</v>
      </c>
      <c r="Q34" s="24" t="n">
        <f aca="false">AVERAGE(I34:K34)</f>
        <v>25013422</v>
      </c>
      <c r="R34" s="24" t="n">
        <f aca="false">Q34-P34</f>
        <v>-8577274.33333334</v>
      </c>
    </row>
    <row r="35" customFormat="false" ht="15" hidden="false" customHeight="false" outlineLevel="0" collapsed="false">
      <c r="B35" s="23" t="s">
        <v>50</v>
      </c>
      <c r="C35" s="24" t="n">
        <f aca="false">C8-C34</f>
        <v>-11088462</v>
      </c>
      <c r="D35" s="24" t="n">
        <f aca="false">D8-D34</f>
        <v>-3256174</v>
      </c>
      <c r="E35" s="24" t="n">
        <f aca="false">E8-E34</f>
        <v>-16617901</v>
      </c>
      <c r="F35" s="24" t="n">
        <f aca="false">F8-F34</f>
        <v>-17805770</v>
      </c>
      <c r="G35" s="24" t="n">
        <f aca="false">G8-G34</f>
        <v>-13913836</v>
      </c>
      <c r="H35" s="24" t="n">
        <f aca="false">H8-H34</f>
        <v>-24158947</v>
      </c>
      <c r="I35" s="24" t="n">
        <f aca="false">I8-I34</f>
        <v>-10204526</v>
      </c>
      <c r="J35" s="24" t="n">
        <f aca="false">J8-J34</f>
        <v>-6389820</v>
      </c>
      <c r="K35" s="24" t="n">
        <f aca="false">K8-K34</f>
        <v>-8295438</v>
      </c>
      <c r="L35" s="24" t="n">
        <f aca="false">L8-L34</f>
        <v>1072434</v>
      </c>
      <c r="M35" s="24" t="n">
        <f aca="false">M8-M34</f>
        <v>-9672102</v>
      </c>
      <c r="N35" s="24" t="n">
        <f aca="false">N8-N34</f>
        <v>5537114</v>
      </c>
      <c r="O35" s="24" t="n">
        <f aca="false">SUM(C35:N35)</f>
        <v>-114793428</v>
      </c>
    </row>
    <row r="37" customFormat="false" ht="15" hidden="false" customHeight="false" outlineLevel="0" collapsed="false">
      <c r="B37" s="1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7"/>
    <col collapsed="false" customWidth="true" hidden="false" outlineLevel="0" max="6" min="6" style="0" width="66"/>
  </cols>
  <sheetData>
    <row r="1" customFormat="false" ht="19.4" hidden="false" customHeight="false" outlineLevel="0" collapsed="false">
      <c r="B1" s="43" t="s">
        <v>120</v>
      </c>
    </row>
    <row r="2" customFormat="false" ht="15" hidden="false" customHeight="false" outlineLevel="0" collapsed="false">
      <c r="B2" s="2" t="s">
        <v>121</v>
      </c>
    </row>
    <row r="4" customFormat="false" ht="15" hidden="false" customHeight="false" outlineLevel="0" collapsed="false">
      <c r="B4" s="3" t="s">
        <v>122</v>
      </c>
      <c r="C4" s="4"/>
      <c r="D4" s="4"/>
      <c r="E4" s="4"/>
      <c r="F4" s="4"/>
      <c r="G4" s="4"/>
    </row>
    <row r="5" customFormat="false" ht="15" hidden="false" customHeight="false" outlineLevel="0" collapsed="false">
      <c r="B5" s="29" t="s">
        <v>3</v>
      </c>
      <c r="C5" s="44" t="s">
        <v>123</v>
      </c>
    </row>
    <row r="6" customFormat="false" ht="15" hidden="false" customHeight="false" outlineLevel="0" collapsed="false">
      <c r="B6" s="10" t="s">
        <v>91</v>
      </c>
      <c r="C6" s="45" t="n">
        <f aca="false">AVERAGE(④FY2026月次実績!I6:K6)</f>
        <v>32428397.3333333</v>
      </c>
      <c r="F6" s="46" t="s">
        <v>124</v>
      </c>
    </row>
    <row r="7" customFormat="false" ht="15" hidden="false" customHeight="false" outlineLevel="0" collapsed="false">
      <c r="B7" s="10" t="s">
        <v>93</v>
      </c>
      <c r="C7" s="45" t="n">
        <f aca="false">AVERAGE(④FY2026月次実績!I8:K8)</f>
        <v>16716827.3333333</v>
      </c>
    </row>
    <row r="8" customFormat="false" ht="15" hidden="false" customHeight="false" outlineLevel="0" collapsed="false">
      <c r="B8" s="10" t="s">
        <v>48</v>
      </c>
      <c r="C8" s="45" t="n">
        <f aca="false">AVERAGE(④FY2026月次実績!I34:K34)</f>
        <v>25013422</v>
      </c>
    </row>
    <row r="9" customFormat="false" ht="15" hidden="false" customHeight="false" outlineLevel="0" collapsed="false">
      <c r="B9" s="10" t="s">
        <v>125</v>
      </c>
      <c r="C9" s="47" t="n">
        <f aca="false">C7/C6</f>
        <v>0.515499645619243</v>
      </c>
    </row>
    <row r="11" customFormat="false" ht="15" hidden="false" customHeight="false" outlineLevel="0" collapsed="false">
      <c r="B11" s="3" t="s">
        <v>126</v>
      </c>
      <c r="C11" s="4"/>
      <c r="D11" s="4"/>
      <c r="E11" s="4"/>
      <c r="F11" s="4"/>
      <c r="G11" s="4"/>
    </row>
    <row r="12" customFormat="false" ht="15" hidden="false" customHeight="false" outlineLevel="0" collapsed="false">
      <c r="B12" s="29" t="s">
        <v>127</v>
      </c>
      <c r="C12" s="29" t="s">
        <v>4</v>
      </c>
      <c r="D12" s="29" t="s">
        <v>128</v>
      </c>
      <c r="E12" s="29" t="s">
        <v>129</v>
      </c>
    </row>
    <row r="13" customFormat="false" ht="15" hidden="false" customHeight="false" outlineLevel="0" collapsed="false">
      <c r="B13" s="10" t="s">
        <v>130</v>
      </c>
      <c r="C13" s="8" t="n">
        <v>80000000</v>
      </c>
      <c r="D13" s="10" t="s">
        <v>131</v>
      </c>
      <c r="E13" s="10" t="s">
        <v>132</v>
      </c>
    </row>
    <row r="14" customFormat="false" ht="15" hidden="false" customHeight="false" outlineLevel="0" collapsed="false">
      <c r="B14" s="10" t="s">
        <v>133</v>
      </c>
      <c r="C14" s="8" t="n">
        <v>2500000</v>
      </c>
      <c r="D14" s="48" t="s">
        <v>134</v>
      </c>
      <c r="E14" s="10" t="s">
        <v>132</v>
      </c>
    </row>
    <row r="15" customFormat="false" ht="15" hidden="false" customHeight="false" outlineLevel="0" collapsed="false">
      <c r="B15" s="10" t="s">
        <v>135</v>
      </c>
      <c r="C15" s="8" t="n">
        <v>10000000</v>
      </c>
      <c r="D15" s="10" t="s">
        <v>131</v>
      </c>
      <c r="E15" s="10" t="s">
        <v>132</v>
      </c>
    </row>
    <row r="16" customFormat="false" ht="15" hidden="false" customHeight="false" outlineLevel="0" collapsed="false">
      <c r="B16" s="48" t="s">
        <v>136</v>
      </c>
      <c r="C16" s="8" t="n">
        <v>20000000</v>
      </c>
      <c r="D16" s="10" t="s">
        <v>137</v>
      </c>
      <c r="E16" s="10" t="s">
        <v>138</v>
      </c>
    </row>
    <row r="17" customFormat="false" ht="15" hidden="false" customHeight="false" outlineLevel="0" collapsed="false">
      <c r="B17" s="10" t="s">
        <v>139</v>
      </c>
      <c r="C17" s="8" t="n">
        <v>10000000</v>
      </c>
      <c r="D17" s="10" t="s">
        <v>137</v>
      </c>
      <c r="E17" s="10" t="s">
        <v>138</v>
      </c>
    </row>
    <row r="18" customFormat="false" ht="15" hidden="false" customHeight="false" outlineLevel="0" collapsed="false">
      <c r="B18" s="10" t="s">
        <v>140</v>
      </c>
      <c r="C18" s="8" t="n">
        <v>10000000</v>
      </c>
      <c r="D18" s="10" t="s">
        <v>137</v>
      </c>
      <c r="E18" s="10" t="s">
        <v>138</v>
      </c>
    </row>
    <row r="19" customFormat="false" ht="15" hidden="false" customHeight="false" outlineLevel="0" collapsed="false">
      <c r="B19" s="14" t="s">
        <v>141</v>
      </c>
      <c r="C19" s="6" t="n">
        <f aca="false">SUM(C13:C18)</f>
        <v>132500000</v>
      </c>
      <c r="F19" s="16" t="s">
        <v>142</v>
      </c>
    </row>
    <row r="20" customFormat="false" ht="15" hidden="false" customHeight="false" outlineLevel="0" collapsed="false">
      <c r="B20" s="10" t="s">
        <v>143</v>
      </c>
      <c r="C20" s="21" t="n">
        <f aca="false">SUM(C13:C18)</f>
        <v>132500000</v>
      </c>
      <c r="F20" s="16" t="s">
        <v>144</v>
      </c>
    </row>
    <row r="21" customFormat="false" ht="15" hidden="false" customHeight="false" outlineLevel="0" collapsed="false">
      <c r="B21" s="10" t="s">
        <v>145</v>
      </c>
      <c r="C21" s="21" t="n">
        <v>0</v>
      </c>
      <c r="F21" s="16" t="s">
        <v>146</v>
      </c>
    </row>
    <row r="23" customFormat="false" ht="15" hidden="false" customHeight="false" outlineLevel="0" collapsed="false">
      <c r="B23" s="3" t="s">
        <v>147</v>
      </c>
      <c r="C23" s="4"/>
      <c r="D23" s="4"/>
      <c r="E23" s="4"/>
      <c r="F23" s="4"/>
      <c r="G23" s="4"/>
    </row>
    <row r="24" customFormat="false" ht="15" hidden="false" customHeight="false" outlineLevel="0" collapsed="false">
      <c r="B24" s="10" t="s">
        <v>148</v>
      </c>
      <c r="C24" s="8" t="n">
        <v>15000000</v>
      </c>
      <c r="F24" s="2" t="s">
        <v>149</v>
      </c>
    </row>
    <row r="25" customFormat="false" ht="15" hidden="false" customHeight="false" outlineLevel="0" collapsed="false">
      <c r="B25" s="48" t="s">
        <v>150</v>
      </c>
      <c r="C25" s="49" t="n">
        <v>6</v>
      </c>
      <c r="F25" s="22" t="s">
        <v>151</v>
      </c>
    </row>
    <row r="26" customFormat="false" ht="15" hidden="false" customHeight="false" outlineLevel="0" collapsed="false">
      <c r="B26" s="10" t="s">
        <v>152</v>
      </c>
      <c r="C26" s="49" t="n">
        <v>6</v>
      </c>
      <c r="F26" s="22" t="s">
        <v>151</v>
      </c>
    </row>
    <row r="27" customFormat="false" ht="15" hidden="false" customHeight="false" outlineLevel="0" collapsed="false">
      <c r="B27" s="10" t="s">
        <v>153</v>
      </c>
      <c r="C27" s="49" t="n">
        <v>12</v>
      </c>
      <c r="F27" s="22" t="s">
        <v>154</v>
      </c>
    </row>
    <row r="28" customFormat="false" ht="15" hidden="false" customHeight="false" outlineLevel="0" collapsed="false">
      <c r="B28" s="10" t="s">
        <v>155</v>
      </c>
      <c r="C28" s="8" t="n">
        <v>0</v>
      </c>
      <c r="F28" s="22" t="s">
        <v>156</v>
      </c>
    </row>
    <row r="29" customFormat="false" ht="15" hidden="false" customHeight="false" outlineLevel="0" collapsed="false">
      <c r="B29" s="10" t="s">
        <v>157</v>
      </c>
      <c r="C29" s="8" t="n">
        <v>1066000000</v>
      </c>
      <c r="F29" s="2" t="s">
        <v>158</v>
      </c>
    </row>
    <row r="30" customFormat="false" ht="15" hidden="false" customHeight="false" outlineLevel="0" collapsed="false">
      <c r="B30" s="10" t="s">
        <v>159</v>
      </c>
      <c r="C30" s="49" t="n">
        <v>2</v>
      </c>
      <c r="F30" s="2" t="s">
        <v>160</v>
      </c>
    </row>
    <row r="31" customFormat="false" ht="15" hidden="false" customHeight="false" outlineLevel="0" collapsed="false">
      <c r="B31" s="10" t="s">
        <v>161</v>
      </c>
      <c r="C31" s="49" t="n">
        <v>2</v>
      </c>
      <c r="F31" s="2" t="s">
        <v>162</v>
      </c>
    </row>
    <row r="32" customFormat="false" ht="15" hidden="false" customHeight="false" outlineLevel="0" collapsed="false">
      <c r="B32" s="48" t="s">
        <v>163</v>
      </c>
      <c r="C32" s="8" t="n">
        <v>419066414</v>
      </c>
      <c r="F32" s="2" t="s">
        <v>164</v>
      </c>
    </row>
    <row r="33" customFormat="false" ht="31.5" hidden="false" customHeight="true" outlineLevel="0" collapsed="false">
      <c r="B33" s="10" t="s">
        <v>55</v>
      </c>
      <c r="C33" s="50" t="s">
        <v>165</v>
      </c>
      <c r="F33" s="7" t="s">
        <v>166</v>
      </c>
    </row>
    <row r="35" customFormat="false" ht="15" hidden="false" customHeight="false" outlineLevel="0" collapsed="false">
      <c r="B35" s="3" t="s">
        <v>167</v>
      </c>
      <c r="C35" s="4"/>
      <c r="D35" s="4"/>
      <c r="E35" s="4"/>
      <c r="F35" s="4"/>
      <c r="G35" s="4"/>
    </row>
    <row r="36" customFormat="false" ht="15" hidden="false" customHeight="false" outlineLevel="0" collapsed="false">
      <c r="B36" s="10" t="s">
        <v>168</v>
      </c>
      <c r="C36" s="51" t="n">
        <v>0.1</v>
      </c>
      <c r="F36" s="2"/>
    </row>
    <row r="37" customFormat="false" ht="15" hidden="false" customHeight="false" outlineLevel="0" collapsed="false">
      <c r="B37" s="48" t="s">
        <v>169</v>
      </c>
      <c r="C37" s="8" t="n">
        <v>708205820</v>
      </c>
      <c r="F37" s="2" t="s">
        <v>170</v>
      </c>
    </row>
    <row r="38" customFormat="false" ht="15" hidden="false" customHeight="false" outlineLevel="0" collapsed="false">
      <c r="B38" s="48" t="s">
        <v>171</v>
      </c>
      <c r="C38" s="6" t="n">
        <f aca="false">C32</f>
        <v>419066414</v>
      </c>
      <c r="F38" s="2" t="s">
        <v>172</v>
      </c>
    </row>
    <row r="39" customFormat="false" ht="15" hidden="false" customHeight="false" outlineLevel="0" collapsed="false">
      <c r="B39" s="48" t="s">
        <v>173</v>
      </c>
      <c r="C39" s="8" t="n">
        <v>208594315</v>
      </c>
      <c r="F39" s="2" t="s">
        <v>174</v>
      </c>
    </row>
    <row r="40" customFormat="false" ht="15" hidden="false" customHeight="false" outlineLevel="0" collapsed="false">
      <c r="B40" s="10" t="s">
        <v>175</v>
      </c>
      <c r="C40" s="6" t="n">
        <f aca="false">C37*C36</f>
        <v>70820582</v>
      </c>
      <c r="F40" s="2"/>
    </row>
    <row r="41" customFormat="false" ht="15" hidden="false" customHeight="false" outlineLevel="0" collapsed="false">
      <c r="B41" s="10" t="s">
        <v>176</v>
      </c>
      <c r="C41" s="6" t="n">
        <f aca="false">(C38+C39)*C36</f>
        <v>62766072.9</v>
      </c>
      <c r="F41" s="2"/>
    </row>
    <row r="42" customFormat="false" ht="15" hidden="false" customHeight="false" outlineLevel="0" collapsed="false">
      <c r="B42" s="48" t="s">
        <v>177</v>
      </c>
      <c r="C42" s="52" t="n">
        <f aca="false">C40-C41</f>
        <v>8054509.09999999</v>
      </c>
      <c r="F42" s="2" t="s">
        <v>178</v>
      </c>
    </row>
    <row r="43" customFormat="false" ht="15" hidden="false" customHeight="false" outlineLevel="0" collapsed="false">
      <c r="B43" s="10" t="s">
        <v>179</v>
      </c>
      <c r="C43" s="8" t="n">
        <v>4500000</v>
      </c>
      <c r="F43" s="22" t="s">
        <v>180</v>
      </c>
    </row>
    <row r="44" customFormat="false" ht="15" hidden="false" customHeight="false" outlineLevel="0" collapsed="false">
      <c r="B44" s="48" t="s">
        <v>181</v>
      </c>
      <c r="C44" s="6" t="n">
        <f aca="false">C42-C43</f>
        <v>3554509.09999999</v>
      </c>
      <c r="F44" s="22" t="s">
        <v>182</v>
      </c>
    </row>
    <row r="45" customFormat="false" ht="15" hidden="false" customHeight="false" outlineLevel="0" collapsed="false">
      <c r="B45" s="48" t="s">
        <v>183</v>
      </c>
      <c r="C45" s="6" t="n">
        <f aca="false">C42/4</f>
        <v>2013627.275</v>
      </c>
      <c r="F45" s="2" t="s">
        <v>184</v>
      </c>
    </row>
    <row r="46" customFormat="false" ht="15" hidden="false" customHeight="false" outlineLevel="0" collapsed="false">
      <c r="F46" s="16" t="s">
        <v>185</v>
      </c>
    </row>
    <row r="48" customFormat="false" ht="15" hidden="false" customHeight="false" outlineLevel="0" collapsed="false">
      <c r="B48" s="3" t="s">
        <v>186</v>
      </c>
      <c r="C48" s="4"/>
      <c r="D48" s="4"/>
      <c r="E48" s="4"/>
      <c r="F48" s="4"/>
      <c r="G48" s="4"/>
    </row>
    <row r="49" customFormat="false" ht="15" hidden="false" customHeight="false" outlineLevel="0" collapsed="false">
      <c r="B49" s="10" t="s">
        <v>187</v>
      </c>
      <c r="C49" s="8" t="n">
        <v>730535360</v>
      </c>
      <c r="F49" s="22" t="s">
        <v>188</v>
      </c>
    </row>
    <row r="50" customFormat="false" ht="15" hidden="false" customHeight="false" outlineLevel="0" collapsed="false">
      <c r="B50" s="10" t="s">
        <v>189</v>
      </c>
      <c r="C50" s="6" t="n">
        <f aca="false">C20</f>
        <v>132500000</v>
      </c>
    </row>
    <row r="51" customFormat="false" ht="15" hidden="false" customHeight="false" outlineLevel="0" collapsed="false">
      <c r="B51" s="10" t="s">
        <v>190</v>
      </c>
      <c r="C51" s="51" t="n">
        <v>0.3</v>
      </c>
      <c r="F51" s="2" t="s">
        <v>191</v>
      </c>
    </row>
    <row r="52" customFormat="false" ht="15" hidden="false" customHeight="false" outlineLevel="0" collapsed="false">
      <c r="B52" s="10" t="s">
        <v>192</v>
      </c>
      <c r="C52" s="8" t="n">
        <v>300000000</v>
      </c>
      <c r="F52" s="22" t="s">
        <v>193</v>
      </c>
    </row>
    <row r="54" customFormat="false" ht="15" hidden="false" customHeight="false" outlineLevel="0" collapsed="false">
      <c r="B54" s="41" t="s">
        <v>194</v>
      </c>
      <c r="C54" s="53"/>
      <c r="D54" s="53"/>
      <c r="E54" s="53"/>
      <c r="F54" s="53"/>
    </row>
    <row r="55" customFormat="false" ht="15" hidden="false" customHeight="false" outlineLevel="0" collapsed="false">
      <c r="B55" s="10" t="s">
        <v>195</v>
      </c>
      <c r="C55" s="6" t="n">
        <f aca="false">C49</f>
        <v>730535360</v>
      </c>
    </row>
    <row r="56" customFormat="false" ht="15" hidden="false" customHeight="false" outlineLevel="0" collapsed="false">
      <c r="B56" s="10" t="s">
        <v>196</v>
      </c>
      <c r="C56" s="6" t="n">
        <f aca="false">C55-C6*12</f>
        <v>341394592</v>
      </c>
    </row>
    <row r="57" customFormat="false" ht="15" hidden="false" customHeight="false" outlineLevel="0" collapsed="false">
      <c r="B57" s="10" t="s">
        <v>197</v>
      </c>
      <c r="C57" s="6" t="n">
        <f aca="false">C56*C51</f>
        <v>102418377.6</v>
      </c>
    </row>
    <row r="58" customFormat="false" ht="15" hidden="false" customHeight="false" outlineLevel="0" collapsed="false">
      <c r="B58" s="10" t="s">
        <v>198</v>
      </c>
      <c r="C58" s="52" t="n">
        <f aca="false">C7*12+C57+C50</f>
        <v>435520305.6</v>
      </c>
    </row>
    <row r="59" customFormat="false" ht="15" hidden="false" customHeight="false" outlineLevel="0" collapsed="false">
      <c r="B59" s="10" t="s">
        <v>199</v>
      </c>
      <c r="C59" s="6" t="n">
        <f aca="false">C55+C50</f>
        <v>863035360</v>
      </c>
    </row>
    <row r="60" customFormat="false" ht="15" hidden="false" customHeight="false" outlineLevel="0" collapsed="false">
      <c r="B60" s="10" t="s">
        <v>200</v>
      </c>
      <c r="C60" s="54" t="n">
        <f aca="false">C58/C59</f>
        <v>0.504637846588348</v>
      </c>
    </row>
    <row r="61" customFormat="false" ht="15" hidden="false" customHeight="false" outlineLevel="0" collapsed="false">
      <c r="B61" s="41" t="s">
        <v>201</v>
      </c>
      <c r="C61" s="53"/>
      <c r="D61" s="53"/>
      <c r="E61" s="53"/>
      <c r="F61" s="53"/>
    </row>
    <row r="62" customFormat="false" ht="15" hidden="false" customHeight="false" outlineLevel="0" collapsed="false">
      <c r="B62" s="10" t="s">
        <v>195</v>
      </c>
      <c r="C62" s="6" t="n">
        <f aca="false">C49+C52</f>
        <v>1030535360</v>
      </c>
    </row>
    <row r="63" customFormat="false" ht="15" hidden="false" customHeight="false" outlineLevel="0" collapsed="false">
      <c r="B63" s="10" t="s">
        <v>196</v>
      </c>
      <c r="C63" s="6" t="n">
        <f aca="false">C62-C6*12</f>
        <v>641394592</v>
      </c>
    </row>
    <row r="64" customFormat="false" ht="15" hidden="false" customHeight="false" outlineLevel="0" collapsed="false">
      <c r="B64" s="10" t="s">
        <v>197</v>
      </c>
      <c r="C64" s="6" t="n">
        <f aca="false">C63*C51</f>
        <v>192418377.6</v>
      </c>
    </row>
    <row r="65" customFormat="false" ht="15" hidden="false" customHeight="false" outlineLevel="0" collapsed="false">
      <c r="B65" s="10" t="s">
        <v>198</v>
      </c>
      <c r="C65" s="52" t="n">
        <f aca="false">C7*12+C64+C50</f>
        <v>525520305.6</v>
      </c>
    </row>
    <row r="66" customFormat="false" ht="15" hidden="false" customHeight="false" outlineLevel="0" collapsed="false">
      <c r="B66" s="10" t="s">
        <v>199</v>
      </c>
      <c r="C66" s="6" t="n">
        <f aca="false">C62+C50</f>
        <v>1163035360</v>
      </c>
    </row>
    <row r="67" customFormat="false" ht="15" hidden="false" customHeight="false" outlineLevel="0" collapsed="false">
      <c r="B67" s="10" t="s">
        <v>200</v>
      </c>
      <c r="C67" s="54" t="n">
        <f aca="false">C65/C66</f>
        <v>0.451852388735627</v>
      </c>
    </row>
    <row r="69" customFormat="false" ht="15" hidden="false" customHeight="false" outlineLevel="0" collapsed="false">
      <c r="F69" s="46" t="s">
        <v>202</v>
      </c>
    </row>
    <row r="70" customFormat="false" ht="15" hidden="false" customHeight="false" outlineLevel="0" collapsed="false">
      <c r="F70" s="46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15" min="4" style="0" width="13"/>
    <col collapsed="false" customWidth="true" hidden="false" outlineLevel="0" max="16" min="16" style="0" width="16"/>
  </cols>
  <sheetData>
    <row r="1" customFormat="false" ht="17.15" hidden="false" customHeight="false" outlineLevel="0" collapsed="false">
      <c r="B1" s="36" t="s">
        <v>204</v>
      </c>
    </row>
    <row r="2" customFormat="false" ht="15" hidden="false" customHeight="false" outlineLevel="0" collapsed="false">
      <c r="B2" s="22" t="s">
        <v>205</v>
      </c>
    </row>
    <row r="4" customFormat="false" ht="30" hidden="false" customHeight="true" outlineLevel="0" collapsed="false">
      <c r="B4" s="29" t="s">
        <v>33</v>
      </c>
      <c r="C4" s="30" t="s">
        <v>206</v>
      </c>
      <c r="D4" s="37" t="s">
        <v>207</v>
      </c>
      <c r="E4" s="37" t="s">
        <v>208</v>
      </c>
      <c r="F4" s="37" t="s">
        <v>209</v>
      </c>
      <c r="G4" s="37" t="s">
        <v>210</v>
      </c>
      <c r="H4" s="37" t="s">
        <v>211</v>
      </c>
      <c r="I4" s="37" t="s">
        <v>212</v>
      </c>
      <c r="J4" s="37" t="s">
        <v>213</v>
      </c>
      <c r="K4" s="37" t="s">
        <v>214</v>
      </c>
      <c r="L4" s="37" t="s">
        <v>215</v>
      </c>
      <c r="M4" s="37" t="s">
        <v>216</v>
      </c>
      <c r="N4" s="37" t="s">
        <v>217</v>
      </c>
      <c r="O4" s="37" t="s">
        <v>218</v>
      </c>
      <c r="P4" s="44" t="s">
        <v>219</v>
      </c>
    </row>
    <row r="5" customFormat="false" ht="15" hidden="false" customHeight="false" outlineLevel="0" collapsed="false">
      <c r="B5" s="41" t="s">
        <v>220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</row>
    <row r="6" customFormat="false" ht="15" hidden="false" customHeight="false" outlineLevel="0" collapsed="false">
      <c r="B6" s="10" t="s">
        <v>39</v>
      </c>
      <c r="C6" s="55" t="n">
        <f aca="false">②前提!$C$6</f>
        <v>32428397.3333333</v>
      </c>
      <c r="D6" s="21" t="n">
        <f aca="false">$C$6</f>
        <v>32428397.3333333</v>
      </c>
      <c r="E6" s="21" t="n">
        <f aca="false">$C$6</f>
        <v>32428397.3333333</v>
      </c>
      <c r="F6" s="21" t="n">
        <f aca="false">$C$6</f>
        <v>32428397.3333333</v>
      </c>
      <c r="G6" s="21" t="n">
        <f aca="false">$C$6</f>
        <v>32428397.3333333</v>
      </c>
      <c r="H6" s="21" t="n">
        <f aca="false">$C$6</f>
        <v>32428397.3333333</v>
      </c>
      <c r="I6" s="21" t="n">
        <f aca="false">$C$6</f>
        <v>32428397.3333333</v>
      </c>
      <c r="J6" s="21" t="n">
        <f aca="false">$C$6</f>
        <v>32428397.3333333</v>
      </c>
      <c r="K6" s="21" t="n">
        <f aca="false">$C$6</f>
        <v>32428397.3333333</v>
      </c>
      <c r="L6" s="21" t="n">
        <f aca="false">$C$6</f>
        <v>32428397.3333333</v>
      </c>
      <c r="M6" s="21" t="n">
        <f aca="false">$C$6</f>
        <v>32428397.3333333</v>
      </c>
      <c r="N6" s="21" t="n">
        <f aca="false">$C$6</f>
        <v>32428397.3333333</v>
      </c>
      <c r="O6" s="21" t="n">
        <f aca="false">$C$6</f>
        <v>32428397.3333333</v>
      </c>
      <c r="P6" s="6" t="n">
        <f aca="false">SUM(D6:O6)</f>
        <v>389140768</v>
      </c>
    </row>
    <row r="7" customFormat="false" ht="15" hidden="false" customHeight="false" outlineLevel="0" collapsed="false">
      <c r="B7" s="10" t="s">
        <v>221</v>
      </c>
      <c r="C7" s="55" t="n">
        <f aca="false">IF(②前提!$C$30=3,②前提!$C$63/12,IF(②前提!$C$30=2,②前提!$C$56/12,0))</f>
        <v>28449549.3333333</v>
      </c>
      <c r="D7" s="55" t="n">
        <f aca="false">IF(②前提!$C$30=3,②前提!$C$63/12,IF(②前提!$C$30=2,②前提!$C$56/12,0))</f>
        <v>28449549.3333333</v>
      </c>
      <c r="E7" s="55" t="n">
        <f aca="false">IF(②前提!$C$30=3,②前提!$C$63/12,IF(②前提!$C$30=2,②前提!$C$56/12,0))</f>
        <v>28449549.3333333</v>
      </c>
      <c r="F7" s="55" t="n">
        <f aca="false">IF(②前提!$C$30=3,②前提!$C$63/12,IF(②前提!$C$30=2,②前提!$C$56/12,0))</f>
        <v>28449549.3333333</v>
      </c>
      <c r="G7" s="55" t="n">
        <f aca="false">IF(②前提!$C$30=3,②前提!$C$63/12,IF(②前提!$C$30=2,②前提!$C$56/12,0))</f>
        <v>28449549.3333333</v>
      </c>
      <c r="H7" s="55" t="n">
        <f aca="false">IF(②前提!$C$30=3,②前提!$C$63/12,IF(②前提!$C$30=2,②前提!$C$56/12,0))</f>
        <v>28449549.3333333</v>
      </c>
      <c r="I7" s="55" t="n">
        <f aca="false">IF(②前提!$C$30=3,②前提!$C$63/12,IF(②前提!$C$30=2,②前提!$C$56/12,0))</f>
        <v>28449549.3333333</v>
      </c>
      <c r="J7" s="55" t="n">
        <f aca="false">IF(②前提!$C$30=3,②前提!$C$63/12,IF(②前提!$C$30=2,②前提!$C$56/12,0))</f>
        <v>28449549.3333333</v>
      </c>
      <c r="K7" s="55" t="n">
        <f aca="false">IF(②前提!$C$30=3,②前提!$C$63/12,IF(②前提!$C$30=2,②前提!$C$56/12,0))</f>
        <v>28449549.3333333</v>
      </c>
      <c r="L7" s="55" t="n">
        <f aca="false">IF(②前提!$C$30=3,②前提!$C$63/12,IF(②前提!$C$30=2,②前提!$C$56/12,0))</f>
        <v>28449549.3333333</v>
      </c>
      <c r="M7" s="55" t="n">
        <f aca="false">IF(②前提!$C$30=3,②前提!$C$63/12,IF(②前提!$C$30=2,②前提!$C$56/12,0))</f>
        <v>28449549.3333333</v>
      </c>
      <c r="N7" s="55" t="n">
        <f aca="false">IF(②前提!$C$30=3,②前提!$C$63/12,IF(②前提!$C$30=2,②前提!$C$56/12,0))</f>
        <v>28449549.3333333</v>
      </c>
      <c r="O7" s="55" t="n">
        <f aca="false">IF(②前提!$C$30=3,②前提!$C$63/12,IF(②前提!$C$30=2,②前提!$C$56/12,0))</f>
        <v>28449549.3333333</v>
      </c>
      <c r="P7" s="6" t="n">
        <f aca="false">SUM(D7:O7)</f>
        <v>341394592</v>
      </c>
    </row>
    <row r="8" customFormat="false" ht="15" hidden="false" customHeight="false" outlineLevel="0" collapsed="false">
      <c r="B8" s="40" t="s">
        <v>222</v>
      </c>
      <c r="C8" s="6" t="n">
        <f aca="false">C6+C7</f>
        <v>60877946.6666667</v>
      </c>
      <c r="D8" s="6" t="n">
        <f aca="false">D6+D7</f>
        <v>60877946.6666667</v>
      </c>
      <c r="E8" s="6" t="n">
        <f aca="false">E6+E7</f>
        <v>60877946.6666667</v>
      </c>
      <c r="F8" s="6" t="n">
        <f aca="false">F6+F7</f>
        <v>60877946.6666667</v>
      </c>
      <c r="G8" s="6" t="n">
        <f aca="false">G6+G7</f>
        <v>60877946.6666667</v>
      </c>
      <c r="H8" s="6" t="n">
        <f aca="false">H6+H7</f>
        <v>60877946.6666667</v>
      </c>
      <c r="I8" s="6" t="n">
        <f aca="false">I6+I7</f>
        <v>60877946.6666667</v>
      </c>
      <c r="J8" s="6" t="n">
        <f aca="false">J6+J7</f>
        <v>60877946.6666667</v>
      </c>
      <c r="K8" s="6" t="n">
        <f aca="false">K6+K7</f>
        <v>60877946.6666667</v>
      </c>
      <c r="L8" s="6" t="n">
        <f aca="false">L6+L7</f>
        <v>60877946.6666667</v>
      </c>
      <c r="M8" s="6" t="n">
        <f aca="false">M6+M7</f>
        <v>60877946.6666667</v>
      </c>
      <c r="N8" s="6" t="n">
        <f aca="false">N6+N7</f>
        <v>60877946.6666667</v>
      </c>
      <c r="O8" s="6" t="n">
        <f aca="false">O6+O7</f>
        <v>60877946.6666667</v>
      </c>
      <c r="P8" s="6" t="n">
        <f aca="false">SUM(D8:O8)</f>
        <v>730535360</v>
      </c>
    </row>
    <row r="9" customFormat="false" ht="15" hidden="false" customHeight="false" outlineLevel="0" collapsed="false">
      <c r="B9" s="10" t="s">
        <v>223</v>
      </c>
      <c r="C9" s="55" t="n">
        <f aca="false">C8-C10-C11</f>
        <v>35626254.5333333</v>
      </c>
      <c r="D9" s="21" t="n">
        <f aca="false">D8-D10-D11</f>
        <v>35626254.5333333</v>
      </c>
      <c r="E9" s="21" t="n">
        <f aca="false">E8-E10-E11</f>
        <v>35626254.5333333</v>
      </c>
      <c r="F9" s="21" t="n">
        <f aca="false">F8-F10-F11</f>
        <v>35626254.5333333</v>
      </c>
      <c r="G9" s="21" t="n">
        <f aca="false">G8-G10-G11</f>
        <v>35626254.5333333</v>
      </c>
      <c r="H9" s="21" t="n">
        <f aca="false">H8-H10-H11</f>
        <v>35626254.5333333</v>
      </c>
      <c r="I9" s="21" t="n">
        <f aca="false">I8-I10-I11</f>
        <v>35626254.5333333</v>
      </c>
      <c r="J9" s="21" t="n">
        <f aca="false">J8-J10-J11</f>
        <v>35626254.5333333</v>
      </c>
      <c r="K9" s="21" t="n">
        <f aca="false">K8-K10-K11</f>
        <v>35626254.5333333</v>
      </c>
      <c r="L9" s="21" t="n">
        <f aca="false">L8-L10-L11</f>
        <v>35626254.5333333</v>
      </c>
      <c r="M9" s="21" t="n">
        <f aca="false">M8-M10-M11</f>
        <v>35626254.5333333</v>
      </c>
      <c r="N9" s="21" t="n">
        <f aca="false">N8-N10-N11</f>
        <v>35626254.5333333</v>
      </c>
      <c r="O9" s="21" t="n">
        <f aca="false">O8-O10-O11</f>
        <v>35626254.5333333</v>
      </c>
      <c r="P9" s="6" t="n">
        <f aca="false">SUM(D9:O9)</f>
        <v>427515054.4</v>
      </c>
    </row>
    <row r="10" customFormat="false" ht="15" hidden="false" customHeight="false" outlineLevel="0" collapsed="false">
      <c r="B10" s="10" t="s">
        <v>224</v>
      </c>
      <c r="C10" s="55" t="n">
        <f aca="false">②前提!$C$7</f>
        <v>16716827.3333333</v>
      </c>
      <c r="D10" s="21" t="n">
        <f aca="false">$C$10</f>
        <v>16716827.3333333</v>
      </c>
      <c r="E10" s="21" t="n">
        <f aca="false">$C$10</f>
        <v>16716827.3333333</v>
      </c>
      <c r="F10" s="21" t="n">
        <f aca="false">$C$10</f>
        <v>16716827.3333333</v>
      </c>
      <c r="G10" s="21" t="n">
        <f aca="false">$C$10</f>
        <v>16716827.3333333</v>
      </c>
      <c r="H10" s="21" t="n">
        <f aca="false">$C$10</f>
        <v>16716827.3333333</v>
      </c>
      <c r="I10" s="21" t="n">
        <f aca="false">$C$10</f>
        <v>16716827.3333333</v>
      </c>
      <c r="J10" s="21" t="n">
        <f aca="false">$C$10</f>
        <v>16716827.3333333</v>
      </c>
      <c r="K10" s="21" t="n">
        <f aca="false">$C$10</f>
        <v>16716827.3333333</v>
      </c>
      <c r="L10" s="21" t="n">
        <f aca="false">$C$10</f>
        <v>16716827.3333333</v>
      </c>
      <c r="M10" s="21" t="n">
        <f aca="false">$C$10</f>
        <v>16716827.3333333</v>
      </c>
      <c r="N10" s="21" t="n">
        <f aca="false">$C$10</f>
        <v>16716827.3333333</v>
      </c>
      <c r="O10" s="21" t="n">
        <f aca="false">$C$10</f>
        <v>16716827.3333333</v>
      </c>
      <c r="P10" s="6" t="n">
        <f aca="false">SUM(D10:O10)</f>
        <v>200601928</v>
      </c>
    </row>
    <row r="11" customFormat="false" ht="15" hidden="false" customHeight="false" outlineLevel="0" collapsed="false">
      <c r="B11" s="10" t="s">
        <v>225</v>
      </c>
      <c r="C11" s="55" t="n">
        <f aca="false">C7*②前提!$C$51</f>
        <v>8534864.8</v>
      </c>
      <c r="D11" s="55" t="n">
        <f aca="false">D7*②前提!$C$51</f>
        <v>8534864.8</v>
      </c>
      <c r="E11" s="55" t="n">
        <f aca="false">E7*②前提!$C$51</f>
        <v>8534864.8</v>
      </c>
      <c r="F11" s="55" t="n">
        <f aca="false">F7*②前提!$C$51</f>
        <v>8534864.8</v>
      </c>
      <c r="G11" s="55" t="n">
        <f aca="false">G7*②前提!$C$51</f>
        <v>8534864.8</v>
      </c>
      <c r="H11" s="55" t="n">
        <f aca="false">H7*②前提!$C$51</f>
        <v>8534864.8</v>
      </c>
      <c r="I11" s="55" t="n">
        <f aca="false">I7*②前提!$C$51</f>
        <v>8534864.8</v>
      </c>
      <c r="J11" s="55" t="n">
        <f aca="false">J7*②前提!$C$51</f>
        <v>8534864.8</v>
      </c>
      <c r="K11" s="55" t="n">
        <f aca="false">K7*②前提!$C$51</f>
        <v>8534864.8</v>
      </c>
      <c r="L11" s="55" t="n">
        <f aca="false">L7*②前提!$C$51</f>
        <v>8534864.8</v>
      </c>
      <c r="M11" s="55" t="n">
        <f aca="false">M7*②前提!$C$51</f>
        <v>8534864.8</v>
      </c>
      <c r="N11" s="55" t="n">
        <f aca="false">N7*②前提!$C$51</f>
        <v>8534864.8</v>
      </c>
      <c r="O11" s="55" t="n">
        <f aca="false">O7*②前提!$C$51</f>
        <v>8534864.8</v>
      </c>
      <c r="P11" s="6" t="n">
        <f aca="false">SUM(D11:O11)</f>
        <v>102418377.6</v>
      </c>
    </row>
    <row r="12" customFormat="false" ht="15" hidden="false" customHeight="false" outlineLevel="0" collapsed="false">
      <c r="B12" s="10" t="s">
        <v>226</v>
      </c>
      <c r="C12" s="55" t="n">
        <f aca="false">②前提!$C$13/12</f>
        <v>6666666.66666667</v>
      </c>
      <c r="D12" s="21" t="n">
        <f aca="false">$C$12</f>
        <v>6666666.66666667</v>
      </c>
      <c r="E12" s="21" t="n">
        <f aca="false">$C$12</f>
        <v>6666666.66666667</v>
      </c>
      <c r="F12" s="21" t="n">
        <f aca="false">$C$12</f>
        <v>6666666.66666667</v>
      </c>
      <c r="G12" s="21" t="n">
        <f aca="false">$C$12</f>
        <v>6666666.66666667</v>
      </c>
      <c r="H12" s="21" t="n">
        <f aca="false">$C$12</f>
        <v>6666666.66666667</v>
      </c>
      <c r="I12" s="21" t="n">
        <f aca="false">$C$12</f>
        <v>6666666.66666667</v>
      </c>
      <c r="J12" s="21" t="n">
        <f aca="false">$C$12</f>
        <v>6666666.66666667</v>
      </c>
      <c r="K12" s="21" t="n">
        <f aca="false">$C$12</f>
        <v>6666666.66666667</v>
      </c>
      <c r="L12" s="21" t="n">
        <f aca="false">$C$12</f>
        <v>6666666.66666667</v>
      </c>
      <c r="M12" s="21" t="n">
        <f aca="false">$C$12</f>
        <v>6666666.66666667</v>
      </c>
      <c r="N12" s="21" t="n">
        <f aca="false">$C$12</f>
        <v>6666666.66666667</v>
      </c>
      <c r="O12" s="21" t="n">
        <f aca="false">$C$12</f>
        <v>6666666.66666667</v>
      </c>
      <c r="P12" s="6" t="n">
        <f aca="false">SUM(D12:O12)</f>
        <v>80000000</v>
      </c>
    </row>
    <row r="13" customFormat="false" ht="15" hidden="false" customHeight="false" outlineLevel="0" collapsed="false">
      <c r="B13" s="10" t="s">
        <v>227</v>
      </c>
      <c r="C13" s="55" t="n">
        <f aca="false">②前提!$C$14/12</f>
        <v>208333.333333333</v>
      </c>
      <c r="D13" s="21" t="n">
        <f aca="false">$C$13</f>
        <v>208333.333333333</v>
      </c>
      <c r="E13" s="21" t="n">
        <f aca="false">$C$13</f>
        <v>208333.333333333</v>
      </c>
      <c r="F13" s="21" t="n">
        <f aca="false">$C$13</f>
        <v>208333.333333333</v>
      </c>
      <c r="G13" s="21" t="n">
        <f aca="false">$C$13</f>
        <v>208333.333333333</v>
      </c>
      <c r="H13" s="21" t="n">
        <f aca="false">$C$13</f>
        <v>208333.333333333</v>
      </c>
      <c r="I13" s="21" t="n">
        <f aca="false">$C$13</f>
        <v>208333.333333333</v>
      </c>
      <c r="J13" s="21" t="n">
        <f aca="false">$C$13</f>
        <v>208333.333333333</v>
      </c>
      <c r="K13" s="21" t="n">
        <f aca="false">$C$13</f>
        <v>208333.333333333</v>
      </c>
      <c r="L13" s="21" t="n">
        <f aca="false">$C$13</f>
        <v>208333.333333333</v>
      </c>
      <c r="M13" s="21" t="n">
        <f aca="false">$C$13</f>
        <v>208333.333333333</v>
      </c>
      <c r="N13" s="21" t="n">
        <f aca="false">$C$13</f>
        <v>208333.333333333</v>
      </c>
      <c r="O13" s="21" t="n">
        <f aca="false">$C$13</f>
        <v>208333.333333333</v>
      </c>
      <c r="P13" s="6" t="n">
        <f aca="false">SUM(D13:O13)</f>
        <v>2500000</v>
      </c>
    </row>
    <row r="14" customFormat="false" ht="15" hidden="false" customHeight="false" outlineLevel="0" collapsed="false">
      <c r="B14" s="10" t="s">
        <v>228</v>
      </c>
      <c r="C14" s="55" t="n">
        <f aca="false">②前提!$C$15/12</f>
        <v>833333.333333333</v>
      </c>
      <c r="D14" s="21" t="n">
        <f aca="false">$C$14</f>
        <v>833333.333333333</v>
      </c>
      <c r="E14" s="21" t="n">
        <f aca="false">$C$14</f>
        <v>833333.333333333</v>
      </c>
      <c r="F14" s="21" t="n">
        <f aca="false">$C$14</f>
        <v>833333.333333333</v>
      </c>
      <c r="G14" s="21" t="n">
        <f aca="false">$C$14</f>
        <v>833333.333333333</v>
      </c>
      <c r="H14" s="21" t="n">
        <f aca="false">$C$14</f>
        <v>833333.333333333</v>
      </c>
      <c r="I14" s="21" t="n">
        <f aca="false">$C$14</f>
        <v>833333.333333333</v>
      </c>
      <c r="J14" s="21" t="n">
        <f aca="false">$C$14</f>
        <v>833333.333333333</v>
      </c>
      <c r="K14" s="21" t="n">
        <f aca="false">$C$14</f>
        <v>833333.333333333</v>
      </c>
      <c r="L14" s="21" t="n">
        <f aca="false">$C$14</f>
        <v>833333.333333333</v>
      </c>
      <c r="M14" s="21" t="n">
        <f aca="false">$C$14</f>
        <v>833333.333333333</v>
      </c>
      <c r="N14" s="21" t="n">
        <f aca="false">$C$14</f>
        <v>833333.333333333</v>
      </c>
      <c r="O14" s="21" t="n">
        <f aca="false">$C$14</f>
        <v>833333.333333333</v>
      </c>
      <c r="P14" s="6" t="n">
        <f aca="false">SUM(D14:O14)</f>
        <v>10000000</v>
      </c>
    </row>
    <row r="15" customFormat="false" ht="15" hidden="false" customHeight="false" outlineLevel="0" collapsed="false">
      <c r="B15" s="10" t="s">
        <v>229</v>
      </c>
      <c r="D15" s="21" t="n">
        <f aca="false">IF(1=②前提!$C$25,②前提!$C$16,0)</f>
        <v>0</v>
      </c>
      <c r="E15" s="21" t="n">
        <f aca="false">IF(2=②前提!$C$25,②前提!$C$16,0)</f>
        <v>0</v>
      </c>
      <c r="F15" s="21" t="n">
        <f aca="false">IF(3=②前提!$C$25,②前提!$C$16,0)</f>
        <v>0</v>
      </c>
      <c r="G15" s="21" t="n">
        <f aca="false">IF(4=②前提!$C$25,②前提!$C$16,0)</f>
        <v>0</v>
      </c>
      <c r="H15" s="21" t="n">
        <f aca="false">IF(5=②前提!$C$25,②前提!$C$16,0)</f>
        <v>0</v>
      </c>
      <c r="I15" s="21" t="n">
        <f aca="false">IF(6=②前提!$C$25,②前提!$C$16,0)</f>
        <v>20000000</v>
      </c>
      <c r="J15" s="21" t="n">
        <f aca="false">IF(7=②前提!$C$25,②前提!$C$16,0)</f>
        <v>0</v>
      </c>
      <c r="K15" s="21" t="n">
        <f aca="false">IF(8=②前提!$C$25,②前提!$C$16,0)</f>
        <v>0</v>
      </c>
      <c r="L15" s="21" t="n">
        <f aca="false">IF(9=②前提!$C$25,②前提!$C$16,0)</f>
        <v>0</v>
      </c>
      <c r="M15" s="21" t="n">
        <f aca="false">IF(10=②前提!$C$25,②前提!$C$16,0)</f>
        <v>0</v>
      </c>
      <c r="N15" s="21" t="n">
        <f aca="false">IF(11=②前提!$C$25,②前提!$C$16,0)</f>
        <v>0</v>
      </c>
      <c r="O15" s="21" t="n">
        <f aca="false">IF(12=②前提!$C$25,②前提!$C$16,0)</f>
        <v>0</v>
      </c>
      <c r="P15" s="6" t="n">
        <f aca="false">SUM(D15:O15)</f>
        <v>20000000</v>
      </c>
    </row>
    <row r="16" customFormat="false" ht="15" hidden="false" customHeight="false" outlineLevel="0" collapsed="false">
      <c r="B16" s="10" t="s">
        <v>230</v>
      </c>
      <c r="D16" s="21" t="n">
        <f aca="false">IF(1=②前提!$C$26,②前提!$C$17,0)+IF(1=②前提!$C$27,②前提!$C$18,0)</f>
        <v>0</v>
      </c>
      <c r="E16" s="21" t="n">
        <f aca="false">IF(2=②前提!$C$26,②前提!$C$17,0)+IF(2=②前提!$C$27,②前提!$C$18,0)</f>
        <v>0</v>
      </c>
      <c r="F16" s="21" t="n">
        <f aca="false">IF(3=②前提!$C$26,②前提!$C$17,0)+IF(3=②前提!$C$27,②前提!$C$18,0)</f>
        <v>0</v>
      </c>
      <c r="G16" s="21" t="n">
        <f aca="false">IF(4=②前提!$C$26,②前提!$C$17,0)+IF(4=②前提!$C$27,②前提!$C$18,0)</f>
        <v>0</v>
      </c>
      <c r="H16" s="21" t="n">
        <f aca="false">IF(5=②前提!$C$26,②前提!$C$17,0)+IF(5=②前提!$C$27,②前提!$C$18,0)</f>
        <v>0</v>
      </c>
      <c r="I16" s="21" t="n">
        <f aca="false">IF(6=②前提!$C$26,②前提!$C$17,0)+IF(6=②前提!$C$27,②前提!$C$18,0)</f>
        <v>10000000</v>
      </c>
      <c r="J16" s="21" t="n">
        <f aca="false">IF(7=②前提!$C$26,②前提!$C$17,0)+IF(7=②前提!$C$27,②前提!$C$18,0)</f>
        <v>0</v>
      </c>
      <c r="K16" s="21" t="n">
        <f aca="false">IF(8=②前提!$C$26,②前提!$C$17,0)+IF(8=②前提!$C$27,②前提!$C$18,0)</f>
        <v>0</v>
      </c>
      <c r="L16" s="21" t="n">
        <f aca="false">IF(9=②前提!$C$26,②前提!$C$17,0)+IF(9=②前提!$C$27,②前提!$C$18,0)</f>
        <v>0</v>
      </c>
      <c r="M16" s="21" t="n">
        <f aca="false">IF(10=②前提!$C$26,②前提!$C$17,0)+IF(10=②前提!$C$27,②前提!$C$18,0)</f>
        <v>0</v>
      </c>
      <c r="N16" s="21" t="n">
        <f aca="false">IF(11=②前提!$C$26,②前提!$C$17,0)+IF(11=②前提!$C$27,②前提!$C$18,0)</f>
        <v>0</v>
      </c>
      <c r="O16" s="21" t="n">
        <f aca="false">IF(12=②前提!$C$26,②前提!$C$17,0)+IF(12=②前提!$C$27,②前提!$C$18,0)</f>
        <v>10000000</v>
      </c>
      <c r="P16" s="6" t="n">
        <f aca="false">SUM(D16:O16)</f>
        <v>20000000</v>
      </c>
    </row>
    <row r="17" customFormat="false" ht="15" hidden="false" customHeight="false" outlineLevel="0" collapsed="false">
      <c r="B17" s="23" t="s">
        <v>47</v>
      </c>
      <c r="C17" s="24" t="n">
        <f aca="false">C10+C11+SUM(C12:C14)</f>
        <v>32960025.4666667</v>
      </c>
      <c r="D17" s="24" t="n">
        <f aca="false">D10+D11+SUM(D12:D16)</f>
        <v>32960025.4666667</v>
      </c>
      <c r="E17" s="24" t="n">
        <f aca="false">E10+E11+SUM(E12:E16)</f>
        <v>32960025.4666667</v>
      </c>
      <c r="F17" s="24" t="n">
        <f aca="false">F10+F11+SUM(F12:F16)</f>
        <v>32960025.4666667</v>
      </c>
      <c r="G17" s="24" t="n">
        <f aca="false">G10+G11+SUM(G12:G16)</f>
        <v>32960025.4666667</v>
      </c>
      <c r="H17" s="24" t="n">
        <f aca="false">H10+H11+SUM(H12:H16)</f>
        <v>32960025.4666667</v>
      </c>
      <c r="I17" s="24" t="n">
        <f aca="false">I10+I11+SUM(I12:I16)</f>
        <v>62960025.4666667</v>
      </c>
      <c r="J17" s="24" t="n">
        <f aca="false">J10+J11+SUM(J12:J16)</f>
        <v>32960025.4666667</v>
      </c>
      <c r="K17" s="24" t="n">
        <f aca="false">K10+K11+SUM(K12:K16)</f>
        <v>32960025.4666667</v>
      </c>
      <c r="L17" s="24" t="n">
        <f aca="false">L10+L11+SUM(L12:L16)</f>
        <v>32960025.4666667</v>
      </c>
      <c r="M17" s="24" t="n">
        <f aca="false">M10+M11+SUM(M12:M16)</f>
        <v>32960025.4666667</v>
      </c>
      <c r="N17" s="24" t="n">
        <f aca="false">N10+N11+SUM(N12:N16)</f>
        <v>32960025.4666667</v>
      </c>
      <c r="O17" s="24" t="n">
        <f aca="false">O10+O11+SUM(O12:O16)</f>
        <v>42960025.4666667</v>
      </c>
      <c r="P17" s="24" t="n">
        <f aca="false">SUM(D17:O17)</f>
        <v>435520305.6</v>
      </c>
    </row>
    <row r="19" customFormat="false" ht="15" hidden="false" customHeight="false" outlineLevel="0" collapsed="false">
      <c r="B19" s="41" t="s">
        <v>231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customFormat="false" ht="15" hidden="false" customHeight="false" outlineLevel="0" collapsed="false">
      <c r="B20" s="10" t="s">
        <v>95</v>
      </c>
      <c r="C20" s="55" t="n">
        <f aca="false">AVERAGE(④FY2026月次実績!I11:K11)</f>
        <v>2104000</v>
      </c>
      <c r="D20" s="21" t="n">
        <f aca="false">$C$20</f>
        <v>2104000</v>
      </c>
      <c r="E20" s="21" t="n">
        <f aca="false">$C$20</f>
        <v>2104000</v>
      </c>
      <c r="F20" s="21" t="n">
        <f aca="false">$C$20</f>
        <v>2104000</v>
      </c>
      <c r="G20" s="21" t="n">
        <f aca="false">$C$20</f>
        <v>2104000</v>
      </c>
      <c r="H20" s="21" t="n">
        <f aca="false">$C$20</f>
        <v>2104000</v>
      </c>
      <c r="I20" s="21" t="n">
        <f aca="false">$C$20</f>
        <v>2104000</v>
      </c>
      <c r="J20" s="21" t="n">
        <f aca="false">$C$20</f>
        <v>2104000</v>
      </c>
      <c r="K20" s="21" t="n">
        <f aca="false">$C$20</f>
        <v>2104000</v>
      </c>
      <c r="L20" s="21" t="n">
        <f aca="false">$C$20</f>
        <v>2104000</v>
      </c>
      <c r="M20" s="21" t="n">
        <f aca="false">$C$20</f>
        <v>2104000</v>
      </c>
      <c r="N20" s="21" t="n">
        <f aca="false">$C$20</f>
        <v>2104000</v>
      </c>
      <c r="O20" s="21" t="n">
        <f aca="false">$C$20</f>
        <v>2104000</v>
      </c>
      <c r="P20" s="6" t="n">
        <f aca="false">SUM(D20:O20)</f>
        <v>25248000</v>
      </c>
    </row>
    <row r="21" customFormat="false" ht="15" hidden="false" customHeight="false" outlineLevel="0" collapsed="false">
      <c r="B21" s="10" t="s">
        <v>96</v>
      </c>
      <c r="C21" s="55" t="n">
        <f aca="false">AVERAGE(④FY2026月次実績!I12:K12)</f>
        <v>2844602</v>
      </c>
      <c r="D21" s="21" t="n">
        <f aca="false">$C$21</f>
        <v>2844602</v>
      </c>
      <c r="E21" s="21" t="n">
        <f aca="false">$C$21</f>
        <v>2844602</v>
      </c>
      <c r="F21" s="21" t="n">
        <f aca="false">$C$21</f>
        <v>2844602</v>
      </c>
      <c r="G21" s="21" t="n">
        <f aca="false">$C$21</f>
        <v>2844602</v>
      </c>
      <c r="H21" s="21" t="n">
        <f aca="false">$C$21</f>
        <v>2844602</v>
      </c>
      <c r="I21" s="21" t="n">
        <f aca="false">$C$21</f>
        <v>2844602</v>
      </c>
      <c r="J21" s="21" t="n">
        <f aca="false">$C$21</f>
        <v>2844602</v>
      </c>
      <c r="K21" s="21" t="n">
        <f aca="false">$C$21</f>
        <v>2844602</v>
      </c>
      <c r="L21" s="21" t="n">
        <f aca="false">$C$21</f>
        <v>2844602</v>
      </c>
      <c r="M21" s="21" t="n">
        <f aca="false">$C$21</f>
        <v>2844602</v>
      </c>
      <c r="N21" s="21" t="n">
        <f aca="false">$C$21</f>
        <v>2844602</v>
      </c>
      <c r="O21" s="21" t="n">
        <f aca="false">$C$21</f>
        <v>2844602</v>
      </c>
      <c r="P21" s="6" t="n">
        <f aca="false">SUM(D21:O21)</f>
        <v>34135224</v>
      </c>
    </row>
    <row r="22" customFormat="false" ht="15" hidden="false" customHeight="false" outlineLevel="0" collapsed="false">
      <c r="B22" s="10" t="s">
        <v>97</v>
      </c>
      <c r="C22" s="55" t="n">
        <f aca="false">AVERAGE(④FY2026月次実績!I13:K13)</f>
        <v>198075</v>
      </c>
      <c r="D22" s="21" t="n">
        <f aca="false">$C$22</f>
        <v>198075</v>
      </c>
      <c r="E22" s="21" t="n">
        <f aca="false">$C$22</f>
        <v>198075</v>
      </c>
      <c r="F22" s="21" t="n">
        <f aca="false">$C$22</f>
        <v>198075</v>
      </c>
      <c r="G22" s="21" t="n">
        <f aca="false">$C$22</f>
        <v>198075</v>
      </c>
      <c r="H22" s="21" t="n">
        <f aca="false">$C$22</f>
        <v>198075</v>
      </c>
      <c r="I22" s="21" t="n">
        <f aca="false">$C$22</f>
        <v>198075</v>
      </c>
      <c r="J22" s="21" t="n">
        <f aca="false">$C$22</f>
        <v>198075</v>
      </c>
      <c r="K22" s="21" t="n">
        <f aca="false">$C$22</f>
        <v>198075</v>
      </c>
      <c r="L22" s="21" t="n">
        <f aca="false">$C$22</f>
        <v>198075</v>
      </c>
      <c r="M22" s="21" t="n">
        <f aca="false">$C$22</f>
        <v>198075</v>
      </c>
      <c r="N22" s="21" t="n">
        <f aca="false">$C$22</f>
        <v>198075</v>
      </c>
      <c r="O22" s="21" t="n">
        <f aca="false">$C$22</f>
        <v>198075</v>
      </c>
      <c r="P22" s="6" t="n">
        <f aca="false">SUM(D22:O22)</f>
        <v>2376900</v>
      </c>
    </row>
    <row r="23" customFormat="false" ht="15" hidden="false" customHeight="false" outlineLevel="0" collapsed="false">
      <c r="B23" s="10" t="s">
        <v>98</v>
      </c>
      <c r="C23" s="55" t="n">
        <f aca="false">AVERAGE(④FY2026月次実績!I14:K14)</f>
        <v>943189.333333333</v>
      </c>
      <c r="D23" s="21" t="n">
        <f aca="false">$C$23</f>
        <v>943189.333333333</v>
      </c>
      <c r="E23" s="21" t="n">
        <f aca="false">$C$23</f>
        <v>943189.333333333</v>
      </c>
      <c r="F23" s="21" t="n">
        <f aca="false">$C$23</f>
        <v>943189.333333333</v>
      </c>
      <c r="G23" s="21" t="n">
        <f aca="false">$C$23</f>
        <v>943189.333333333</v>
      </c>
      <c r="H23" s="21" t="n">
        <f aca="false">$C$23</f>
        <v>943189.333333333</v>
      </c>
      <c r="I23" s="21" t="n">
        <f aca="false">$C$23</f>
        <v>943189.333333333</v>
      </c>
      <c r="J23" s="21" t="n">
        <f aca="false">$C$23</f>
        <v>943189.333333333</v>
      </c>
      <c r="K23" s="21" t="n">
        <f aca="false">$C$23</f>
        <v>943189.333333333</v>
      </c>
      <c r="L23" s="21" t="n">
        <f aca="false">$C$23</f>
        <v>943189.333333333</v>
      </c>
      <c r="M23" s="21" t="n">
        <f aca="false">$C$23</f>
        <v>943189.333333333</v>
      </c>
      <c r="N23" s="21" t="n">
        <f aca="false">$C$23</f>
        <v>943189.333333333</v>
      </c>
      <c r="O23" s="21" t="n">
        <f aca="false">$C$23</f>
        <v>943189.333333333</v>
      </c>
      <c r="P23" s="6" t="n">
        <f aca="false">SUM(D23:O23)</f>
        <v>11318272</v>
      </c>
    </row>
    <row r="24" customFormat="false" ht="15" hidden="false" customHeight="false" outlineLevel="0" collapsed="false">
      <c r="B24" s="10" t="s">
        <v>99</v>
      </c>
      <c r="C24" s="55" t="n">
        <f aca="false">AVERAGE(④FY2026月次実績!I15:K15)</f>
        <v>520742.333333333</v>
      </c>
      <c r="D24" s="21" t="n">
        <f aca="false">$C$24</f>
        <v>520742.333333333</v>
      </c>
      <c r="E24" s="21" t="n">
        <f aca="false">$C$24</f>
        <v>520742.333333333</v>
      </c>
      <c r="F24" s="21" t="n">
        <f aca="false">$C$24</f>
        <v>520742.333333333</v>
      </c>
      <c r="G24" s="21" t="n">
        <f aca="false">$C$24</f>
        <v>520742.333333333</v>
      </c>
      <c r="H24" s="21" t="n">
        <f aca="false">$C$24</f>
        <v>520742.333333333</v>
      </c>
      <c r="I24" s="21" t="n">
        <f aca="false">$C$24</f>
        <v>520742.333333333</v>
      </c>
      <c r="J24" s="21" t="n">
        <f aca="false">$C$24</f>
        <v>520742.333333333</v>
      </c>
      <c r="K24" s="21" t="n">
        <f aca="false">$C$24</f>
        <v>520742.333333333</v>
      </c>
      <c r="L24" s="21" t="n">
        <f aca="false">$C$24</f>
        <v>520742.333333333</v>
      </c>
      <c r="M24" s="21" t="n">
        <f aca="false">$C$24</f>
        <v>520742.333333333</v>
      </c>
      <c r="N24" s="21" t="n">
        <f aca="false">$C$24</f>
        <v>520742.333333333</v>
      </c>
      <c r="O24" s="21" t="n">
        <f aca="false">$C$24</f>
        <v>520742.333333333</v>
      </c>
      <c r="P24" s="6" t="n">
        <f aca="false">SUM(D24:O24)</f>
        <v>6248908</v>
      </c>
    </row>
    <row r="25" customFormat="false" ht="15" hidden="false" customHeight="false" outlineLevel="0" collapsed="false">
      <c r="B25" s="10" t="s">
        <v>100</v>
      </c>
      <c r="C25" s="55" t="n">
        <f aca="false">AVERAGE(④FY2026月次実績!I16:K16)</f>
        <v>986309.666666667</v>
      </c>
      <c r="D25" s="21" t="n">
        <f aca="false">$C$25</f>
        <v>986309.666666667</v>
      </c>
      <c r="E25" s="21" t="n">
        <f aca="false">$C$25</f>
        <v>986309.666666667</v>
      </c>
      <c r="F25" s="21" t="n">
        <f aca="false">$C$25</f>
        <v>986309.666666667</v>
      </c>
      <c r="G25" s="21" t="n">
        <f aca="false">$C$25</f>
        <v>986309.666666667</v>
      </c>
      <c r="H25" s="21" t="n">
        <f aca="false">$C$25</f>
        <v>986309.666666667</v>
      </c>
      <c r="I25" s="21" t="n">
        <f aca="false">$C$25</f>
        <v>986309.666666667</v>
      </c>
      <c r="J25" s="21" t="n">
        <f aca="false">$C$25</f>
        <v>986309.666666667</v>
      </c>
      <c r="K25" s="21" t="n">
        <f aca="false">$C$25</f>
        <v>986309.666666667</v>
      </c>
      <c r="L25" s="21" t="n">
        <f aca="false">$C$25</f>
        <v>986309.666666667</v>
      </c>
      <c r="M25" s="21" t="n">
        <f aca="false">$C$25</f>
        <v>986309.666666667</v>
      </c>
      <c r="N25" s="21" t="n">
        <f aca="false">$C$25</f>
        <v>986309.666666667</v>
      </c>
      <c r="O25" s="21" t="n">
        <f aca="false">$C$25</f>
        <v>986309.666666667</v>
      </c>
      <c r="P25" s="6" t="n">
        <f aca="false">SUM(D25:O25)</f>
        <v>11835716</v>
      </c>
    </row>
    <row r="26" customFormat="false" ht="15" hidden="false" customHeight="false" outlineLevel="0" collapsed="false">
      <c r="B26" s="10" t="s">
        <v>101</v>
      </c>
      <c r="C26" s="55" t="n">
        <f aca="false">AVERAGE(④FY2026月次実績!I17:K17)</f>
        <v>3258950</v>
      </c>
      <c r="D26" s="21" t="n">
        <f aca="false">$C$26</f>
        <v>3258950</v>
      </c>
      <c r="E26" s="21" t="n">
        <f aca="false">$C$26</f>
        <v>3258950</v>
      </c>
      <c r="F26" s="21" t="n">
        <f aca="false">$C$26</f>
        <v>3258950</v>
      </c>
      <c r="G26" s="21" t="n">
        <f aca="false">$C$26</f>
        <v>3258950</v>
      </c>
      <c r="H26" s="21" t="n">
        <f aca="false">$C$26</f>
        <v>3258950</v>
      </c>
      <c r="I26" s="21" t="n">
        <f aca="false">$C$26</f>
        <v>3258950</v>
      </c>
      <c r="J26" s="21" t="n">
        <f aca="false">$C$26</f>
        <v>3258950</v>
      </c>
      <c r="K26" s="21" t="n">
        <f aca="false">$C$26</f>
        <v>3258950</v>
      </c>
      <c r="L26" s="21" t="n">
        <f aca="false">$C$26</f>
        <v>3258950</v>
      </c>
      <c r="M26" s="21" t="n">
        <f aca="false">$C$26</f>
        <v>3258950</v>
      </c>
      <c r="N26" s="21" t="n">
        <f aca="false">$C$26</f>
        <v>3258950</v>
      </c>
      <c r="O26" s="21" t="n">
        <f aca="false">$C$26</f>
        <v>3258950</v>
      </c>
      <c r="P26" s="6" t="n">
        <f aca="false">SUM(D26:O26)</f>
        <v>39107400</v>
      </c>
    </row>
    <row r="27" customFormat="false" ht="15" hidden="false" customHeight="false" outlineLevel="0" collapsed="false">
      <c r="B27" s="10" t="s">
        <v>102</v>
      </c>
      <c r="C27" s="55" t="n">
        <f aca="false">AVERAGE(④FY2026月次実績!I18:K18)</f>
        <v>3721702.66666667</v>
      </c>
      <c r="D27" s="21" t="n">
        <f aca="false">$C$27</f>
        <v>3721702.66666667</v>
      </c>
      <c r="E27" s="21" t="n">
        <f aca="false">$C$27</f>
        <v>3721702.66666667</v>
      </c>
      <c r="F27" s="21" t="n">
        <f aca="false">$C$27</f>
        <v>3721702.66666667</v>
      </c>
      <c r="G27" s="21" t="n">
        <f aca="false">$C$27</f>
        <v>3721702.66666667</v>
      </c>
      <c r="H27" s="21" t="n">
        <f aca="false">$C$27</f>
        <v>3721702.66666667</v>
      </c>
      <c r="I27" s="21" t="n">
        <f aca="false">$C$27</f>
        <v>3721702.66666667</v>
      </c>
      <c r="J27" s="21" t="n">
        <f aca="false">$C$27</f>
        <v>3721702.66666667</v>
      </c>
      <c r="K27" s="21" t="n">
        <f aca="false">$C$27</f>
        <v>3721702.66666667</v>
      </c>
      <c r="L27" s="21" t="n">
        <f aca="false">$C$27</f>
        <v>3721702.66666667</v>
      </c>
      <c r="M27" s="21" t="n">
        <f aca="false">$C$27</f>
        <v>3721702.66666667</v>
      </c>
      <c r="N27" s="21" t="n">
        <f aca="false">$C$27</f>
        <v>3721702.66666667</v>
      </c>
      <c r="O27" s="21" t="n">
        <f aca="false">$C$27</f>
        <v>3721702.66666667</v>
      </c>
      <c r="P27" s="6" t="n">
        <f aca="false">SUM(D27:O27)</f>
        <v>44660432</v>
      </c>
    </row>
    <row r="28" customFormat="false" ht="15" hidden="false" customHeight="false" outlineLevel="0" collapsed="false">
      <c r="B28" s="10" t="s">
        <v>103</v>
      </c>
      <c r="C28" s="55" t="n">
        <f aca="false">AVERAGE(④FY2026月次実績!I19:K19)</f>
        <v>400027.333333333</v>
      </c>
      <c r="D28" s="21" t="n">
        <f aca="false">$C$28</f>
        <v>400027.333333333</v>
      </c>
      <c r="E28" s="21" t="n">
        <f aca="false">$C$28</f>
        <v>400027.333333333</v>
      </c>
      <c r="F28" s="21" t="n">
        <f aca="false">$C$28</f>
        <v>400027.333333333</v>
      </c>
      <c r="G28" s="21" t="n">
        <f aca="false">$C$28</f>
        <v>400027.333333333</v>
      </c>
      <c r="H28" s="21" t="n">
        <f aca="false">$C$28</f>
        <v>400027.333333333</v>
      </c>
      <c r="I28" s="21" t="n">
        <f aca="false">$C$28</f>
        <v>400027.333333333</v>
      </c>
      <c r="J28" s="21" t="n">
        <f aca="false">$C$28</f>
        <v>400027.333333333</v>
      </c>
      <c r="K28" s="21" t="n">
        <f aca="false">$C$28</f>
        <v>400027.333333333</v>
      </c>
      <c r="L28" s="21" t="n">
        <f aca="false">$C$28</f>
        <v>400027.333333333</v>
      </c>
      <c r="M28" s="21" t="n">
        <f aca="false">$C$28</f>
        <v>400027.333333333</v>
      </c>
      <c r="N28" s="21" t="n">
        <f aca="false">$C$28</f>
        <v>400027.333333333</v>
      </c>
      <c r="O28" s="21" t="n">
        <f aca="false">$C$28</f>
        <v>400027.333333333</v>
      </c>
      <c r="P28" s="6" t="n">
        <f aca="false">SUM(D28:O28)</f>
        <v>4800328</v>
      </c>
    </row>
    <row r="29" customFormat="false" ht="15" hidden="false" customHeight="false" outlineLevel="0" collapsed="false">
      <c r="B29" s="10" t="s">
        <v>104</v>
      </c>
      <c r="C29" s="55" t="n">
        <f aca="false">AVERAGE(④FY2026月次実績!I20:K20)</f>
        <v>687496.333333333</v>
      </c>
      <c r="D29" s="21" t="n">
        <f aca="false">$C$29</f>
        <v>687496.333333333</v>
      </c>
      <c r="E29" s="21" t="n">
        <f aca="false">$C$29</f>
        <v>687496.333333333</v>
      </c>
      <c r="F29" s="21" t="n">
        <f aca="false">$C$29</f>
        <v>687496.333333333</v>
      </c>
      <c r="G29" s="21" t="n">
        <f aca="false">$C$29</f>
        <v>687496.333333333</v>
      </c>
      <c r="H29" s="21" t="n">
        <f aca="false">$C$29</f>
        <v>687496.333333333</v>
      </c>
      <c r="I29" s="21" t="n">
        <f aca="false">$C$29</f>
        <v>687496.333333333</v>
      </c>
      <c r="J29" s="21" t="n">
        <f aca="false">$C$29</f>
        <v>687496.333333333</v>
      </c>
      <c r="K29" s="21" t="n">
        <f aca="false">$C$29</f>
        <v>687496.333333333</v>
      </c>
      <c r="L29" s="21" t="n">
        <f aca="false">$C$29</f>
        <v>687496.333333333</v>
      </c>
      <c r="M29" s="21" t="n">
        <f aca="false">$C$29</f>
        <v>687496.333333333</v>
      </c>
      <c r="N29" s="21" t="n">
        <f aca="false">$C$29</f>
        <v>687496.333333333</v>
      </c>
      <c r="O29" s="21" t="n">
        <f aca="false">$C$29</f>
        <v>687496.333333333</v>
      </c>
      <c r="P29" s="6" t="n">
        <f aca="false">SUM(D29:O29)</f>
        <v>8249956</v>
      </c>
    </row>
    <row r="30" customFormat="false" ht="15" hidden="false" customHeight="false" outlineLevel="0" collapsed="false">
      <c r="B30" s="10" t="s">
        <v>105</v>
      </c>
      <c r="C30" s="55" t="n">
        <f aca="false">AVERAGE(④FY2026月次実績!I21:K21)</f>
        <v>154132.333333333</v>
      </c>
      <c r="D30" s="21" t="n">
        <f aca="false">$C$30</f>
        <v>154132.333333333</v>
      </c>
      <c r="E30" s="21" t="n">
        <f aca="false">$C$30</f>
        <v>154132.333333333</v>
      </c>
      <c r="F30" s="21" t="n">
        <f aca="false">$C$30</f>
        <v>154132.333333333</v>
      </c>
      <c r="G30" s="21" t="n">
        <f aca="false">$C$30</f>
        <v>154132.333333333</v>
      </c>
      <c r="H30" s="21" t="n">
        <f aca="false">$C$30</f>
        <v>154132.333333333</v>
      </c>
      <c r="I30" s="21" t="n">
        <f aca="false">$C$30</f>
        <v>154132.333333333</v>
      </c>
      <c r="J30" s="21" t="n">
        <f aca="false">$C$30</f>
        <v>154132.333333333</v>
      </c>
      <c r="K30" s="21" t="n">
        <f aca="false">$C$30</f>
        <v>154132.333333333</v>
      </c>
      <c r="L30" s="21" t="n">
        <f aca="false">$C$30</f>
        <v>154132.333333333</v>
      </c>
      <c r="M30" s="21" t="n">
        <f aca="false">$C$30</f>
        <v>154132.333333333</v>
      </c>
      <c r="N30" s="21" t="n">
        <f aca="false">$C$30</f>
        <v>154132.333333333</v>
      </c>
      <c r="O30" s="21" t="n">
        <f aca="false">$C$30</f>
        <v>154132.333333333</v>
      </c>
      <c r="P30" s="6" t="n">
        <f aca="false">SUM(D30:O30)</f>
        <v>1849588</v>
      </c>
    </row>
    <row r="31" customFormat="false" ht="15" hidden="false" customHeight="false" outlineLevel="0" collapsed="false">
      <c r="B31" s="10" t="s">
        <v>106</v>
      </c>
      <c r="C31" s="55" t="n">
        <f aca="false">AVERAGE(④FY2026月次実績!I22:K22)</f>
        <v>122950.333333333</v>
      </c>
      <c r="D31" s="21" t="n">
        <f aca="false">$C$31</f>
        <v>122950.333333333</v>
      </c>
      <c r="E31" s="21" t="n">
        <f aca="false">$C$31</f>
        <v>122950.333333333</v>
      </c>
      <c r="F31" s="21" t="n">
        <f aca="false">$C$31</f>
        <v>122950.333333333</v>
      </c>
      <c r="G31" s="21" t="n">
        <f aca="false">$C$31</f>
        <v>122950.333333333</v>
      </c>
      <c r="H31" s="21" t="n">
        <f aca="false">$C$31</f>
        <v>122950.333333333</v>
      </c>
      <c r="I31" s="21" t="n">
        <f aca="false">$C$31</f>
        <v>122950.333333333</v>
      </c>
      <c r="J31" s="21" t="n">
        <f aca="false">$C$31</f>
        <v>122950.333333333</v>
      </c>
      <c r="K31" s="21" t="n">
        <f aca="false">$C$31</f>
        <v>122950.333333333</v>
      </c>
      <c r="L31" s="21" t="n">
        <f aca="false">$C$31</f>
        <v>122950.333333333</v>
      </c>
      <c r="M31" s="21" t="n">
        <f aca="false">$C$31</f>
        <v>122950.333333333</v>
      </c>
      <c r="N31" s="21" t="n">
        <f aca="false">$C$31</f>
        <v>122950.333333333</v>
      </c>
      <c r="O31" s="21" t="n">
        <f aca="false">$C$31</f>
        <v>122950.333333333</v>
      </c>
      <c r="P31" s="6" t="n">
        <f aca="false">SUM(D31:O31)</f>
        <v>1475404</v>
      </c>
    </row>
    <row r="32" customFormat="false" ht="15" hidden="false" customHeight="false" outlineLevel="0" collapsed="false">
      <c r="B32" s="10" t="s">
        <v>107</v>
      </c>
      <c r="C32" s="55" t="n">
        <f aca="false">AVERAGE(④FY2026月次実績!I23:K23)</f>
        <v>0</v>
      </c>
      <c r="D32" s="21" t="n">
        <f aca="false">$C$32</f>
        <v>0</v>
      </c>
      <c r="E32" s="21" t="n">
        <f aca="false">$C$32</f>
        <v>0</v>
      </c>
      <c r="F32" s="21" t="n">
        <f aca="false">$C$32</f>
        <v>0</v>
      </c>
      <c r="G32" s="21" t="n">
        <f aca="false">$C$32</f>
        <v>0</v>
      </c>
      <c r="H32" s="21" t="n">
        <f aca="false">$C$32</f>
        <v>0</v>
      </c>
      <c r="I32" s="21" t="n">
        <f aca="false">$C$32</f>
        <v>0</v>
      </c>
      <c r="J32" s="21" t="n">
        <f aca="false">$C$32</f>
        <v>0</v>
      </c>
      <c r="K32" s="21" t="n">
        <f aca="false">$C$32</f>
        <v>0</v>
      </c>
      <c r="L32" s="21" t="n">
        <f aca="false">$C$32</f>
        <v>0</v>
      </c>
      <c r="M32" s="21" t="n">
        <f aca="false">$C$32</f>
        <v>0</v>
      </c>
      <c r="N32" s="21" t="n">
        <f aca="false">$C$32</f>
        <v>0</v>
      </c>
      <c r="O32" s="21" t="n">
        <f aca="false">$C$32</f>
        <v>0</v>
      </c>
      <c r="P32" s="6" t="n">
        <f aca="false">SUM(D32:O32)</f>
        <v>0</v>
      </c>
    </row>
    <row r="33" customFormat="false" ht="15" hidden="false" customHeight="false" outlineLevel="0" collapsed="false">
      <c r="B33" s="10" t="s">
        <v>108</v>
      </c>
      <c r="C33" s="55" t="n">
        <f aca="false">AVERAGE(④FY2026月次実績!I24:K24)</f>
        <v>246493.666666667</v>
      </c>
      <c r="D33" s="21" t="n">
        <f aca="false">$C$33</f>
        <v>246493.666666667</v>
      </c>
      <c r="E33" s="21" t="n">
        <f aca="false">$C$33</f>
        <v>246493.666666667</v>
      </c>
      <c r="F33" s="21" t="n">
        <f aca="false">$C$33</f>
        <v>246493.666666667</v>
      </c>
      <c r="G33" s="21" t="n">
        <f aca="false">$C$33</f>
        <v>246493.666666667</v>
      </c>
      <c r="H33" s="21" t="n">
        <f aca="false">$C$33</f>
        <v>246493.666666667</v>
      </c>
      <c r="I33" s="21" t="n">
        <f aca="false">$C$33</f>
        <v>246493.666666667</v>
      </c>
      <c r="J33" s="21" t="n">
        <f aca="false">$C$33</f>
        <v>246493.666666667</v>
      </c>
      <c r="K33" s="21" t="n">
        <f aca="false">$C$33</f>
        <v>246493.666666667</v>
      </c>
      <c r="L33" s="21" t="n">
        <f aca="false">$C$33</f>
        <v>246493.666666667</v>
      </c>
      <c r="M33" s="21" t="n">
        <f aca="false">$C$33</f>
        <v>246493.666666667</v>
      </c>
      <c r="N33" s="21" t="n">
        <f aca="false">$C$33</f>
        <v>246493.666666667</v>
      </c>
      <c r="O33" s="21" t="n">
        <f aca="false">$C$33</f>
        <v>246493.666666667</v>
      </c>
      <c r="P33" s="6" t="n">
        <f aca="false">SUM(D33:O33)</f>
        <v>2957924</v>
      </c>
    </row>
    <row r="34" customFormat="false" ht="15" hidden="false" customHeight="false" outlineLevel="0" collapsed="false">
      <c r="B34" s="10" t="s">
        <v>109</v>
      </c>
      <c r="C34" s="55" t="n">
        <f aca="false">AVERAGE(④FY2026月次実績!I25:K25)</f>
        <v>1213002</v>
      </c>
      <c r="D34" s="21" t="n">
        <f aca="false">$C$34</f>
        <v>1213002</v>
      </c>
      <c r="E34" s="21" t="n">
        <f aca="false">$C$34</f>
        <v>1213002</v>
      </c>
      <c r="F34" s="21" t="n">
        <f aca="false">$C$34</f>
        <v>1213002</v>
      </c>
      <c r="G34" s="21" t="n">
        <f aca="false">$C$34</f>
        <v>1213002</v>
      </c>
      <c r="H34" s="21" t="n">
        <f aca="false">$C$34</f>
        <v>1213002</v>
      </c>
      <c r="I34" s="21" t="n">
        <f aca="false">$C$34</f>
        <v>1213002</v>
      </c>
      <c r="J34" s="21" t="n">
        <f aca="false">$C$34</f>
        <v>1213002</v>
      </c>
      <c r="K34" s="21" t="n">
        <f aca="false">$C$34</f>
        <v>1213002</v>
      </c>
      <c r="L34" s="21" t="n">
        <f aca="false">$C$34</f>
        <v>1213002</v>
      </c>
      <c r="M34" s="21" t="n">
        <f aca="false">$C$34</f>
        <v>1213002</v>
      </c>
      <c r="N34" s="21" t="n">
        <f aca="false">$C$34</f>
        <v>1213002</v>
      </c>
      <c r="O34" s="21" t="n">
        <f aca="false">$C$34</f>
        <v>1213002</v>
      </c>
      <c r="P34" s="6" t="n">
        <f aca="false">SUM(D34:O34)</f>
        <v>14556024</v>
      </c>
    </row>
    <row r="35" customFormat="false" ht="15" hidden="false" customHeight="false" outlineLevel="0" collapsed="false">
      <c r="B35" s="10" t="s">
        <v>110</v>
      </c>
      <c r="C35" s="55" t="n">
        <f aca="false">AVERAGE(④FY2026月次実績!I26:K26)</f>
        <v>0</v>
      </c>
      <c r="D35" s="21" t="n">
        <f aca="false">$C$35</f>
        <v>0</v>
      </c>
      <c r="E35" s="21" t="n">
        <f aca="false">$C$35</f>
        <v>0</v>
      </c>
      <c r="F35" s="21" t="n">
        <f aca="false">$C$35</f>
        <v>0</v>
      </c>
      <c r="G35" s="21" t="n">
        <f aca="false">$C$35</f>
        <v>0</v>
      </c>
      <c r="H35" s="21" t="n">
        <f aca="false">$C$35</f>
        <v>0</v>
      </c>
      <c r="I35" s="21" t="n">
        <f aca="false">$C$35</f>
        <v>0</v>
      </c>
      <c r="J35" s="21" t="n">
        <f aca="false">$C$35</f>
        <v>0</v>
      </c>
      <c r="K35" s="21" t="n">
        <f aca="false">$C$35</f>
        <v>0</v>
      </c>
      <c r="L35" s="21" t="n">
        <f aca="false">$C$35</f>
        <v>0</v>
      </c>
      <c r="M35" s="21" t="n">
        <f aca="false">$C$35</f>
        <v>0</v>
      </c>
      <c r="N35" s="21" t="n">
        <f aca="false">$C$35</f>
        <v>0</v>
      </c>
      <c r="O35" s="21" t="n">
        <f aca="false">$C$35</f>
        <v>0</v>
      </c>
      <c r="P35" s="6" t="n">
        <f aca="false">SUM(D35:O35)</f>
        <v>0</v>
      </c>
    </row>
    <row r="36" customFormat="false" ht="15" hidden="false" customHeight="false" outlineLevel="0" collapsed="false">
      <c r="B36" s="10" t="s">
        <v>111</v>
      </c>
      <c r="C36" s="55" t="n">
        <f aca="false">AVERAGE(④FY2026月次実績!I27:K27)</f>
        <v>3250243.33333333</v>
      </c>
      <c r="D36" s="21" t="n">
        <f aca="false">$C$36</f>
        <v>3250243.33333333</v>
      </c>
      <c r="E36" s="21" t="n">
        <f aca="false">$C$36</f>
        <v>3250243.33333333</v>
      </c>
      <c r="F36" s="21" t="n">
        <f aca="false">$C$36</f>
        <v>3250243.33333333</v>
      </c>
      <c r="G36" s="21" t="n">
        <f aca="false">$C$36</f>
        <v>3250243.33333333</v>
      </c>
      <c r="H36" s="21" t="n">
        <f aca="false">$C$36</f>
        <v>3250243.33333333</v>
      </c>
      <c r="I36" s="21" t="n">
        <f aca="false">$C$36</f>
        <v>3250243.33333333</v>
      </c>
      <c r="J36" s="21" t="n">
        <f aca="false">$C$36</f>
        <v>3250243.33333333</v>
      </c>
      <c r="K36" s="21" t="n">
        <f aca="false">$C$36</f>
        <v>3250243.33333333</v>
      </c>
      <c r="L36" s="21" t="n">
        <f aca="false">$C$36</f>
        <v>3250243.33333333</v>
      </c>
      <c r="M36" s="21" t="n">
        <f aca="false">$C$36</f>
        <v>3250243.33333333</v>
      </c>
      <c r="N36" s="21" t="n">
        <f aca="false">$C$36</f>
        <v>3250243.33333333</v>
      </c>
      <c r="O36" s="21" t="n">
        <f aca="false">$C$36</f>
        <v>3250243.33333333</v>
      </c>
      <c r="P36" s="6" t="n">
        <f aca="false">SUM(D36:O36)</f>
        <v>39002920</v>
      </c>
    </row>
    <row r="37" customFormat="false" ht="15" hidden="false" customHeight="false" outlineLevel="0" collapsed="false">
      <c r="B37" s="10" t="s">
        <v>112</v>
      </c>
      <c r="C37" s="55" t="n">
        <f aca="false">AVERAGE(④FY2026月次実績!I28:K28)</f>
        <v>49855.6666666667</v>
      </c>
      <c r="D37" s="21" t="n">
        <f aca="false">$C$37</f>
        <v>49855.6666666667</v>
      </c>
      <c r="E37" s="21" t="n">
        <f aca="false">$C$37</f>
        <v>49855.6666666667</v>
      </c>
      <c r="F37" s="21" t="n">
        <f aca="false">$C$37</f>
        <v>49855.6666666667</v>
      </c>
      <c r="G37" s="21" t="n">
        <f aca="false">$C$37</f>
        <v>49855.6666666667</v>
      </c>
      <c r="H37" s="21" t="n">
        <f aca="false">$C$37</f>
        <v>49855.6666666667</v>
      </c>
      <c r="I37" s="21" t="n">
        <f aca="false">$C$37</f>
        <v>49855.6666666667</v>
      </c>
      <c r="J37" s="21" t="n">
        <f aca="false">$C$37</f>
        <v>49855.6666666667</v>
      </c>
      <c r="K37" s="21" t="n">
        <f aca="false">$C$37</f>
        <v>49855.6666666667</v>
      </c>
      <c r="L37" s="21" t="n">
        <f aca="false">$C$37</f>
        <v>49855.6666666667</v>
      </c>
      <c r="M37" s="21" t="n">
        <f aca="false">$C$37</f>
        <v>49855.6666666667</v>
      </c>
      <c r="N37" s="21" t="n">
        <f aca="false">$C$37</f>
        <v>49855.6666666667</v>
      </c>
      <c r="O37" s="21" t="n">
        <f aca="false">$C$37</f>
        <v>49855.6666666667</v>
      </c>
      <c r="P37" s="6" t="n">
        <f aca="false">SUM(D37:O37)</f>
        <v>598268</v>
      </c>
    </row>
    <row r="38" customFormat="false" ht="15" hidden="false" customHeight="false" outlineLevel="0" collapsed="false">
      <c r="B38" s="10" t="s">
        <v>113</v>
      </c>
      <c r="C38" s="55" t="n">
        <f aca="false">AVERAGE(④FY2026月次実績!I29:K29)</f>
        <v>6666.66666666667</v>
      </c>
      <c r="D38" s="21" t="n">
        <f aca="false">$C$38</f>
        <v>6666.66666666667</v>
      </c>
      <c r="E38" s="21" t="n">
        <f aca="false">$C$38</f>
        <v>6666.66666666667</v>
      </c>
      <c r="F38" s="21" t="n">
        <f aca="false">$C$38</f>
        <v>6666.66666666667</v>
      </c>
      <c r="G38" s="21" t="n">
        <f aca="false">$C$38</f>
        <v>6666.66666666667</v>
      </c>
      <c r="H38" s="21" t="n">
        <f aca="false">$C$38</f>
        <v>6666.66666666667</v>
      </c>
      <c r="I38" s="21" t="n">
        <f aca="false">$C$38</f>
        <v>6666.66666666667</v>
      </c>
      <c r="J38" s="21" t="n">
        <f aca="false">$C$38</f>
        <v>6666.66666666667</v>
      </c>
      <c r="K38" s="21" t="n">
        <f aca="false">$C$38</f>
        <v>6666.66666666667</v>
      </c>
      <c r="L38" s="21" t="n">
        <f aca="false">$C$38</f>
        <v>6666.66666666667</v>
      </c>
      <c r="M38" s="21" t="n">
        <f aca="false">$C$38</f>
        <v>6666.66666666667</v>
      </c>
      <c r="N38" s="21" t="n">
        <f aca="false">$C$38</f>
        <v>6666.66666666667</v>
      </c>
      <c r="O38" s="21" t="n">
        <f aca="false">$C$38</f>
        <v>6666.66666666667</v>
      </c>
      <c r="P38" s="6" t="n">
        <f aca="false">SUM(D38:O38)</f>
        <v>80000</v>
      </c>
    </row>
    <row r="39" customFormat="false" ht="15" hidden="false" customHeight="false" outlineLevel="0" collapsed="false">
      <c r="B39" s="10" t="s">
        <v>114</v>
      </c>
      <c r="C39" s="55" t="n">
        <f aca="false">AVERAGE(④FY2026月次実績!I30:K30)</f>
        <v>394626.666666667</v>
      </c>
      <c r="D39" s="21" t="n">
        <f aca="false">$C$39</f>
        <v>394626.666666667</v>
      </c>
      <c r="E39" s="21" t="n">
        <f aca="false">$C$39</f>
        <v>394626.666666667</v>
      </c>
      <c r="F39" s="21" t="n">
        <f aca="false">$C$39</f>
        <v>394626.666666667</v>
      </c>
      <c r="G39" s="21" t="n">
        <f aca="false">$C$39</f>
        <v>394626.666666667</v>
      </c>
      <c r="H39" s="21" t="n">
        <f aca="false">$C$39</f>
        <v>394626.666666667</v>
      </c>
      <c r="I39" s="21" t="n">
        <f aca="false">$C$39</f>
        <v>394626.666666667</v>
      </c>
      <c r="J39" s="21" t="n">
        <f aca="false">$C$39</f>
        <v>394626.666666667</v>
      </c>
      <c r="K39" s="21" t="n">
        <f aca="false">$C$39</f>
        <v>394626.666666667</v>
      </c>
      <c r="L39" s="21" t="n">
        <f aca="false">$C$39</f>
        <v>394626.666666667</v>
      </c>
      <c r="M39" s="21" t="n">
        <f aca="false">$C$39</f>
        <v>394626.666666667</v>
      </c>
      <c r="N39" s="21" t="n">
        <f aca="false">$C$39</f>
        <v>394626.666666667</v>
      </c>
      <c r="O39" s="21" t="n">
        <f aca="false">$C$39</f>
        <v>394626.666666667</v>
      </c>
      <c r="P39" s="6" t="n">
        <f aca="false">SUM(D39:O39)</f>
        <v>4735520</v>
      </c>
    </row>
    <row r="40" customFormat="false" ht="15" hidden="false" customHeight="false" outlineLevel="0" collapsed="false">
      <c r="B40" s="10" t="s">
        <v>115</v>
      </c>
      <c r="C40" s="55" t="n">
        <f aca="false">AVERAGE(④FY2026月次実績!I31:K31)</f>
        <v>0</v>
      </c>
      <c r="D40" s="21" t="n">
        <f aca="false">$C$40</f>
        <v>0</v>
      </c>
      <c r="E40" s="21" t="n">
        <f aca="false">$C$40</f>
        <v>0</v>
      </c>
      <c r="F40" s="21" t="n">
        <f aca="false">$C$40</f>
        <v>0</v>
      </c>
      <c r="G40" s="21" t="n">
        <f aca="false">$C$40</f>
        <v>0</v>
      </c>
      <c r="H40" s="21" t="n">
        <f aca="false">$C$40</f>
        <v>0</v>
      </c>
      <c r="I40" s="21" t="n">
        <f aca="false">$C$40</f>
        <v>0</v>
      </c>
      <c r="J40" s="21" t="n">
        <f aca="false">$C$40</f>
        <v>0</v>
      </c>
      <c r="K40" s="21" t="n">
        <f aca="false">$C$40</f>
        <v>0</v>
      </c>
      <c r="L40" s="21" t="n">
        <f aca="false">$C$40</f>
        <v>0</v>
      </c>
      <c r="M40" s="21" t="n">
        <f aca="false">$C$40</f>
        <v>0</v>
      </c>
      <c r="N40" s="21" t="n">
        <f aca="false">$C$40</f>
        <v>0</v>
      </c>
      <c r="O40" s="21" t="n">
        <f aca="false">$C$40</f>
        <v>0</v>
      </c>
      <c r="P40" s="6" t="n">
        <f aca="false">SUM(D40:O40)</f>
        <v>0</v>
      </c>
    </row>
    <row r="41" customFormat="false" ht="15" hidden="false" customHeight="false" outlineLevel="0" collapsed="false">
      <c r="B41" s="10" t="s">
        <v>116</v>
      </c>
      <c r="C41" s="55" t="n">
        <f aca="false">AVERAGE(④FY2026月次実績!I32:K32)</f>
        <v>3637873</v>
      </c>
      <c r="D41" s="21" t="n">
        <f aca="false">$C$41</f>
        <v>3637873</v>
      </c>
      <c r="E41" s="21" t="n">
        <f aca="false">$C$41</f>
        <v>3637873</v>
      </c>
      <c r="F41" s="21" t="n">
        <f aca="false">$C$41</f>
        <v>3637873</v>
      </c>
      <c r="G41" s="21" t="n">
        <f aca="false">$C$41</f>
        <v>3637873</v>
      </c>
      <c r="H41" s="21" t="n">
        <f aca="false">$C$41</f>
        <v>3637873</v>
      </c>
      <c r="I41" s="21" t="n">
        <f aca="false">$C$41</f>
        <v>3637873</v>
      </c>
      <c r="J41" s="21" t="n">
        <f aca="false">$C$41</f>
        <v>3637873</v>
      </c>
      <c r="K41" s="21" t="n">
        <f aca="false">$C$41</f>
        <v>3637873</v>
      </c>
      <c r="L41" s="21" t="n">
        <f aca="false">$C$41</f>
        <v>3637873</v>
      </c>
      <c r="M41" s="21" t="n">
        <f aca="false">$C$41</f>
        <v>3637873</v>
      </c>
      <c r="N41" s="21" t="n">
        <f aca="false">$C$41</f>
        <v>3637873</v>
      </c>
      <c r="O41" s="21" t="n">
        <f aca="false">$C$41</f>
        <v>3637873</v>
      </c>
      <c r="P41" s="6" t="n">
        <f aca="false">SUM(D41:O41)</f>
        <v>43654476</v>
      </c>
    </row>
    <row r="42" customFormat="false" ht="15" hidden="false" customHeight="false" outlineLevel="0" collapsed="false">
      <c r="B42" s="10" t="s">
        <v>117</v>
      </c>
      <c r="C42" s="55" t="n">
        <f aca="false">AVERAGE(④FY2026月次実績!I33:K33)</f>
        <v>272483.666666667</v>
      </c>
      <c r="D42" s="21" t="n">
        <f aca="false">$C$42</f>
        <v>272483.666666667</v>
      </c>
      <c r="E42" s="21" t="n">
        <f aca="false">$C$42</f>
        <v>272483.666666667</v>
      </c>
      <c r="F42" s="21" t="n">
        <f aca="false">$C$42</f>
        <v>272483.666666667</v>
      </c>
      <c r="G42" s="21" t="n">
        <f aca="false">$C$42</f>
        <v>272483.666666667</v>
      </c>
      <c r="H42" s="21" t="n">
        <f aca="false">$C$42</f>
        <v>272483.666666667</v>
      </c>
      <c r="I42" s="21" t="n">
        <f aca="false">$C$42</f>
        <v>272483.666666667</v>
      </c>
      <c r="J42" s="21" t="n">
        <f aca="false">$C$42</f>
        <v>272483.666666667</v>
      </c>
      <c r="K42" s="21" t="n">
        <f aca="false">$C$42</f>
        <v>272483.666666667</v>
      </c>
      <c r="L42" s="21" t="n">
        <f aca="false">$C$42</f>
        <v>272483.666666667</v>
      </c>
      <c r="M42" s="21" t="n">
        <f aca="false">$C$42</f>
        <v>272483.666666667</v>
      </c>
      <c r="N42" s="21" t="n">
        <f aca="false">$C$42</f>
        <v>272483.666666667</v>
      </c>
      <c r="O42" s="21" t="n">
        <f aca="false">$C$42</f>
        <v>272483.666666667</v>
      </c>
      <c r="P42" s="6" t="n">
        <f aca="false">SUM(D42:O42)</f>
        <v>3269804</v>
      </c>
    </row>
    <row r="43" customFormat="false" ht="15" hidden="false" customHeight="false" outlineLevel="0" collapsed="false">
      <c r="B43" s="23" t="s">
        <v>118</v>
      </c>
      <c r="C43" s="24" t="n">
        <f aca="false">SUM(C20:C42)</f>
        <v>25013422</v>
      </c>
      <c r="D43" s="24" t="n">
        <f aca="false">SUM(D20:D42)</f>
        <v>25013422</v>
      </c>
      <c r="E43" s="24" t="n">
        <f aca="false">SUM(E20:E42)</f>
        <v>25013422</v>
      </c>
      <c r="F43" s="24" t="n">
        <f aca="false">SUM(F20:F42)</f>
        <v>25013422</v>
      </c>
      <c r="G43" s="24" t="n">
        <f aca="false">SUM(G20:G42)</f>
        <v>25013422</v>
      </c>
      <c r="H43" s="24" t="n">
        <f aca="false">SUM(H20:H42)</f>
        <v>25013422</v>
      </c>
      <c r="I43" s="24" t="n">
        <f aca="false">SUM(I20:I42)</f>
        <v>25013422</v>
      </c>
      <c r="J43" s="24" t="n">
        <f aca="false">SUM(J20:J42)</f>
        <v>25013422</v>
      </c>
      <c r="K43" s="24" t="n">
        <f aca="false">SUM(K20:K42)</f>
        <v>25013422</v>
      </c>
      <c r="L43" s="24" t="n">
        <f aca="false">SUM(L20:L42)</f>
        <v>25013422</v>
      </c>
      <c r="M43" s="24" t="n">
        <f aca="false">SUM(M20:M42)</f>
        <v>25013422</v>
      </c>
      <c r="N43" s="24" t="n">
        <f aca="false">SUM(N20:N42)</f>
        <v>25013422</v>
      </c>
      <c r="O43" s="24" t="n">
        <f aca="false">SUM(O20:O42)</f>
        <v>25013422</v>
      </c>
      <c r="P43" s="24" t="n">
        <f aca="false">SUM(D43:O43)</f>
        <v>300161064</v>
      </c>
    </row>
    <row r="45" customFormat="false" ht="15" hidden="false" customHeight="false" outlineLevel="0" collapsed="false">
      <c r="B45" s="41" t="s">
        <v>232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</row>
    <row r="46" customFormat="false" ht="15" hidden="false" customHeight="false" outlineLevel="0" collapsed="false">
      <c r="B46" s="23" t="s">
        <v>50</v>
      </c>
      <c r="C46" s="24" t="n">
        <f aca="false">C17-C43</f>
        <v>7946603.46666667</v>
      </c>
      <c r="D46" s="24" t="n">
        <f aca="false">D17-D43</f>
        <v>7946603.46666667</v>
      </c>
      <c r="E46" s="24" t="n">
        <f aca="false">E17-E43</f>
        <v>7946603.46666667</v>
      </c>
      <c r="F46" s="24" t="n">
        <f aca="false">F17-F43</f>
        <v>7946603.46666667</v>
      </c>
      <c r="G46" s="24" t="n">
        <f aca="false">G17-G43</f>
        <v>7946603.46666667</v>
      </c>
      <c r="H46" s="24" t="n">
        <f aca="false">H17-H43</f>
        <v>7946603.46666667</v>
      </c>
      <c r="I46" s="24" t="n">
        <f aca="false">I17-I43</f>
        <v>37946603.4666667</v>
      </c>
      <c r="J46" s="24" t="n">
        <f aca="false">J17-J43</f>
        <v>7946603.46666667</v>
      </c>
      <c r="K46" s="24" t="n">
        <f aca="false">K17-K43</f>
        <v>7946603.46666667</v>
      </c>
      <c r="L46" s="24" t="n">
        <f aca="false">L17-L43</f>
        <v>7946603.46666667</v>
      </c>
      <c r="M46" s="24" t="n">
        <f aca="false">M17-M43</f>
        <v>7946603.46666667</v>
      </c>
      <c r="N46" s="24" t="n">
        <f aca="false">N17-N43</f>
        <v>7946603.46666667</v>
      </c>
      <c r="O46" s="24" t="n">
        <f aca="false">O17-O43</f>
        <v>17946603.4666667</v>
      </c>
      <c r="P46" s="24" t="n">
        <f aca="false">SUM(D46:O46)</f>
        <v>135359241.6</v>
      </c>
    </row>
    <row r="47" customFormat="false" ht="15" hidden="false" customHeight="false" outlineLevel="0" collapsed="false">
      <c r="B47" s="10" t="s">
        <v>51</v>
      </c>
      <c r="D47" s="21" t="n">
        <f aca="false">0</f>
        <v>0</v>
      </c>
      <c r="E47" s="21" t="n">
        <f aca="false">0</f>
        <v>0</v>
      </c>
      <c r="F47" s="21" t="n">
        <f aca="false">0</f>
        <v>0</v>
      </c>
      <c r="G47" s="21" t="n">
        <f aca="false">0</f>
        <v>0</v>
      </c>
      <c r="H47" s="21" t="n">
        <f aca="false">0</f>
        <v>0</v>
      </c>
      <c r="I47" s="21" t="n">
        <f aca="false">0</f>
        <v>0</v>
      </c>
      <c r="J47" s="21" t="n">
        <f aca="false">0</f>
        <v>0</v>
      </c>
      <c r="K47" s="21" t="n">
        <f aca="false">0</f>
        <v>0</v>
      </c>
      <c r="L47" s="21" t="n">
        <f aca="false">0</f>
        <v>0</v>
      </c>
      <c r="M47" s="21" t="n">
        <f aca="false">0</f>
        <v>0</v>
      </c>
      <c r="N47" s="21" t="n">
        <f aca="false">0</f>
        <v>0</v>
      </c>
      <c r="O47" s="21" t="n">
        <f aca="false">0</f>
        <v>0</v>
      </c>
      <c r="P47" s="6" t="n">
        <f aca="false">SUM(D47:O47)</f>
        <v>0</v>
      </c>
    </row>
    <row r="48" customFormat="false" ht="15" hidden="false" customHeight="false" outlineLevel="0" collapsed="false">
      <c r="B48" s="10" t="s">
        <v>233</v>
      </c>
      <c r="C48" s="55" t="n">
        <f aca="false">②前提!$C$24/12</f>
        <v>1250000</v>
      </c>
      <c r="D48" s="21" t="n">
        <f aca="false">$C$48</f>
        <v>1250000</v>
      </c>
      <c r="E48" s="21" t="n">
        <f aca="false">$C$48</f>
        <v>1250000</v>
      </c>
      <c r="F48" s="21" t="n">
        <f aca="false">$C$48</f>
        <v>1250000</v>
      </c>
      <c r="G48" s="21" t="n">
        <f aca="false">$C$48</f>
        <v>1250000</v>
      </c>
      <c r="H48" s="21" t="n">
        <f aca="false">$C$48</f>
        <v>1250000</v>
      </c>
      <c r="I48" s="21" t="n">
        <f aca="false">$C$48</f>
        <v>1250000</v>
      </c>
      <c r="J48" s="21" t="n">
        <f aca="false">$C$48</f>
        <v>1250000</v>
      </c>
      <c r="K48" s="21" t="n">
        <f aca="false">$C$48</f>
        <v>1250000</v>
      </c>
      <c r="L48" s="21" t="n">
        <f aca="false">$C$48</f>
        <v>1250000</v>
      </c>
      <c r="M48" s="21" t="n">
        <f aca="false">$C$48</f>
        <v>1250000</v>
      </c>
      <c r="N48" s="21" t="n">
        <f aca="false">$C$48</f>
        <v>1250000</v>
      </c>
      <c r="O48" s="21" t="n">
        <f aca="false">$C$48</f>
        <v>1250000</v>
      </c>
      <c r="P48" s="6" t="n">
        <f aca="false">SUM(D48:O48)</f>
        <v>15000000</v>
      </c>
    </row>
    <row r="49" customFormat="false" ht="15" hidden="false" customHeight="false" outlineLevel="0" collapsed="false">
      <c r="B49" s="26" t="s">
        <v>54</v>
      </c>
      <c r="C49" s="13" t="n">
        <f aca="false">C46+C47-C48</f>
        <v>6696603.46666667</v>
      </c>
      <c r="D49" s="13" t="n">
        <f aca="false">D46+D47-D48</f>
        <v>6696603.46666667</v>
      </c>
      <c r="E49" s="13" t="n">
        <f aca="false">E46+E47-E48</f>
        <v>6696603.46666667</v>
      </c>
      <c r="F49" s="13" t="n">
        <f aca="false">F46+F47-F48</f>
        <v>6696603.46666667</v>
      </c>
      <c r="G49" s="13" t="n">
        <f aca="false">G46+G47-G48</f>
        <v>6696603.46666667</v>
      </c>
      <c r="H49" s="13" t="n">
        <f aca="false">H46+H47-H48</f>
        <v>6696603.46666667</v>
      </c>
      <c r="I49" s="13" t="n">
        <f aca="false">I46+I47-I48</f>
        <v>36696603.4666667</v>
      </c>
      <c r="J49" s="13" t="n">
        <f aca="false">J46+J47-J48</f>
        <v>6696603.46666667</v>
      </c>
      <c r="K49" s="13" t="n">
        <f aca="false">K46+K47-K48</f>
        <v>6696603.46666667</v>
      </c>
      <c r="L49" s="13" t="n">
        <f aca="false">L46+L47-L48</f>
        <v>6696603.46666667</v>
      </c>
      <c r="M49" s="13" t="n">
        <f aca="false">M46+M47-M48</f>
        <v>6696603.46666667</v>
      </c>
      <c r="N49" s="13" t="n">
        <f aca="false">N46+N47-N48</f>
        <v>6696603.46666667</v>
      </c>
      <c r="O49" s="13" t="n">
        <f aca="false">O46+O47-O48</f>
        <v>16696603.4666667</v>
      </c>
      <c r="P49" s="13" t="n">
        <f aca="false">SUM(D49:O49)</f>
        <v>120359241.6</v>
      </c>
    </row>
    <row r="50" customFormat="false" ht="15" hidden="false" customHeight="false" outlineLevel="0" collapsed="false">
      <c r="B50" s="14" t="s">
        <v>234</v>
      </c>
      <c r="D50" s="52" t="n">
        <f aca="false">D49</f>
        <v>6696603.46666667</v>
      </c>
      <c r="E50" s="52" t="n">
        <f aca="false">D50+E49</f>
        <v>13393206.9333333</v>
      </c>
      <c r="F50" s="52" t="n">
        <f aca="false">E50+F49</f>
        <v>20089810.4</v>
      </c>
      <c r="G50" s="52" t="n">
        <f aca="false">F50+G49</f>
        <v>26786413.8666667</v>
      </c>
      <c r="H50" s="52" t="n">
        <f aca="false">G50+H49</f>
        <v>33483017.3333333</v>
      </c>
      <c r="I50" s="52" t="n">
        <f aca="false">H50+I49</f>
        <v>70179620.8</v>
      </c>
      <c r="J50" s="52" t="n">
        <f aca="false">I50+J49</f>
        <v>76876224.2666667</v>
      </c>
      <c r="K50" s="52" t="n">
        <f aca="false">J50+K49</f>
        <v>83572827.7333333</v>
      </c>
      <c r="L50" s="52" t="n">
        <f aca="false">K50+L49</f>
        <v>90269431.2</v>
      </c>
      <c r="M50" s="52" t="n">
        <f aca="false">L50+M49</f>
        <v>96966034.6666667</v>
      </c>
      <c r="N50" s="52" t="n">
        <f aca="false">M50+N49</f>
        <v>103662638.133333</v>
      </c>
      <c r="O50" s="52" t="n">
        <f aca="false">N50+O49</f>
        <v>120359241.6</v>
      </c>
    </row>
    <row r="52" customFormat="false" ht="15" hidden="false" customHeight="false" outlineLevel="0" collapsed="false">
      <c r="B52" s="2" t="s">
        <v>235</v>
      </c>
    </row>
    <row r="53" customFormat="false" ht="15" hidden="false" customHeight="false" outlineLevel="0" collapsed="false">
      <c r="B53" s="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4" min="3" style="0" width="20"/>
    <col collapsed="false" customWidth="true" hidden="false" outlineLevel="0" max="5" min="5" style="0" width="58"/>
  </cols>
  <sheetData>
    <row r="1" customFormat="false" ht="19.4" hidden="false" customHeight="false" outlineLevel="0" collapsed="false">
      <c r="B1" s="43" t="s">
        <v>237</v>
      </c>
    </row>
    <row r="2" customFormat="false" ht="15" hidden="false" customHeight="false" outlineLevel="0" collapsed="false">
      <c r="B2" s="2" t="s">
        <v>238</v>
      </c>
    </row>
    <row r="4" customFormat="false" ht="15" hidden="false" customHeight="false" outlineLevel="0" collapsed="false">
      <c r="B4" s="3" t="s">
        <v>3</v>
      </c>
      <c r="C4" s="3" t="s">
        <v>239</v>
      </c>
      <c r="D4" s="3" t="s">
        <v>5</v>
      </c>
      <c r="E4" s="3" t="s">
        <v>6</v>
      </c>
    </row>
    <row r="5" customFormat="false" ht="15" hidden="false" customHeight="false" outlineLevel="0" collapsed="false">
      <c r="B5" s="5" t="s">
        <v>240</v>
      </c>
      <c r="C5" s="56" t="n">
        <v>-114793431</v>
      </c>
      <c r="D5" s="6" t="n">
        <f aca="false">C5</f>
        <v>-114793431</v>
      </c>
      <c r="E5" s="2" t="s">
        <v>8</v>
      </c>
    </row>
    <row r="6" customFormat="false" ht="15" hidden="false" customHeight="false" outlineLevel="0" collapsed="false">
      <c r="B6" s="10" t="s">
        <v>241</v>
      </c>
      <c r="C6" s="21" t="n">
        <f aca="false">②前提!$C$7*12-229139405</f>
        <v>-28537477</v>
      </c>
      <c r="D6" s="6" t="n">
        <f aca="false">D5+C6</f>
        <v>-143330908</v>
      </c>
      <c r="E6" s="22" t="s">
        <v>242</v>
      </c>
    </row>
    <row r="7" customFormat="false" ht="15" hidden="false" customHeight="false" outlineLevel="0" collapsed="false">
      <c r="B7" s="10" t="s">
        <v>243</v>
      </c>
      <c r="C7" s="21" t="n">
        <f aca="false">343932836-②前提!$C$8*12</f>
        <v>43771772</v>
      </c>
      <c r="D7" s="6" t="n">
        <f aca="false">D6+C7</f>
        <v>-99559136</v>
      </c>
      <c r="E7" s="2" t="s">
        <v>244</v>
      </c>
    </row>
    <row r="8" customFormat="false" ht="15" hidden="false" customHeight="false" outlineLevel="0" collapsed="false">
      <c r="B8" s="10" t="s">
        <v>245</v>
      </c>
      <c r="C8" s="21" t="n">
        <f aca="false">②前提!$C$57</f>
        <v>102418377.6</v>
      </c>
      <c r="D8" s="6" t="n">
        <f aca="false">D7+C8</f>
        <v>2859241.59999999</v>
      </c>
      <c r="E8" s="2" t="s">
        <v>246</v>
      </c>
    </row>
    <row r="9" customFormat="false" ht="15" hidden="false" customHeight="false" outlineLevel="0" collapsed="false">
      <c r="B9" s="10" t="s">
        <v>247</v>
      </c>
      <c r="C9" s="21" t="n">
        <f aca="false">②前提!$C$20</f>
        <v>132500000</v>
      </c>
      <c r="D9" s="6" t="n">
        <f aca="false">D8+C9</f>
        <v>135359241.6</v>
      </c>
      <c r="E9" s="2" t="s">
        <v>44</v>
      </c>
    </row>
    <row r="10" customFormat="false" ht="15" hidden="false" customHeight="false" outlineLevel="0" collapsed="false">
      <c r="B10" s="57" t="s">
        <v>248</v>
      </c>
      <c r="D10" s="24" t="n">
        <f aca="false">D9</f>
        <v>135359241.6</v>
      </c>
      <c r="E10" s="2" t="s">
        <v>249</v>
      </c>
    </row>
    <row r="12" customFormat="false" ht="15" hidden="false" customHeight="false" outlineLevel="0" collapsed="false">
      <c r="B12" s="10" t="s">
        <v>250</v>
      </c>
      <c r="C12" s="21" t="n">
        <f aca="false">②前提!$C$64-②前提!$C$57</f>
        <v>90000000</v>
      </c>
      <c r="D12" s="52" t="n">
        <f aca="false">D10+C12</f>
        <v>225359241.6</v>
      </c>
      <c r="E12" s="2" t="s">
        <v>251</v>
      </c>
    </row>
    <row r="13" customFormat="false" ht="15" hidden="false" customHeight="false" outlineLevel="0" collapsed="false">
      <c r="B13" s="58" t="s">
        <v>252</v>
      </c>
      <c r="D13" s="13" t="n">
        <f aca="false">D12</f>
        <v>225359241.6</v>
      </c>
    </row>
    <row r="15" customFormat="false" ht="15" hidden="false" customHeight="false" outlineLevel="0" collapsed="false">
      <c r="B15" s="28" t="s">
        <v>58</v>
      </c>
    </row>
    <row r="16" customFormat="false" ht="15" hidden="false" customHeight="false" outlineLevel="0" collapsed="false">
      <c r="B16" s="10" t="s">
        <v>253</v>
      </c>
      <c r="C16" s="31" t="n">
        <f aca="false">①サマリー!C23</f>
        <v>341394592</v>
      </c>
      <c r="D16" s="59" t="n">
        <f aca="false">①サマリー!D23</f>
        <v>0.320257590994371</v>
      </c>
      <c r="E16" s="2" t="s">
        <v>254</v>
      </c>
    </row>
    <row r="17" customFormat="false" ht="15" hidden="false" customHeight="false" outlineLevel="0" collapsed="false">
      <c r="B17" s="10" t="s">
        <v>255</v>
      </c>
      <c r="C17" s="31" t="n">
        <f aca="false">①サマリー!C24</f>
        <v>641394592</v>
      </c>
      <c r="D17" s="59" t="n">
        <f aca="false">①サマリー!D24</f>
        <v>0.60168348217636</v>
      </c>
      <c r="E17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15" min="4" style="0" width="13"/>
    <col collapsed="false" customWidth="true" hidden="false" outlineLevel="0" max="16" min="16" style="0" width="16"/>
    <col collapsed="false" customWidth="true" hidden="false" outlineLevel="0" max="17" min="17" style="0" width="52"/>
  </cols>
  <sheetData>
    <row r="1" customFormat="false" ht="19.4" hidden="false" customHeight="false" outlineLevel="0" collapsed="false">
      <c r="B1" s="60" t="s">
        <v>256</v>
      </c>
    </row>
    <row r="2" customFormat="false" ht="15" hidden="false" customHeight="false" outlineLevel="0" collapsed="false">
      <c r="B2" s="16" t="s">
        <v>257</v>
      </c>
    </row>
    <row r="4" customFormat="false" ht="15" hidden="false" customHeight="false" outlineLevel="0" collapsed="false">
      <c r="B4" s="3" t="s">
        <v>258</v>
      </c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B5" s="29" t="s">
        <v>259</v>
      </c>
      <c r="C5" s="37" t="s">
        <v>260</v>
      </c>
      <c r="D5" s="37" t="s">
        <v>261</v>
      </c>
      <c r="E5" s="37" t="s">
        <v>262</v>
      </c>
      <c r="F5" s="37" t="s">
        <v>263</v>
      </c>
      <c r="G5" s="37" t="s">
        <v>264</v>
      </c>
    </row>
    <row r="6" customFormat="false" ht="15" hidden="false" customHeight="false" outlineLevel="0" collapsed="false">
      <c r="B6" s="10" t="s">
        <v>265</v>
      </c>
      <c r="C6" s="61" t="n">
        <v>560</v>
      </c>
      <c r="D6" s="61" t="n">
        <v>470</v>
      </c>
      <c r="E6" s="61" t="n">
        <v>480</v>
      </c>
      <c r="F6" s="61" t="n">
        <v>530</v>
      </c>
      <c r="G6" s="61" t="n">
        <v>620</v>
      </c>
    </row>
    <row r="7" customFormat="false" ht="15" hidden="false" customHeight="false" outlineLevel="0" collapsed="false">
      <c r="B7" s="5" t="s">
        <v>266</v>
      </c>
      <c r="C7" s="62" t="n">
        <f aca="false">G6-E6</f>
        <v>140</v>
      </c>
      <c r="D7" s="2" t="s">
        <v>267</v>
      </c>
      <c r="E7" s="63" t="n">
        <f aca="false">C7/6</f>
        <v>23.3333333333333</v>
      </c>
      <c r="F7" s="16" t="s">
        <v>268</v>
      </c>
    </row>
    <row r="8" customFormat="false" ht="15" hidden="false" customHeight="false" outlineLevel="0" collapsed="false">
      <c r="B8" s="2" t="s">
        <v>269</v>
      </c>
    </row>
    <row r="10" customFormat="false" ht="15" hidden="false" customHeight="false" outlineLevel="0" collapsed="false">
      <c r="B10" s="3" t="s">
        <v>270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5" hidden="false" customHeight="false" outlineLevel="0" collapsed="false">
      <c r="B11" s="29" t="s">
        <v>33</v>
      </c>
      <c r="C11" s="44" t="s">
        <v>271</v>
      </c>
      <c r="D11" s="37" t="s">
        <v>207</v>
      </c>
      <c r="E11" s="37" t="s">
        <v>208</v>
      </c>
      <c r="F11" s="37" t="s">
        <v>209</v>
      </c>
      <c r="G11" s="37" t="s">
        <v>210</v>
      </c>
      <c r="H11" s="37" t="s">
        <v>211</v>
      </c>
      <c r="I11" s="37" t="s">
        <v>212</v>
      </c>
      <c r="J11" s="37" t="s">
        <v>213</v>
      </c>
      <c r="K11" s="37" t="s">
        <v>214</v>
      </c>
      <c r="L11" s="37" t="s">
        <v>215</v>
      </c>
      <c r="M11" s="37" t="s">
        <v>216</v>
      </c>
      <c r="N11" s="37" t="s">
        <v>217</v>
      </c>
      <c r="O11" s="37" t="s">
        <v>218</v>
      </c>
      <c r="P11" s="44" t="s">
        <v>87</v>
      </c>
    </row>
    <row r="12" customFormat="false" ht="15" hidden="false" customHeight="false" outlineLevel="0" collapsed="false">
      <c r="B12" s="10" t="s">
        <v>272</v>
      </c>
      <c r="C12" s="8" t="n">
        <v>420000000</v>
      </c>
      <c r="Q12" s="46" t="s">
        <v>273</v>
      </c>
    </row>
    <row r="13" customFormat="false" ht="15" hidden="false" customHeight="false" outlineLevel="0" collapsed="false">
      <c r="B13" s="10" t="s">
        <v>274</v>
      </c>
      <c r="C13" s="8" t="n">
        <v>0</v>
      </c>
      <c r="Q13" s="22" t="s">
        <v>275</v>
      </c>
    </row>
    <row r="14" customFormat="false" ht="15" hidden="false" customHeight="false" outlineLevel="0" collapsed="false">
      <c r="B14" s="10" t="s">
        <v>276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6" t="n">
        <f aca="false">SUM(D14:O14)</f>
        <v>0</v>
      </c>
      <c r="Q14" s="2" t="s">
        <v>277</v>
      </c>
    </row>
    <row r="15" customFormat="false" ht="15" hidden="false" customHeight="false" outlineLevel="0" collapsed="false">
      <c r="B15" s="10" t="s">
        <v>278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6" t="n">
        <f aca="false">SUM(D15:O15)</f>
        <v>0</v>
      </c>
      <c r="Q15" s="2" t="s">
        <v>279</v>
      </c>
    </row>
    <row r="16" customFormat="false" ht="15" hidden="false" customHeight="false" outlineLevel="0" collapsed="false">
      <c r="B16" s="10" t="s">
        <v>280</v>
      </c>
      <c r="D16" s="21" t="n">
        <f aca="false">IF(②前提!$C$31=2,②前提!$C$32/12,D18)</f>
        <v>34922201.1666667</v>
      </c>
      <c r="E16" s="21" t="n">
        <f aca="false">IF(②前提!$C$31=2,②前提!$C$32/12,E18)</f>
        <v>34922201.1666667</v>
      </c>
      <c r="F16" s="21" t="n">
        <f aca="false">IF(②前提!$C$31=2,②前提!$C$32/12,F18)</f>
        <v>34922201.1666667</v>
      </c>
      <c r="G16" s="21" t="n">
        <f aca="false">IF(②前提!$C$31=2,②前提!$C$32/12,G18)</f>
        <v>34922201.1666667</v>
      </c>
      <c r="H16" s="21" t="n">
        <f aca="false">IF(②前提!$C$31=2,②前提!$C$32/12,H18)</f>
        <v>34922201.1666667</v>
      </c>
      <c r="I16" s="21" t="n">
        <f aca="false">IF(②前提!$C$31=2,②前提!$C$32/12,I18)</f>
        <v>34922201.1666667</v>
      </c>
      <c r="J16" s="21" t="n">
        <f aca="false">IF(②前提!$C$31=2,②前提!$C$32/12,J18)</f>
        <v>34922201.1666667</v>
      </c>
      <c r="K16" s="21" t="n">
        <f aca="false">IF(②前提!$C$31=2,②前提!$C$32/12,K18)</f>
        <v>34922201.1666667</v>
      </c>
      <c r="L16" s="21" t="n">
        <f aca="false">IF(②前提!$C$31=2,②前提!$C$32/12,L18)</f>
        <v>34922201.1666667</v>
      </c>
      <c r="M16" s="21" t="n">
        <f aca="false">IF(②前提!$C$31=2,②前提!$C$32/12,M18)</f>
        <v>34922201.1666667</v>
      </c>
      <c r="N16" s="21" t="n">
        <f aca="false">IF(②前提!$C$31=2,②前提!$C$32/12,N18)</f>
        <v>34922201.1666667</v>
      </c>
      <c r="O16" s="21" t="n">
        <f aca="false">IF(②前提!$C$31=2,②前提!$C$32/12,O18)</f>
        <v>34922201.1666667</v>
      </c>
      <c r="P16" s="6" t="n">
        <f aca="false">SUM(D16:O16)</f>
        <v>419066414</v>
      </c>
      <c r="Q16" s="2" t="s">
        <v>281</v>
      </c>
    </row>
    <row r="17" customFormat="false" ht="15" hidden="false" customHeight="false" outlineLevel="0" collapsed="false">
      <c r="B17" s="42" t="s">
        <v>282</v>
      </c>
      <c r="D17" s="24" t="n">
        <f aca="false">D16+$C$13+D14+D15</f>
        <v>34922201.1666667</v>
      </c>
      <c r="E17" s="24" t="n">
        <f aca="false">E16+$C$13+E14+E15</f>
        <v>34922201.1666667</v>
      </c>
      <c r="F17" s="24" t="n">
        <f aca="false">F16+$C$13+F14+F15</f>
        <v>34922201.1666667</v>
      </c>
      <c r="G17" s="24" t="n">
        <f aca="false">G16+$C$13+G14+G15</f>
        <v>34922201.1666667</v>
      </c>
      <c r="H17" s="24" t="n">
        <f aca="false">H16+$C$13+H14+H15</f>
        <v>34922201.1666667</v>
      </c>
      <c r="I17" s="24" t="n">
        <f aca="false">I16+$C$13+I14+I15</f>
        <v>34922201.1666667</v>
      </c>
      <c r="J17" s="24" t="n">
        <f aca="false">J16+$C$13+J14+J15</f>
        <v>34922201.1666667</v>
      </c>
      <c r="K17" s="24" t="n">
        <f aca="false">K16+$C$13+K14+K15</f>
        <v>34922201.1666667</v>
      </c>
      <c r="L17" s="24" t="n">
        <f aca="false">L16+$C$13+L14+L15</f>
        <v>34922201.1666667</v>
      </c>
      <c r="M17" s="24" t="n">
        <f aca="false">M16+$C$13+M14+M15</f>
        <v>34922201.1666667</v>
      </c>
      <c r="N17" s="24" t="n">
        <f aca="false">N16+$C$13+N14+N15</f>
        <v>34922201.1666667</v>
      </c>
      <c r="O17" s="24" t="n">
        <f aca="false">O16+$C$13+O14+O15</f>
        <v>34922201.1666667</v>
      </c>
      <c r="P17" s="6" t="n">
        <f aca="false">SUM(D17:O17)</f>
        <v>419066414</v>
      </c>
    </row>
    <row r="18" customFormat="false" ht="15" hidden="false" customHeight="false" outlineLevel="0" collapsed="false">
      <c r="B18" s="10" t="s">
        <v>283</v>
      </c>
      <c r="D18" s="55" t="n">
        <f aca="false">③FY2027月次推移!D9</f>
        <v>35626254.5333333</v>
      </c>
      <c r="E18" s="55" t="n">
        <f aca="false">③FY2027月次推移!E9</f>
        <v>35626254.5333333</v>
      </c>
      <c r="F18" s="55" t="n">
        <f aca="false">③FY2027月次推移!F9</f>
        <v>35626254.5333333</v>
      </c>
      <c r="G18" s="55" t="n">
        <f aca="false">③FY2027月次推移!G9</f>
        <v>35626254.5333333</v>
      </c>
      <c r="H18" s="55" t="n">
        <f aca="false">③FY2027月次推移!H9</f>
        <v>35626254.5333333</v>
      </c>
      <c r="I18" s="55" t="n">
        <f aca="false">③FY2027月次推移!I9</f>
        <v>35626254.5333333</v>
      </c>
      <c r="J18" s="55" t="n">
        <f aca="false">③FY2027月次推移!J9</f>
        <v>35626254.5333333</v>
      </c>
      <c r="K18" s="55" t="n">
        <f aca="false">③FY2027月次推移!K9</f>
        <v>35626254.5333333</v>
      </c>
      <c r="L18" s="55" t="n">
        <f aca="false">③FY2027月次推移!L9</f>
        <v>35626254.5333333</v>
      </c>
      <c r="M18" s="55" t="n">
        <f aca="false">③FY2027月次推移!M9</f>
        <v>35626254.5333333</v>
      </c>
      <c r="N18" s="55" t="n">
        <f aca="false">③FY2027月次推移!N9</f>
        <v>35626254.5333333</v>
      </c>
      <c r="O18" s="55" t="n">
        <f aca="false">③FY2027月次推移!O9</f>
        <v>35626254.5333333</v>
      </c>
      <c r="P18" s="6" t="n">
        <f aca="false">SUM(D18:O18)</f>
        <v>427515054.4</v>
      </c>
    </row>
    <row r="19" customFormat="false" ht="15" hidden="false" customHeight="false" outlineLevel="0" collapsed="false">
      <c r="B19" s="42" t="s">
        <v>284</v>
      </c>
      <c r="D19" s="64" t="n">
        <f aca="false">$C$12+D17-D18</f>
        <v>419295946.633333</v>
      </c>
      <c r="E19" s="64" t="n">
        <f aca="false">D19+E17-E18</f>
        <v>418591893.266667</v>
      </c>
      <c r="F19" s="64" t="n">
        <f aca="false">E19+F17-F18</f>
        <v>417887839.9</v>
      </c>
      <c r="G19" s="64" t="n">
        <f aca="false">F19+G17-G18</f>
        <v>417183786.533333</v>
      </c>
      <c r="H19" s="64" t="n">
        <f aca="false">G19+H17-H18</f>
        <v>416479733.166667</v>
      </c>
      <c r="I19" s="64" t="n">
        <f aca="false">H19+I17-I18</f>
        <v>415775679.8</v>
      </c>
      <c r="J19" s="64" t="n">
        <f aca="false">I19+J17-J18</f>
        <v>415071626.433333</v>
      </c>
      <c r="K19" s="64" t="n">
        <f aca="false">J19+K17-K18</f>
        <v>414367573.066667</v>
      </c>
      <c r="L19" s="64" t="n">
        <f aca="false">K19+L17-L18</f>
        <v>413663519.7</v>
      </c>
      <c r="M19" s="64" t="n">
        <f aca="false">L19+M17-M18</f>
        <v>412959466.333333</v>
      </c>
      <c r="N19" s="64" t="n">
        <f aca="false">M19+N17-N18</f>
        <v>412255412.966667</v>
      </c>
      <c r="O19" s="64" t="n">
        <f aca="false">N19+O17-O18</f>
        <v>411551359.6</v>
      </c>
      <c r="P19" s="65" t="n">
        <f aca="false">O19</f>
        <v>411551359.6</v>
      </c>
    </row>
    <row r="21" customFormat="false" ht="15" hidden="false" customHeight="false" outlineLevel="0" collapsed="false">
      <c r="B21" s="16" t="s">
        <v>285</v>
      </c>
    </row>
    <row r="22" customFormat="false" ht="15" hidden="false" customHeight="false" outlineLevel="0" collapsed="false">
      <c r="B22" s="16" t="s">
        <v>286</v>
      </c>
    </row>
    <row r="23" customFormat="false" ht="15" hidden="false" customHeight="false" outlineLevel="0" collapsed="false">
      <c r="B23" s="46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15" min="4" style="0" width="12.5"/>
    <col collapsed="false" customWidth="true" hidden="false" outlineLevel="0" max="16" min="16" style="0" width="15"/>
    <col collapsed="false" customWidth="true" hidden="false" outlineLevel="0" max="17" min="17" style="0" width="46"/>
  </cols>
  <sheetData>
    <row r="1" customFormat="false" ht="19.4" hidden="false" customHeight="false" outlineLevel="0" collapsed="false">
      <c r="B1" s="43" t="s">
        <v>288</v>
      </c>
    </row>
    <row r="2" customFormat="false" ht="15" hidden="false" customHeight="false" outlineLevel="0" collapsed="false">
      <c r="B2" s="2" t="s">
        <v>289</v>
      </c>
    </row>
    <row r="4" customFormat="false" ht="15" hidden="false" customHeight="false" outlineLevel="0" collapsed="false">
      <c r="B4" s="3" t="s">
        <v>290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5" hidden="false" customHeight="false" outlineLevel="0" collapsed="false">
      <c r="B5" s="10" t="s">
        <v>291</v>
      </c>
      <c r="C5" s="8" t="n">
        <v>30000000</v>
      </c>
      <c r="D5" s="46" t="s">
        <v>292</v>
      </c>
    </row>
    <row r="6" customFormat="false" ht="15" hidden="false" customHeight="false" outlineLevel="0" collapsed="false">
      <c r="B6" s="10" t="s">
        <v>168</v>
      </c>
      <c r="C6" s="66" t="n">
        <f aca="false">②前提!$C$36</f>
        <v>0.1</v>
      </c>
      <c r="D6" s="2" t="s">
        <v>293</v>
      </c>
    </row>
    <row r="7" customFormat="false" ht="15" hidden="false" customHeight="false" outlineLevel="0" collapsed="false">
      <c r="B7" s="10" t="s">
        <v>294</v>
      </c>
      <c r="C7" s="67" t="n">
        <v>1</v>
      </c>
      <c r="D7" s="2" t="s">
        <v>295</v>
      </c>
    </row>
    <row r="8" customFormat="false" ht="15" hidden="false" customHeight="false" outlineLevel="0" collapsed="false">
      <c r="B8" s="10" t="s">
        <v>296</v>
      </c>
      <c r="C8" s="67" t="n">
        <v>1</v>
      </c>
      <c r="D8" s="2" t="s">
        <v>297</v>
      </c>
    </row>
    <row r="9" customFormat="false" ht="15" hidden="false" customHeight="false" outlineLevel="0" collapsed="false">
      <c r="B9" s="10" t="s">
        <v>298</v>
      </c>
      <c r="C9" s="8" t="n">
        <v>2662179</v>
      </c>
      <c r="D9" s="16" t="s">
        <v>299</v>
      </c>
    </row>
    <row r="10" customFormat="false" ht="15" hidden="false" customHeight="false" outlineLevel="0" collapsed="false">
      <c r="B10" s="10" t="s">
        <v>300</v>
      </c>
      <c r="C10" s="20" t="n">
        <v>0</v>
      </c>
      <c r="D10" s="2" t="s">
        <v>301</v>
      </c>
    </row>
    <row r="12" customFormat="false" ht="15" hidden="false" customHeight="false" outlineLevel="0" collapsed="false">
      <c r="B12" s="29" t="s">
        <v>33</v>
      </c>
      <c r="C12" s="44" t="s">
        <v>271</v>
      </c>
      <c r="D12" s="37" t="s">
        <v>207</v>
      </c>
      <c r="E12" s="37" t="s">
        <v>208</v>
      </c>
      <c r="F12" s="37" t="s">
        <v>209</v>
      </c>
      <c r="G12" s="37" t="s">
        <v>210</v>
      </c>
      <c r="H12" s="37" t="s">
        <v>211</v>
      </c>
      <c r="I12" s="37" t="s">
        <v>212</v>
      </c>
      <c r="J12" s="37" t="s">
        <v>213</v>
      </c>
      <c r="K12" s="37" t="s">
        <v>214</v>
      </c>
      <c r="L12" s="37" t="s">
        <v>215</v>
      </c>
      <c r="M12" s="37" t="s">
        <v>216</v>
      </c>
      <c r="N12" s="37" t="s">
        <v>217</v>
      </c>
      <c r="O12" s="37" t="s">
        <v>218</v>
      </c>
      <c r="P12" s="44" t="s">
        <v>87</v>
      </c>
    </row>
    <row r="13" customFormat="false" ht="15" hidden="false" customHeight="false" outlineLevel="0" collapsed="false">
      <c r="B13" s="41" t="s">
        <v>302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</row>
    <row r="14" customFormat="false" ht="15" hidden="false" customHeight="false" outlineLevel="0" collapsed="false">
      <c r="B14" s="68" t="s">
        <v>303</v>
      </c>
      <c r="D14" s="55" t="n">
        <f aca="false">③FY2027月次推移!D8*(1+$C$6)</f>
        <v>66965741.3333333</v>
      </c>
      <c r="E14" s="55" t="n">
        <f aca="false">③FY2027月次推移!E8*(1+$C$6)</f>
        <v>66965741.3333333</v>
      </c>
      <c r="F14" s="55" t="n">
        <f aca="false">③FY2027月次推移!F8*(1+$C$6)</f>
        <v>66965741.3333333</v>
      </c>
      <c r="G14" s="55" t="n">
        <f aca="false">③FY2027月次推移!G8*(1+$C$6)</f>
        <v>66965741.3333333</v>
      </c>
      <c r="H14" s="55" t="n">
        <f aca="false">③FY2027月次推移!H8*(1+$C$6)</f>
        <v>66965741.3333333</v>
      </c>
      <c r="I14" s="55" t="n">
        <f aca="false">③FY2027月次推移!I8*(1+$C$6)</f>
        <v>66965741.3333333</v>
      </c>
      <c r="J14" s="55" t="n">
        <f aca="false">③FY2027月次推移!J8*(1+$C$6)</f>
        <v>66965741.3333333</v>
      </c>
      <c r="K14" s="55" t="n">
        <f aca="false">③FY2027月次推移!K8*(1+$C$6)</f>
        <v>66965741.3333333</v>
      </c>
      <c r="L14" s="55" t="n">
        <f aca="false">③FY2027月次推移!L8*(1+$C$6)</f>
        <v>66965741.3333333</v>
      </c>
      <c r="M14" s="55" t="n">
        <f aca="false">③FY2027月次推移!M8*(1+$C$6)</f>
        <v>66965741.3333333</v>
      </c>
      <c r="N14" s="55" t="n">
        <f aca="false">③FY2027月次推移!N8*(1+$C$6)</f>
        <v>66965741.3333333</v>
      </c>
      <c r="O14" s="55" t="n">
        <f aca="false">③FY2027月次推移!O8*(1+$C$6)</f>
        <v>66965741.3333333</v>
      </c>
      <c r="P14" s="6" t="n">
        <f aca="false">SUM(D14:O14)</f>
        <v>803588896</v>
      </c>
    </row>
    <row r="15" customFormat="false" ht="15" hidden="false" customHeight="false" outlineLevel="0" collapsed="false">
      <c r="B15" s="68" t="s">
        <v>304</v>
      </c>
      <c r="D15" s="55" t="n">
        <f aca="false">SUM(③FY2027月次推移!D12:D14)*(1+$C$6)</f>
        <v>8479166.66666667</v>
      </c>
      <c r="E15" s="55" t="n">
        <f aca="false">SUM(③FY2027月次推移!E12:E14)*(1+$C$6)</f>
        <v>8479166.66666667</v>
      </c>
      <c r="F15" s="55" t="n">
        <f aca="false">SUM(③FY2027月次推移!F12:F14)*(1+$C$6)</f>
        <v>8479166.66666667</v>
      </c>
      <c r="G15" s="55" t="n">
        <f aca="false">SUM(③FY2027月次推移!G12:G14)*(1+$C$6)</f>
        <v>8479166.66666667</v>
      </c>
      <c r="H15" s="55" t="n">
        <f aca="false">SUM(③FY2027月次推移!H12:H14)*(1+$C$6)</f>
        <v>8479166.66666667</v>
      </c>
      <c r="I15" s="55" t="n">
        <f aca="false">SUM(③FY2027月次推移!I12:I14)*(1+$C$6)</f>
        <v>8479166.66666667</v>
      </c>
      <c r="J15" s="55" t="n">
        <f aca="false">SUM(③FY2027月次推移!J12:J14)*(1+$C$6)</f>
        <v>8479166.66666667</v>
      </c>
      <c r="K15" s="55" t="n">
        <f aca="false">SUM(③FY2027月次推移!K12:K14)*(1+$C$6)</f>
        <v>8479166.66666667</v>
      </c>
      <c r="L15" s="55" t="n">
        <f aca="false">SUM(③FY2027月次推移!L12:L14)*(1+$C$6)</f>
        <v>8479166.66666667</v>
      </c>
      <c r="M15" s="55" t="n">
        <f aca="false">SUM(③FY2027月次推移!M12:M14)*(1+$C$6)</f>
        <v>8479166.66666667</v>
      </c>
      <c r="N15" s="55" t="n">
        <f aca="false">SUM(③FY2027月次推移!N12:N14)*(1+$C$6)</f>
        <v>8479166.66666667</v>
      </c>
      <c r="O15" s="55" t="n">
        <f aca="false">SUM(③FY2027月次推移!O12:O14)*(1+$C$6)</f>
        <v>8479166.66666667</v>
      </c>
      <c r="P15" s="6" t="n">
        <f aca="false">SUM(D15:O15)</f>
        <v>101750000</v>
      </c>
    </row>
    <row r="16" customFormat="false" ht="15" hidden="false" customHeight="false" outlineLevel="0" collapsed="false">
      <c r="B16" s="69" t="s">
        <v>305</v>
      </c>
      <c r="D16" s="55" t="n">
        <f aca="false">③FY2027月次推移!D15*(1+$C$6)</f>
        <v>0</v>
      </c>
      <c r="E16" s="55" t="n">
        <f aca="false">③FY2027月次推移!E15*(1+$C$6)</f>
        <v>0</v>
      </c>
      <c r="F16" s="55" t="n">
        <f aca="false">③FY2027月次推移!F15*(1+$C$6)</f>
        <v>0</v>
      </c>
      <c r="G16" s="55" t="n">
        <f aca="false">③FY2027月次推移!G15*(1+$C$6)</f>
        <v>0</v>
      </c>
      <c r="H16" s="55" t="n">
        <f aca="false">③FY2027月次推移!H15*(1+$C$6)</f>
        <v>0</v>
      </c>
      <c r="I16" s="55" t="n">
        <f aca="false">③FY2027月次推移!I15*(1+$C$6)</f>
        <v>22000000</v>
      </c>
      <c r="J16" s="55" t="n">
        <f aca="false">③FY2027月次推移!J15*(1+$C$6)</f>
        <v>0</v>
      </c>
      <c r="K16" s="55" t="n">
        <f aca="false">③FY2027月次推移!K15*(1+$C$6)</f>
        <v>0</v>
      </c>
      <c r="L16" s="55" t="n">
        <f aca="false">③FY2027月次推移!L15*(1+$C$6)</f>
        <v>0</v>
      </c>
      <c r="M16" s="55" t="n">
        <f aca="false">③FY2027月次推移!M15*(1+$C$6)</f>
        <v>0</v>
      </c>
      <c r="N16" s="55" t="n">
        <f aca="false">③FY2027月次推移!N15*(1+$C$6)</f>
        <v>0</v>
      </c>
      <c r="O16" s="55" t="n">
        <f aca="false">③FY2027月次推移!O15*(1+$C$6)</f>
        <v>0</v>
      </c>
      <c r="P16" s="6" t="n">
        <f aca="false">SUM(D16:O16)</f>
        <v>22000000</v>
      </c>
    </row>
    <row r="17" customFormat="false" ht="15" hidden="false" customHeight="false" outlineLevel="0" collapsed="false">
      <c r="B17" s="10" t="s">
        <v>306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6" t="n">
        <f aca="false">SUM(D17:O17)</f>
        <v>0</v>
      </c>
      <c r="Q17" s="46" t="s">
        <v>307</v>
      </c>
    </row>
    <row r="18" customFormat="false" ht="15" hidden="false" customHeight="false" outlineLevel="0" collapsed="false">
      <c r="B18" s="68" t="s">
        <v>308</v>
      </c>
      <c r="D18" s="55" t="n">
        <f aca="false">③FY2027月次推移!D16*(1+$C$6)</f>
        <v>0</v>
      </c>
      <c r="E18" s="55" t="n">
        <f aca="false">③FY2027月次推移!E16*(1+$C$6)</f>
        <v>0</v>
      </c>
      <c r="F18" s="55" t="n">
        <f aca="false">③FY2027月次推移!F16*(1+$C$6)</f>
        <v>0</v>
      </c>
      <c r="G18" s="55" t="n">
        <f aca="false">③FY2027月次推移!G16*(1+$C$6)</f>
        <v>0</v>
      </c>
      <c r="H18" s="55" t="n">
        <f aca="false">③FY2027月次推移!H16*(1+$C$6)</f>
        <v>0</v>
      </c>
      <c r="I18" s="55" t="n">
        <f aca="false">③FY2027月次推移!I16*(1+$C$6)</f>
        <v>11000000</v>
      </c>
      <c r="J18" s="55" t="n">
        <f aca="false">③FY2027月次推移!J16*(1+$C$6)</f>
        <v>0</v>
      </c>
      <c r="K18" s="55" t="n">
        <f aca="false">③FY2027月次推移!K16*(1+$C$6)</f>
        <v>0</v>
      </c>
      <c r="L18" s="55" t="n">
        <f aca="false">③FY2027月次推移!L16*(1+$C$6)</f>
        <v>0</v>
      </c>
      <c r="M18" s="55" t="n">
        <f aca="false">③FY2027月次推移!M16*(1+$C$6)</f>
        <v>0</v>
      </c>
      <c r="N18" s="55" t="n">
        <f aca="false">③FY2027月次推移!N16*(1+$C$6)</f>
        <v>0</v>
      </c>
      <c r="O18" s="55" t="n">
        <f aca="false">③FY2027月次推移!O16*(1+$C$6)</f>
        <v>11000000</v>
      </c>
      <c r="P18" s="6" t="n">
        <f aca="false">SUM(D18:O18)</f>
        <v>22000000</v>
      </c>
      <c r="Q18" s="2" t="s">
        <v>309</v>
      </c>
    </row>
    <row r="19" customFormat="false" ht="15" hidden="false" customHeight="false" outlineLevel="0" collapsed="false">
      <c r="B19" s="23" t="s">
        <v>310</v>
      </c>
      <c r="D19" s="24" t="n">
        <f aca="false">SUM(D14:D18)</f>
        <v>75444908</v>
      </c>
      <c r="E19" s="24" t="n">
        <f aca="false">SUM(E14:E18)</f>
        <v>75444908</v>
      </c>
      <c r="F19" s="24" t="n">
        <f aca="false">SUM(F14:F18)</f>
        <v>75444908</v>
      </c>
      <c r="G19" s="24" t="n">
        <f aca="false">SUM(G14:G18)</f>
        <v>75444908</v>
      </c>
      <c r="H19" s="24" t="n">
        <f aca="false">SUM(H14:H18)</f>
        <v>75444908</v>
      </c>
      <c r="I19" s="24" t="n">
        <f aca="false">SUM(I14:I18)</f>
        <v>108444908</v>
      </c>
      <c r="J19" s="24" t="n">
        <f aca="false">SUM(J14:J18)</f>
        <v>75444908</v>
      </c>
      <c r="K19" s="24" t="n">
        <f aca="false">SUM(K14:K18)</f>
        <v>75444908</v>
      </c>
      <c r="L19" s="24" t="n">
        <f aca="false">SUM(L14:L18)</f>
        <v>75444908</v>
      </c>
      <c r="M19" s="24" t="n">
        <f aca="false">SUM(M14:M18)</f>
        <v>75444908</v>
      </c>
      <c r="N19" s="24" t="n">
        <f aca="false">SUM(N14:N18)</f>
        <v>75444908</v>
      </c>
      <c r="O19" s="24" t="n">
        <f aca="false">SUM(O14:O18)</f>
        <v>86444908</v>
      </c>
      <c r="P19" s="24" t="n">
        <f aca="false">SUM(D19:O19)</f>
        <v>949338896</v>
      </c>
    </row>
    <row r="21" customFormat="false" ht="15" hidden="false" customHeight="false" outlineLevel="0" collapsed="false">
      <c r="B21" s="41" t="s">
        <v>311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</row>
    <row r="22" customFormat="false" ht="15" hidden="false" customHeight="false" outlineLevel="0" collapsed="false">
      <c r="B22" s="68" t="s">
        <v>312</v>
      </c>
      <c r="D22" s="55" t="n">
        <f aca="false">⑥ワイン仕入・在庫計画!D17*(1+$C$6)</f>
        <v>38414421.2833333</v>
      </c>
      <c r="E22" s="55" t="n">
        <f aca="false">⑥ワイン仕入・在庫計画!D17*(1+$C$6)</f>
        <v>38414421.2833333</v>
      </c>
      <c r="F22" s="55" t="n">
        <f aca="false">⑥ワイン仕入・在庫計画!E17*(1+$C$6)</f>
        <v>38414421.2833333</v>
      </c>
      <c r="G22" s="55" t="n">
        <f aca="false">⑥ワイン仕入・在庫計画!F17*(1+$C$6)</f>
        <v>38414421.2833333</v>
      </c>
      <c r="H22" s="55" t="n">
        <f aca="false">⑥ワイン仕入・在庫計画!G17*(1+$C$6)</f>
        <v>38414421.2833333</v>
      </c>
      <c r="I22" s="55" t="n">
        <f aca="false">⑥ワイン仕入・在庫計画!H17*(1+$C$6)</f>
        <v>38414421.2833333</v>
      </c>
      <c r="J22" s="55" t="n">
        <f aca="false">⑥ワイン仕入・在庫計画!I17*(1+$C$6)</f>
        <v>38414421.2833333</v>
      </c>
      <c r="K22" s="55" t="n">
        <f aca="false">⑥ワイン仕入・在庫計画!J17*(1+$C$6)</f>
        <v>38414421.2833333</v>
      </c>
      <c r="L22" s="55" t="n">
        <f aca="false">⑥ワイン仕入・在庫計画!K17*(1+$C$6)</f>
        <v>38414421.2833333</v>
      </c>
      <c r="M22" s="55" t="n">
        <f aca="false">⑥ワイン仕入・在庫計画!L17*(1+$C$6)</f>
        <v>38414421.2833333</v>
      </c>
      <c r="N22" s="55" t="n">
        <f aca="false">⑥ワイン仕入・在庫計画!M17*(1+$C$6)</f>
        <v>38414421.2833333</v>
      </c>
      <c r="O22" s="55" t="n">
        <f aca="false">⑥ワイン仕入・在庫計画!N17*(1+$C$6)</f>
        <v>38414421.2833333</v>
      </c>
      <c r="P22" s="6" t="n">
        <f aca="false">SUM(D22:O22)</f>
        <v>460973055.4</v>
      </c>
    </row>
    <row r="23" customFormat="false" ht="15" hidden="false" customHeight="false" outlineLevel="0" collapsed="false">
      <c r="B23" s="68" t="s">
        <v>313</v>
      </c>
      <c r="D23" s="55" t="n">
        <f aca="false">AVERAGE(④FY2026月次実績!I11:K11)+AVERAGE(④FY2026月次実績!I12:K12)+AVERAGE(④FY2026月次実績!I13:K13)+AVERAGE(④FY2026月次実績!I14:K14)</f>
        <v>6089866.33333333</v>
      </c>
      <c r="E23" s="55" t="n">
        <f aca="false">AVERAGE(④FY2026月次実績!I11:K11)+AVERAGE(④FY2026月次実績!I12:K12)+AVERAGE(④FY2026月次実績!I13:K13)+AVERAGE(④FY2026月次実績!I14:K14)</f>
        <v>6089866.33333333</v>
      </c>
      <c r="F23" s="55" t="n">
        <f aca="false">AVERAGE(④FY2026月次実績!I11:K11)+AVERAGE(④FY2026月次実績!I12:K12)+AVERAGE(④FY2026月次実績!I13:K13)+AVERAGE(④FY2026月次実績!I14:K14)</f>
        <v>6089866.33333333</v>
      </c>
      <c r="G23" s="55" t="n">
        <f aca="false">AVERAGE(④FY2026月次実績!I11:K11)+AVERAGE(④FY2026月次実績!I12:K12)+AVERAGE(④FY2026月次実績!I13:K13)+AVERAGE(④FY2026月次実績!I14:K14)</f>
        <v>6089866.33333333</v>
      </c>
      <c r="H23" s="55" t="n">
        <f aca="false">AVERAGE(④FY2026月次実績!I11:K11)+AVERAGE(④FY2026月次実績!I12:K12)+AVERAGE(④FY2026月次実績!I13:K13)+AVERAGE(④FY2026月次実績!I14:K14)</f>
        <v>6089866.33333333</v>
      </c>
      <c r="I23" s="55" t="n">
        <f aca="false">AVERAGE(④FY2026月次実績!I11:K11)+AVERAGE(④FY2026月次実績!I12:K12)+AVERAGE(④FY2026月次実績!I13:K13)+AVERAGE(④FY2026月次実績!I14:K14)</f>
        <v>6089866.33333333</v>
      </c>
      <c r="J23" s="55" t="n">
        <f aca="false">AVERAGE(④FY2026月次実績!I11:K11)+AVERAGE(④FY2026月次実績!I12:K12)+AVERAGE(④FY2026月次実績!I13:K13)+AVERAGE(④FY2026月次実績!I14:K14)</f>
        <v>6089866.33333333</v>
      </c>
      <c r="K23" s="55" t="n">
        <f aca="false">AVERAGE(④FY2026月次実績!I11:K11)+AVERAGE(④FY2026月次実績!I12:K12)+AVERAGE(④FY2026月次実績!I13:K13)+AVERAGE(④FY2026月次実績!I14:K14)</f>
        <v>6089866.33333333</v>
      </c>
      <c r="L23" s="55" t="n">
        <f aca="false">AVERAGE(④FY2026月次実績!I11:K11)+AVERAGE(④FY2026月次実績!I12:K12)+AVERAGE(④FY2026月次実績!I13:K13)+AVERAGE(④FY2026月次実績!I14:K14)</f>
        <v>6089866.33333333</v>
      </c>
      <c r="M23" s="55" t="n">
        <f aca="false">AVERAGE(④FY2026月次実績!I11:K11)+AVERAGE(④FY2026月次実績!I12:K12)+AVERAGE(④FY2026月次実績!I13:K13)+AVERAGE(④FY2026月次実績!I14:K14)</f>
        <v>6089866.33333333</v>
      </c>
      <c r="N23" s="55" t="n">
        <f aca="false">AVERAGE(④FY2026月次実績!I11:K11)+AVERAGE(④FY2026月次実績!I12:K12)+AVERAGE(④FY2026月次実績!I13:K13)+AVERAGE(④FY2026月次実績!I14:K14)</f>
        <v>6089866.33333333</v>
      </c>
      <c r="O23" s="55" t="n">
        <f aca="false">AVERAGE(④FY2026月次実績!I11:K11)+AVERAGE(④FY2026月次実績!I12:K12)+AVERAGE(④FY2026月次実績!I13:K13)+AVERAGE(④FY2026月次実績!I14:K14)</f>
        <v>6089866.33333333</v>
      </c>
      <c r="P23" s="6" t="n">
        <f aca="false">SUM(D23:O23)</f>
        <v>73078396</v>
      </c>
    </row>
    <row r="24" customFormat="false" ht="15" hidden="false" customHeight="false" outlineLevel="0" collapsed="false">
      <c r="B24" s="68" t="s">
        <v>314</v>
      </c>
      <c r="D24" s="55" t="n">
        <f aca="false">((③FY2027月次推移!D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E24" s="55" t="n">
        <f aca="false">((③FY2027月次推移!E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F24" s="55" t="n">
        <f aca="false">((③FY2027月次推移!F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G24" s="55" t="n">
        <f aca="false">((③FY2027月次推移!G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H24" s="55" t="n">
        <f aca="false">((③FY2027月次推移!H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I24" s="55" t="n">
        <f aca="false">((③FY2027月次推移!I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J24" s="55" t="n">
        <f aca="false">((③FY2027月次推移!J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K24" s="55" t="n">
        <f aca="false">((③FY2027月次推移!K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L24" s="55" t="n">
        <f aca="false">((③FY2027月次推移!L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M24" s="55" t="n">
        <f aca="false">((③FY2027月次推移!M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N24" s="55" t="n">
        <f aca="false">((③FY2027月次推移!N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O24" s="55" t="n">
        <f aca="false">((③FY2027月次推移!O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P24" s="6" t="n">
        <f aca="false">SUM(D24:O24)</f>
        <v>201149918.8</v>
      </c>
    </row>
    <row r="25" customFormat="false" ht="15" hidden="false" customHeight="false" outlineLevel="0" collapsed="false">
      <c r="B25" s="68" t="s">
        <v>315</v>
      </c>
      <c r="D25" s="55" t="n">
        <f aca="false">③FY2027月次推移!D48</f>
        <v>1250000</v>
      </c>
      <c r="E25" s="55" t="n">
        <f aca="false">③FY2027月次推移!E48</f>
        <v>1250000</v>
      </c>
      <c r="F25" s="55" t="n">
        <f aca="false">③FY2027月次推移!F48</f>
        <v>1250000</v>
      </c>
      <c r="G25" s="55" t="n">
        <f aca="false">③FY2027月次推移!G48</f>
        <v>1250000</v>
      </c>
      <c r="H25" s="55" t="n">
        <f aca="false">③FY2027月次推移!H48</f>
        <v>1250000</v>
      </c>
      <c r="I25" s="55" t="n">
        <f aca="false">③FY2027月次推移!I48</f>
        <v>1250000</v>
      </c>
      <c r="J25" s="55" t="n">
        <f aca="false">③FY2027月次推移!J48</f>
        <v>1250000</v>
      </c>
      <c r="K25" s="55" t="n">
        <f aca="false">③FY2027月次推移!K48</f>
        <v>1250000</v>
      </c>
      <c r="L25" s="55" t="n">
        <f aca="false">③FY2027月次推移!L48</f>
        <v>1250000</v>
      </c>
      <c r="M25" s="55" t="n">
        <f aca="false">③FY2027月次推移!M48</f>
        <v>1250000</v>
      </c>
      <c r="N25" s="55" t="n">
        <f aca="false">③FY2027月次推移!N48</f>
        <v>1250000</v>
      </c>
      <c r="O25" s="55" t="n">
        <f aca="false">③FY2027月次推移!O48</f>
        <v>1250000</v>
      </c>
      <c r="P25" s="6" t="n">
        <f aca="false">SUM(D25:O25)</f>
        <v>15000000</v>
      </c>
    </row>
    <row r="26" customFormat="false" ht="15" hidden="false" customHeight="false" outlineLevel="0" collapsed="false">
      <c r="B26" s="68" t="s">
        <v>316</v>
      </c>
      <c r="D26" s="55" t="n">
        <v>0</v>
      </c>
      <c r="E26" s="55" t="n">
        <f aca="false">②前提!$C$44</f>
        <v>3554509.09999999</v>
      </c>
      <c r="F26" s="55" t="n">
        <v>0</v>
      </c>
      <c r="G26" s="55" t="n">
        <v>0</v>
      </c>
      <c r="H26" s="55" t="n">
        <f aca="false">②前提!$C$45</f>
        <v>2013627.275</v>
      </c>
      <c r="I26" s="55" t="n">
        <v>0</v>
      </c>
      <c r="J26" s="55" t="n">
        <v>0</v>
      </c>
      <c r="K26" s="55" t="n">
        <f aca="false">②前提!$C$45</f>
        <v>2013627.275</v>
      </c>
      <c r="L26" s="55" t="n">
        <v>0</v>
      </c>
      <c r="M26" s="55" t="n">
        <v>0</v>
      </c>
      <c r="N26" s="55" t="n">
        <f aca="false">②前提!$C$45</f>
        <v>2013627.275</v>
      </c>
      <c r="O26" s="55" t="n">
        <v>0</v>
      </c>
      <c r="P26" s="6" t="n">
        <f aca="false">SUM(D26:O26)</f>
        <v>9595390.92499999</v>
      </c>
      <c r="Q26" s="16" t="s">
        <v>317</v>
      </c>
    </row>
    <row r="27" customFormat="false" ht="15" hidden="false" customHeight="false" outlineLevel="0" collapsed="false">
      <c r="B27" s="10" t="s">
        <v>318</v>
      </c>
      <c r="D27" s="8" t="n">
        <v>0</v>
      </c>
      <c r="E27" s="8" t="n">
        <v>463105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6" t="n">
        <f aca="false">SUM(D27:O27)</f>
        <v>463105</v>
      </c>
    </row>
    <row r="28" customFormat="false" ht="15" hidden="false" customHeight="false" outlineLevel="0" collapsed="false">
      <c r="B28" s="23" t="s">
        <v>319</v>
      </c>
      <c r="D28" s="24" t="n">
        <f aca="false">SUM(D22:D27)</f>
        <v>62516780.85</v>
      </c>
      <c r="E28" s="24" t="n">
        <f aca="false">SUM(E22:E27)</f>
        <v>66534394.95</v>
      </c>
      <c r="F28" s="24" t="n">
        <f aca="false">SUM(F22:F27)</f>
        <v>62516780.85</v>
      </c>
      <c r="G28" s="24" t="n">
        <f aca="false">SUM(G22:G27)</f>
        <v>62516780.85</v>
      </c>
      <c r="H28" s="24" t="n">
        <f aca="false">SUM(H22:H27)</f>
        <v>64530408.125</v>
      </c>
      <c r="I28" s="24" t="n">
        <f aca="false">SUM(I22:I27)</f>
        <v>62516780.85</v>
      </c>
      <c r="J28" s="24" t="n">
        <f aca="false">SUM(J22:J27)</f>
        <v>62516780.85</v>
      </c>
      <c r="K28" s="24" t="n">
        <f aca="false">SUM(K22:K27)</f>
        <v>64530408.125</v>
      </c>
      <c r="L28" s="24" t="n">
        <f aca="false">SUM(L22:L27)</f>
        <v>62516780.85</v>
      </c>
      <c r="M28" s="24" t="n">
        <f aca="false">SUM(M22:M27)</f>
        <v>62516780.85</v>
      </c>
      <c r="N28" s="24" t="n">
        <f aca="false">SUM(N22:N27)</f>
        <v>64530408.125</v>
      </c>
      <c r="O28" s="24" t="n">
        <f aca="false">SUM(O22:O27)</f>
        <v>62516780.85</v>
      </c>
      <c r="P28" s="24" t="n">
        <f aca="false">SUM(D28:O28)</f>
        <v>760259866.125</v>
      </c>
    </row>
    <row r="29" customFormat="false" ht="15" hidden="false" customHeight="false" outlineLevel="0" collapsed="false">
      <c r="B29" s="23" t="s">
        <v>320</v>
      </c>
      <c r="D29" s="24" t="n">
        <f aca="false">D19-D28</f>
        <v>12928127.15</v>
      </c>
      <c r="E29" s="24" t="n">
        <f aca="false">E19-E28</f>
        <v>8910513.05</v>
      </c>
      <c r="F29" s="24" t="n">
        <f aca="false">F19-F28</f>
        <v>12928127.15</v>
      </c>
      <c r="G29" s="24" t="n">
        <f aca="false">G19-G28</f>
        <v>12928127.15</v>
      </c>
      <c r="H29" s="24" t="n">
        <f aca="false">H19-H28</f>
        <v>10914499.875</v>
      </c>
      <c r="I29" s="24" t="n">
        <f aca="false">I19-I28</f>
        <v>45928127.15</v>
      </c>
      <c r="J29" s="24" t="n">
        <f aca="false">J19-J28</f>
        <v>12928127.15</v>
      </c>
      <c r="K29" s="24" t="n">
        <f aca="false">K19-K28</f>
        <v>10914499.875</v>
      </c>
      <c r="L29" s="24" t="n">
        <f aca="false">L19-L28</f>
        <v>12928127.15</v>
      </c>
      <c r="M29" s="24" t="n">
        <f aca="false">M19-M28</f>
        <v>12928127.15</v>
      </c>
      <c r="N29" s="24" t="n">
        <f aca="false">N19-N28</f>
        <v>10914499.875</v>
      </c>
      <c r="O29" s="24" t="n">
        <f aca="false">O19-O28</f>
        <v>23928127.15</v>
      </c>
      <c r="P29" s="24" t="n">
        <f aca="false">SUM(D29:O29)</f>
        <v>189079029.875</v>
      </c>
    </row>
    <row r="31" customFormat="false" ht="15" hidden="false" customHeight="false" outlineLevel="0" collapsed="false">
      <c r="B31" s="41" t="s">
        <v>321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</row>
    <row r="32" customFormat="false" ht="15" hidden="false" customHeight="false" outlineLevel="0" collapsed="false">
      <c r="B32" s="68" t="s">
        <v>322</v>
      </c>
      <c r="D32" s="55" t="n">
        <f aca="false">-$C$9</f>
        <v>-2662179</v>
      </c>
      <c r="E32" s="55" t="n">
        <f aca="false">-$C$9</f>
        <v>-2662179</v>
      </c>
      <c r="F32" s="55" t="n">
        <f aca="false">-$C$9</f>
        <v>-2662179</v>
      </c>
      <c r="G32" s="55" t="n">
        <f aca="false">-$C$9</f>
        <v>-2662179</v>
      </c>
      <c r="H32" s="55" t="n">
        <f aca="false">-$C$9</f>
        <v>-2662179</v>
      </c>
      <c r="I32" s="55" t="n">
        <f aca="false">-$C$9</f>
        <v>-2662179</v>
      </c>
      <c r="J32" s="55" t="n">
        <f aca="false">-$C$9</f>
        <v>-2662179</v>
      </c>
      <c r="K32" s="55" t="n">
        <f aca="false">-$C$9</f>
        <v>-2662179</v>
      </c>
      <c r="L32" s="55" t="n">
        <f aca="false">-$C$9</f>
        <v>-2662179</v>
      </c>
      <c r="M32" s="55" t="n">
        <f aca="false">-$C$9</f>
        <v>-2662179</v>
      </c>
      <c r="N32" s="55" t="n">
        <f aca="false">-$C$9</f>
        <v>-2662179</v>
      </c>
      <c r="O32" s="55" t="n">
        <f aca="false">-$C$9</f>
        <v>-2662179</v>
      </c>
      <c r="P32" s="6" t="n">
        <f aca="false">SUM(D32:O32)</f>
        <v>-31946148</v>
      </c>
    </row>
    <row r="33" customFormat="false" ht="15" hidden="false" customHeight="false" outlineLevel="0" collapsed="false">
      <c r="B33" s="68" t="s">
        <v>323</v>
      </c>
      <c r="D33" s="55" t="n">
        <f aca="false">$C$10</f>
        <v>0</v>
      </c>
      <c r="E33" s="55" t="n">
        <f aca="false">$C$10</f>
        <v>0</v>
      </c>
      <c r="F33" s="55" t="n">
        <f aca="false">$C$10</f>
        <v>0</v>
      </c>
      <c r="G33" s="55" t="n">
        <f aca="false">$C$10</f>
        <v>0</v>
      </c>
      <c r="H33" s="55" t="n">
        <f aca="false">$C$10</f>
        <v>0</v>
      </c>
      <c r="I33" s="55" t="n">
        <f aca="false">$C$10</f>
        <v>0</v>
      </c>
      <c r="J33" s="55" t="n">
        <f aca="false">$C$10</f>
        <v>0</v>
      </c>
      <c r="K33" s="55" t="n">
        <f aca="false">$C$10</f>
        <v>0</v>
      </c>
      <c r="L33" s="55" t="n">
        <f aca="false">$C$10</f>
        <v>0</v>
      </c>
      <c r="M33" s="55" t="n">
        <f aca="false">$C$10</f>
        <v>0</v>
      </c>
      <c r="N33" s="55" t="n">
        <f aca="false">$C$10</f>
        <v>0</v>
      </c>
      <c r="O33" s="55" t="n">
        <f aca="false">$C$10</f>
        <v>0</v>
      </c>
      <c r="P33" s="6" t="n">
        <f aca="false">SUM(D33:O33)</f>
        <v>0</v>
      </c>
    </row>
    <row r="34" customFormat="false" ht="15" hidden="false" customHeight="false" outlineLevel="0" collapsed="false">
      <c r="B34" s="10" t="s">
        <v>324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6" t="n">
        <f aca="false">SUM(D34:O34)</f>
        <v>0</v>
      </c>
    </row>
    <row r="35" customFormat="false" ht="15" hidden="false" customHeight="false" outlineLevel="0" collapsed="false">
      <c r="B35" s="10" t="s">
        <v>325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6" t="n">
        <f aca="false">SUM(D35:O35)</f>
        <v>0</v>
      </c>
      <c r="Q35" s="46" t="s">
        <v>326</v>
      </c>
    </row>
    <row r="36" customFormat="false" ht="15" hidden="false" customHeight="false" outlineLevel="0" collapsed="false">
      <c r="B36" s="23" t="s">
        <v>327</v>
      </c>
      <c r="D36" s="24" t="n">
        <f aca="false">SUM(D32:D35)</f>
        <v>-2662179</v>
      </c>
      <c r="E36" s="24" t="n">
        <f aca="false">SUM(E32:E35)</f>
        <v>-2662179</v>
      </c>
      <c r="F36" s="24" t="n">
        <f aca="false">SUM(F32:F35)</f>
        <v>-2662179</v>
      </c>
      <c r="G36" s="24" t="n">
        <f aca="false">SUM(G32:G35)</f>
        <v>-2662179</v>
      </c>
      <c r="H36" s="24" t="n">
        <f aca="false">SUM(H32:H35)</f>
        <v>-2662179</v>
      </c>
      <c r="I36" s="24" t="n">
        <f aca="false">SUM(I32:I35)</f>
        <v>-2662179</v>
      </c>
      <c r="J36" s="24" t="n">
        <f aca="false">SUM(J32:J35)</f>
        <v>-2662179</v>
      </c>
      <c r="K36" s="24" t="n">
        <f aca="false">SUM(K32:K35)</f>
        <v>-2662179</v>
      </c>
      <c r="L36" s="24" t="n">
        <f aca="false">SUM(L32:L35)</f>
        <v>-2662179</v>
      </c>
      <c r="M36" s="24" t="n">
        <f aca="false">SUM(M32:M35)</f>
        <v>-2662179</v>
      </c>
      <c r="N36" s="24" t="n">
        <f aca="false">SUM(N32:N35)</f>
        <v>-2662179</v>
      </c>
      <c r="O36" s="24" t="n">
        <f aca="false">SUM(O32:O35)</f>
        <v>-2662179</v>
      </c>
      <c r="P36" s="24" t="n">
        <f aca="false">SUM(D36:O36)</f>
        <v>-31946148</v>
      </c>
    </row>
    <row r="38" customFormat="false" ht="15" hidden="false" customHeight="false" outlineLevel="0" collapsed="false">
      <c r="B38" s="23" t="s">
        <v>328</v>
      </c>
      <c r="D38" s="24" t="n">
        <f aca="false">D29+D36</f>
        <v>10265948.15</v>
      </c>
      <c r="E38" s="24" t="n">
        <f aca="false">E29+E36</f>
        <v>6248334.05</v>
      </c>
      <c r="F38" s="24" t="n">
        <f aca="false">F29+F36</f>
        <v>10265948.15</v>
      </c>
      <c r="G38" s="24" t="n">
        <f aca="false">G29+G36</f>
        <v>10265948.15</v>
      </c>
      <c r="H38" s="24" t="n">
        <f aca="false">H29+H36</f>
        <v>8252320.875</v>
      </c>
      <c r="I38" s="24" t="n">
        <f aca="false">I29+I36</f>
        <v>43265948.15</v>
      </c>
      <c r="J38" s="24" t="n">
        <f aca="false">J29+J36</f>
        <v>10265948.15</v>
      </c>
      <c r="K38" s="24" t="n">
        <f aca="false">K29+K36</f>
        <v>8252320.875</v>
      </c>
      <c r="L38" s="24" t="n">
        <f aca="false">L29+L36</f>
        <v>10265948.15</v>
      </c>
      <c r="M38" s="24" t="n">
        <f aca="false">M29+M36</f>
        <v>10265948.15</v>
      </c>
      <c r="N38" s="24" t="n">
        <f aca="false">N29+N36</f>
        <v>8252320.875</v>
      </c>
      <c r="O38" s="24" t="n">
        <f aca="false">O29+O36</f>
        <v>21265948.15</v>
      </c>
      <c r="P38" s="24" t="n">
        <f aca="false">SUM(D38:O38)</f>
        <v>157132881.875</v>
      </c>
    </row>
    <row r="39" customFormat="false" ht="15" hidden="false" customHeight="false" outlineLevel="0" collapsed="false">
      <c r="B39" s="10" t="s">
        <v>329</v>
      </c>
      <c r="D39" s="21" t="n">
        <f aca="false">$C$5</f>
        <v>30000000</v>
      </c>
      <c r="E39" s="21" t="n">
        <f aca="false">D40</f>
        <v>40265948.15</v>
      </c>
      <c r="F39" s="21" t="n">
        <f aca="false">E40</f>
        <v>46514282.2</v>
      </c>
      <c r="G39" s="21" t="n">
        <f aca="false">F40</f>
        <v>56780230.35</v>
      </c>
      <c r="H39" s="21" t="n">
        <f aca="false">G40</f>
        <v>67046178.5</v>
      </c>
      <c r="I39" s="21" t="n">
        <f aca="false">H40</f>
        <v>75298499.375</v>
      </c>
      <c r="J39" s="21" t="n">
        <f aca="false">I40</f>
        <v>118564447.525</v>
      </c>
      <c r="K39" s="21" t="n">
        <f aca="false">J40</f>
        <v>128830395.675</v>
      </c>
      <c r="L39" s="21" t="n">
        <f aca="false">K40</f>
        <v>137082716.55</v>
      </c>
      <c r="M39" s="21" t="n">
        <f aca="false">L40</f>
        <v>147348664.7</v>
      </c>
      <c r="N39" s="21" t="n">
        <f aca="false">M40</f>
        <v>157614612.85</v>
      </c>
      <c r="O39" s="21" t="n">
        <f aca="false">N40</f>
        <v>165866933.725</v>
      </c>
    </row>
    <row r="40" customFormat="false" ht="15" hidden="false" customHeight="false" outlineLevel="0" collapsed="false">
      <c r="B40" s="26" t="s">
        <v>330</v>
      </c>
      <c r="D40" s="13" t="n">
        <f aca="false">D39+D38</f>
        <v>40265948.15</v>
      </c>
      <c r="E40" s="13" t="n">
        <f aca="false">E39+E38</f>
        <v>46514282.2</v>
      </c>
      <c r="F40" s="13" t="n">
        <f aca="false">F39+F38</f>
        <v>56780230.35</v>
      </c>
      <c r="G40" s="13" t="n">
        <f aca="false">G39+G38</f>
        <v>67046178.5</v>
      </c>
      <c r="H40" s="13" t="n">
        <f aca="false">H39+H38</f>
        <v>75298499.375</v>
      </c>
      <c r="I40" s="13" t="n">
        <f aca="false">I39+I38</f>
        <v>118564447.525</v>
      </c>
      <c r="J40" s="13" t="n">
        <f aca="false">J39+J38</f>
        <v>128830395.675</v>
      </c>
      <c r="K40" s="13" t="n">
        <f aca="false">K39+K38</f>
        <v>137082716.55</v>
      </c>
      <c r="L40" s="13" t="n">
        <f aca="false">L39+L38</f>
        <v>147348664.7</v>
      </c>
      <c r="M40" s="13" t="n">
        <f aca="false">M39+M38</f>
        <v>157614612.85</v>
      </c>
      <c r="N40" s="13" t="n">
        <f aca="false">N39+N38</f>
        <v>165866933.725</v>
      </c>
      <c r="O40" s="13" t="n">
        <f aca="false">O39+O38</f>
        <v>187132881.875</v>
      </c>
      <c r="P40" s="52" t="n">
        <f aca="false">O40</f>
        <v>187132881.875</v>
      </c>
    </row>
    <row r="41" customFormat="false" ht="15" hidden="false" customHeight="false" outlineLevel="0" collapsed="false">
      <c r="B41" s="70" t="s">
        <v>331</v>
      </c>
      <c r="D41" s="71" t="n">
        <f aca="false">IF(D40&lt;0,D40,0)</f>
        <v>0</v>
      </c>
      <c r="E41" s="71" t="n">
        <f aca="false">IF(E40&lt;0,E40,0)</f>
        <v>0</v>
      </c>
      <c r="F41" s="71" t="n">
        <f aca="false">IF(F40&lt;0,F40,0)</f>
        <v>0</v>
      </c>
      <c r="G41" s="71" t="n">
        <f aca="false">IF(G40&lt;0,G40,0)</f>
        <v>0</v>
      </c>
      <c r="H41" s="71" t="n">
        <f aca="false">IF(H40&lt;0,H40,0)</f>
        <v>0</v>
      </c>
      <c r="I41" s="71" t="n">
        <f aca="false">IF(I40&lt;0,I40,0)</f>
        <v>0</v>
      </c>
      <c r="J41" s="71" t="n">
        <f aca="false">IF(J40&lt;0,J40,0)</f>
        <v>0</v>
      </c>
      <c r="K41" s="71" t="n">
        <f aca="false">IF(K40&lt;0,K40,0)</f>
        <v>0</v>
      </c>
      <c r="L41" s="71" t="n">
        <f aca="false">IF(L40&lt;0,L40,0)</f>
        <v>0</v>
      </c>
      <c r="M41" s="71" t="n">
        <f aca="false">IF(M40&lt;0,M40,0)</f>
        <v>0</v>
      </c>
      <c r="N41" s="71" t="n">
        <f aca="false">IF(N40&lt;0,N40,0)</f>
        <v>0</v>
      </c>
      <c r="O41" s="71" t="n">
        <f aca="false">IF(O40&lt;0,O40,0)</f>
        <v>0</v>
      </c>
      <c r="P41" s="71" t="n">
        <f aca="false">MIN(D41:O41)</f>
        <v>0</v>
      </c>
      <c r="Q41" s="16" t="s">
        <v>332</v>
      </c>
    </row>
    <row r="43" customFormat="false" ht="15" hidden="false" customHeight="false" outlineLevel="0" collapsed="false">
      <c r="B43" s="2" t="s">
        <v>333</v>
      </c>
    </row>
    <row r="44" customFormat="false" ht="15" hidden="false" customHeight="false" outlineLevel="0" collapsed="false">
      <c r="B44" s="2" t="s">
        <v>334</v>
      </c>
    </row>
    <row r="45" customFormat="false" ht="15" hidden="false" customHeight="false" outlineLevel="0" collapsed="false">
      <c r="B45" s="2" t="s">
        <v>335</v>
      </c>
    </row>
    <row r="46" customFormat="false" ht="15" hidden="false" customHeight="false" outlineLevel="0" collapsed="false">
      <c r="B46" s="16" t="s">
        <v>336</v>
      </c>
    </row>
    <row r="47" customFormat="false" ht="15" hidden="false" customHeight="false" outlineLevel="0" collapsed="false">
      <c r="B47" s="16" t="s">
        <v>337</v>
      </c>
    </row>
    <row r="49" customFormat="false" ht="15" hidden="false" customHeight="false" outlineLevel="0" collapsed="false">
      <c r="B49" s="3" t="s">
        <v>338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customFormat="false" ht="15" hidden="false" customHeight="false" outlineLevel="0" collapsed="false">
      <c r="B50" s="29" t="s">
        <v>339</v>
      </c>
      <c r="C50" s="30" t="s">
        <v>340</v>
      </c>
      <c r="D50" s="30" t="s">
        <v>341</v>
      </c>
      <c r="E50" s="30" t="s">
        <v>342</v>
      </c>
      <c r="F50" s="29" t="s">
        <v>343</v>
      </c>
    </row>
    <row r="51" customFormat="false" ht="15" hidden="false" customHeight="false" outlineLevel="0" collapsed="false">
      <c r="B51" s="5" t="s">
        <v>344</v>
      </c>
      <c r="C51" s="6" t="n">
        <f aca="false">O40</f>
        <v>187132881.875</v>
      </c>
      <c r="D51" s="6" t="n">
        <f aca="false">MIN(D40:O40)</f>
        <v>40265948.15</v>
      </c>
      <c r="E51" s="31" t="n">
        <f aca="false">IF(C51&lt;0,-MIN(C51,D51)+$C$57,MAX(0,-D51+$C$57))</f>
        <v>26699793.1833333</v>
      </c>
      <c r="F51" s="2" t="s">
        <v>345</v>
      </c>
    </row>
    <row r="52" customFormat="false" ht="15" hidden="false" customHeight="false" outlineLevel="0" collapsed="false">
      <c r="B52" s="48" t="s">
        <v>346</v>
      </c>
      <c r="C52" s="71" t="n">
        <f aca="false">C51+(②前提!$C$32-③FY2027月次推移!$P$9)*(1+$C$6)</f>
        <v>177839377.435</v>
      </c>
      <c r="D52" s="71" t="n">
        <f aca="false">D51+(②前提!$C$32-③FY2027月次推移!$P$9)*(1+$C$6)</f>
        <v>30972443.71</v>
      </c>
      <c r="E52" s="31" t="n">
        <f aca="false">IF(C52&lt;0,-MIN(C52,D52)+$C$57,MAX(0,-D52+$C$57))</f>
        <v>35993297.6233333</v>
      </c>
      <c r="F52" s="2" t="s">
        <v>347</v>
      </c>
    </row>
    <row r="53" customFormat="false" ht="15" hidden="false" customHeight="false" outlineLevel="0" collapsed="false">
      <c r="B53" s="48" t="s">
        <v>348</v>
      </c>
      <c r="C53" s="71" t="n">
        <f aca="false">C51-(P16+P18)</f>
        <v>143132881.875</v>
      </c>
      <c r="D53" s="71" t="n">
        <f aca="false">D51-(P16+P18)</f>
        <v>-3734051.85</v>
      </c>
      <c r="E53" s="31" t="n">
        <f aca="false">IF(C53&lt;0,-MIN(C53,D53)+$C$57,MAX(0,-D53+$C$57))</f>
        <v>70699793.1833333</v>
      </c>
      <c r="F53" s="22" t="s">
        <v>349</v>
      </c>
    </row>
    <row r="54" customFormat="false" ht="15" hidden="false" customHeight="false" outlineLevel="0" collapsed="false">
      <c r="B54" s="48" t="s">
        <v>350</v>
      </c>
      <c r="C54" s="71" t="n">
        <f aca="false">C51-①サマリー!$C$23*(1+$C$6)</f>
        <v>-188401169.325</v>
      </c>
      <c r="D54" s="71" t="n">
        <f aca="false">D51-①サマリー!$C$23*(1+$C$6)</f>
        <v>-335268103.05</v>
      </c>
      <c r="E54" s="31" t="n">
        <f aca="false">IF(C54&lt;0,-MIN(C54,D54)+$C$57,MAX(0,-D54+$C$57))</f>
        <v>402233844.383333</v>
      </c>
      <c r="F54" s="2" t="s">
        <v>351</v>
      </c>
    </row>
    <row r="55" customFormat="false" ht="15" hidden="false" customHeight="false" outlineLevel="0" collapsed="false">
      <c r="B55" s="48" t="s">
        <v>352</v>
      </c>
      <c r="C55" s="71" t="n">
        <f aca="false">C51+300000000*(1+$C$6)</f>
        <v>517132881.875</v>
      </c>
      <c r="D55" s="71" t="n">
        <f aca="false">D51+300000000*(1+$C$6)</f>
        <v>370265948.15</v>
      </c>
      <c r="E55" s="31" t="n">
        <f aca="false">IF(C55&lt;0,-MIN(C55,D55)+$C$57,MAX(0,-D55+$C$57))</f>
        <v>0</v>
      </c>
      <c r="F55" s="2" t="s">
        <v>353</v>
      </c>
    </row>
    <row r="57" customFormat="false" ht="15" hidden="false" customHeight="false" outlineLevel="0" collapsed="false">
      <c r="B57" s="10" t="s">
        <v>354</v>
      </c>
      <c r="C57" s="55" t="n">
        <f aca="false">③FY2027月次推移!$C$8*(1+$C$6)</f>
        <v>66965741.3333333</v>
      </c>
      <c r="F57" s="2" t="s">
        <v>355</v>
      </c>
    </row>
    <row r="59" customFormat="false" ht="15" hidden="false" customHeight="false" outlineLevel="0" collapsed="false">
      <c r="B59" s="16" t="s">
        <v>356</v>
      </c>
    </row>
    <row r="60" customFormat="false" ht="15" hidden="false" customHeight="false" outlineLevel="0" collapsed="false">
      <c r="B60" s="16" t="s">
        <v>357</v>
      </c>
    </row>
    <row r="81" customFormat="false" ht="15" hidden="false" customHeight="false" outlineLevel="0" collapsed="false">
      <c r="B81" s="3" t="s">
        <v>358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customFormat="false" ht="15" hidden="false" customHeight="false" outlineLevel="0" collapsed="false">
      <c r="B82" s="10" t="s">
        <v>359</v>
      </c>
      <c r="C82" s="8" t="n">
        <v>0</v>
      </c>
      <c r="F82" s="22" t="s">
        <v>360</v>
      </c>
    </row>
    <row r="83" customFormat="false" ht="15" hidden="false" customHeight="false" outlineLevel="0" collapsed="false">
      <c r="B83" s="10" t="s">
        <v>361</v>
      </c>
      <c r="C83" s="6" t="n">
        <f aca="false">②前提!$C$6*(1+$C$6)+SUM(②前提!$C$13:$C$15)/12*(1+$C$6)-②前提!$C$32/12*(1+$C$6)-(AVERAGE(④FY2026月次実績!I11:K11)+AVERAGE(④FY2026月次実績!I12:K12)+AVERAGE(④FY2026月次実績!I13:K13)+AVERAGE(④FY2026月次実績!I14:K14))-(((②前提!$C$8-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)-②前提!$C$24/12-$C$9</f>
        <v>-21028556.1166667</v>
      </c>
      <c r="F83" s="2" t="s">
        <v>362</v>
      </c>
    </row>
    <row r="85" customFormat="false" ht="15" hidden="false" customHeight="false" outlineLevel="0" collapsed="false">
      <c r="B85" s="29" t="s">
        <v>363</v>
      </c>
      <c r="D85" s="37" t="n">
        <v>1</v>
      </c>
      <c r="E85" s="37" t="n">
        <v>2</v>
      </c>
      <c r="F85" s="37" t="n">
        <v>3</v>
      </c>
      <c r="G85" s="37" t="n">
        <v>4</v>
      </c>
      <c r="H85" s="37" t="n">
        <v>5</v>
      </c>
      <c r="I85" s="37" t="n">
        <v>6</v>
      </c>
      <c r="J85" s="37" t="n">
        <v>7</v>
      </c>
      <c r="K85" s="37" t="n">
        <v>8</v>
      </c>
      <c r="L85" s="37" t="n">
        <v>9</v>
      </c>
      <c r="M85" s="37" t="n">
        <v>10</v>
      </c>
      <c r="N85" s="37" t="n">
        <v>11</v>
      </c>
      <c r="O85" s="37" t="n">
        <v>12</v>
      </c>
    </row>
    <row r="86" customFormat="false" ht="15" hidden="false" customHeight="false" outlineLevel="0" collapsed="false">
      <c r="D86" s="72" t="s">
        <v>207</v>
      </c>
      <c r="E86" s="72" t="s">
        <v>208</v>
      </c>
      <c r="F86" s="72" t="s">
        <v>209</v>
      </c>
      <c r="G86" s="72" t="s">
        <v>210</v>
      </c>
      <c r="H86" s="72" t="s">
        <v>211</v>
      </c>
      <c r="I86" s="72" t="s">
        <v>212</v>
      </c>
      <c r="J86" s="72" t="s">
        <v>213</v>
      </c>
      <c r="K86" s="72" t="s">
        <v>214</v>
      </c>
      <c r="L86" s="72" t="s">
        <v>215</v>
      </c>
      <c r="M86" s="72" t="s">
        <v>216</v>
      </c>
      <c r="N86" s="72" t="s">
        <v>217</v>
      </c>
      <c r="O86" s="72" t="s">
        <v>218</v>
      </c>
    </row>
    <row r="87" customFormat="false" ht="15" hidden="false" customHeight="false" outlineLevel="0" collapsed="false">
      <c r="B87" s="10" t="s">
        <v>364</v>
      </c>
      <c r="D87" s="21" t="n">
        <f aca="false">$C$5+D$85*$C$83+(SUM($D$16:D16)+SUM($D$18:D18))-(SUM($D$26:D26)+SUM($D$27:D27))</f>
        <v>8971443.88333333</v>
      </c>
      <c r="E87" s="21" t="n">
        <f aca="false">$C$5+E$85*$C$83+(SUM($D$16:E16)+SUM($D$18:E18))-(SUM($D$26:E26)+SUM($D$27:E27))</f>
        <v>-16074726.3333333</v>
      </c>
      <c r="F87" s="21" t="n">
        <f aca="false">$C$5+F$85*$C$83+(SUM($D$16:F16)+SUM($D$18:F18))-(SUM($D$26:F26)+SUM($D$27:F27))</f>
        <v>-37103282.45</v>
      </c>
      <c r="G87" s="21" t="n">
        <f aca="false">$C$5+G$85*$C$83+(SUM($D$16:G16)+SUM($D$18:G18))-(SUM($D$26:G26)+SUM($D$27:G27))</f>
        <v>-58131838.5666667</v>
      </c>
      <c r="H87" s="21" t="n">
        <f aca="false">$C$5+H$85*$C$83+(SUM($D$16:H16)+SUM($D$18:H18))-(SUM($D$26:H26)+SUM($D$27:H27))</f>
        <v>-81174021.9583333</v>
      </c>
      <c r="I87" s="21" t="n">
        <f aca="false">$C$5+I$85*$C$83+(SUM($D$16:I16)+SUM($D$18:I18))-(SUM($D$26:I26)+SUM($D$27:I27))</f>
        <v>-69202578.075</v>
      </c>
      <c r="J87" s="21" t="n">
        <f aca="false">$C$5+J$85*$C$83+(SUM($D$16:J16)+SUM($D$18:J18))-(SUM($D$26:J26)+SUM($D$27:J27))</f>
        <v>-90231134.1916667</v>
      </c>
      <c r="K87" s="21" t="n">
        <f aca="false">$C$5+K$85*$C$83+(SUM($D$16:K16)+SUM($D$18:K18))-(SUM($D$26:K26)+SUM($D$27:K27))</f>
        <v>-113273317.583333</v>
      </c>
      <c r="L87" s="21" t="n">
        <f aca="false">$C$5+L$85*$C$83+(SUM($D$16:L16)+SUM($D$18:L18))-(SUM($D$26:L26)+SUM($D$27:L27))</f>
        <v>-134301873.7</v>
      </c>
      <c r="M87" s="21" t="n">
        <f aca="false">$C$5+M$85*$C$83+(SUM($D$16:M16)+SUM($D$18:M18))-(SUM($D$26:M26)+SUM($D$27:M27))</f>
        <v>-155330429.816667</v>
      </c>
      <c r="N87" s="21" t="n">
        <f aca="false">$C$5+N$85*$C$83+(SUM($D$16:N16)+SUM($D$18:N18))-(SUM($D$26:N26)+SUM($D$27:N27))</f>
        <v>-178372613.208333</v>
      </c>
      <c r="O87" s="21" t="n">
        <f aca="false">$C$5+O$85*$C$83+(SUM($D$16:O16)+SUM($D$18:O18))-(SUM($D$26:O26)+SUM($D$27:O27))</f>
        <v>-188401169.325</v>
      </c>
    </row>
    <row r="88" customFormat="false" ht="15" hidden="false" customHeight="false" outlineLevel="0" collapsed="false">
      <c r="B88" s="10" t="s">
        <v>365</v>
      </c>
      <c r="D88" s="21" t="n">
        <f aca="false">MAX(0,($C$82-D87)*12/((1+$C$6)*D$85))</f>
        <v>0</v>
      </c>
      <c r="E88" s="21" t="n">
        <f aca="false">MAX(0,($C$82-E87)*12/((1+$C$6)*E$85))</f>
        <v>87680325.4545454</v>
      </c>
      <c r="F88" s="21" t="n">
        <f aca="false">MAX(0,($C$82-F87)*12/((1+$C$6)*F$85))</f>
        <v>134921027.090909</v>
      </c>
      <c r="G88" s="21" t="n">
        <f aca="false">MAX(0,($C$82-G87)*12/((1+$C$6)*G$85))</f>
        <v>158541377.909091</v>
      </c>
      <c r="H88" s="21" t="n">
        <f aca="false">MAX(0,($C$82-H87)*12/((1+$C$6)*H$85))</f>
        <v>177106957</v>
      </c>
      <c r="I88" s="21" t="n">
        <f aca="false">MAX(0,($C$82-I87)*12/((1+$C$6)*I$85))</f>
        <v>125822869.227273</v>
      </c>
      <c r="J88" s="21" t="n">
        <f aca="false">MAX(0,($C$82-J87)*12/((1+$C$6)*J$85))</f>
        <v>140619949.38961</v>
      </c>
      <c r="K88" s="21" t="n">
        <f aca="false">MAX(0,($C$82-K87)*12/((1+$C$6)*K$85))</f>
        <v>154463614.886364</v>
      </c>
      <c r="L88" s="21" t="n">
        <f aca="false">MAX(0,($C$82-L87)*12/((1+$C$6)*L$85))</f>
        <v>162790149.939394</v>
      </c>
      <c r="M88" s="21" t="n">
        <f aca="false">MAX(0,($C$82-M87)*12/((1+$C$6)*M$85))</f>
        <v>169451377.981818</v>
      </c>
      <c r="N88" s="21" t="n">
        <f aca="false">MAX(0,($C$82-N87)*12/((1+$C$6)*N$85))</f>
        <v>176898459.380165</v>
      </c>
      <c r="O88" s="21" t="n">
        <f aca="false">MAX(0,($C$82-O87)*12/((1+$C$6)*O$85))</f>
        <v>171273790.295455</v>
      </c>
    </row>
    <row r="90" customFormat="false" ht="15" hidden="false" customHeight="false" outlineLevel="0" collapsed="false">
      <c r="B90" s="14" t="s">
        <v>366</v>
      </c>
      <c r="C90" s="31" t="n">
        <f aca="false">MAX(D88:O88)</f>
        <v>177106957</v>
      </c>
    </row>
    <row r="91" customFormat="false" ht="15" hidden="false" customHeight="false" outlineLevel="0" collapsed="false">
      <c r="B91" s="14" t="s">
        <v>367</v>
      </c>
      <c r="C91" s="31" t="n">
        <f aca="false">②前提!$C$6*12+C90</f>
        <v>566247725</v>
      </c>
    </row>
    <row r="92" customFormat="false" ht="15" hidden="false" customHeight="false" outlineLevel="0" collapsed="false">
      <c r="B92" s="10" t="s">
        <v>368</v>
      </c>
      <c r="C92" s="5" t="str">
        <f aca="false">INDEX(D86:O86,MATCH(C90,D88:O88,0))</f>
        <v>2027/02</v>
      </c>
      <c r="F92" s="2" t="s">
        <v>369</v>
      </c>
    </row>
    <row r="94" customFormat="false" ht="15" hidden="false" customHeight="false" outlineLevel="0" collapsed="false">
      <c r="B94" s="16" t="s">
        <v>370</v>
      </c>
    </row>
    <row r="95" customFormat="false" ht="15" hidden="false" customHeight="false" outlineLevel="0" collapsed="false">
      <c r="B95" s="16" t="s">
        <v>371</v>
      </c>
    </row>
    <row r="96" customFormat="false" ht="15" hidden="false" customHeight="false" outlineLevel="0" collapsed="false">
      <c r="B96" s="16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2026-08-25T07:17:17Z</dcterms:created>
  <dc:creator>openpyxl</dc:creator>
  <dc:description/>
  <dc:language>en-US</dc:language>
  <cp:lastModifiedBy/>
  <dcterms:modified xsi:type="dcterms:W3CDTF">2026-08-25T07:17:19Z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