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ワインリスト" sheetId="1" state="visible" r:id="rId1"/>
    <sheet name="サマリー" sheetId="2" state="visible" r:id="rId2"/>
    <sheet name="価格調査" sheetId="3" state="visible" r:id="rId3"/>
  </sheets>
  <definedNames>
    <definedName name="_xlnm._FilterDatabase" localSheetId="0" hidden="1">'ワインリスト'!$A$4:$N$54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Arial"/>
      <b val="1"/>
      <color rgb="001F2A24"/>
      <sz val="14"/>
    </font>
    <font>
      <name val="Arial"/>
      <color rgb="005B6862"/>
      <sz val="9"/>
    </font>
    <font>
      <name val="Arial"/>
      <b val="1"/>
      <color rgb="001F2A24"/>
      <sz val="9"/>
    </font>
    <font>
      <name val="Arial"/>
      <color rgb="001F2A24"/>
      <sz val="9"/>
    </font>
    <font>
      <name val="Arial"/>
      <color rgb="008C6B2F"/>
      <sz val="8"/>
    </font>
    <font>
      <name val="Arial"/>
      <color rgb="005B6862"/>
      <sz val="8"/>
    </font>
    <font>
      <name val="Arial"/>
      <b val="1"/>
      <color rgb="008C6B2F"/>
      <sz val="10"/>
    </font>
    <font>
      <name val="Arial"/>
      <i val="1"/>
      <color rgb="005B6862"/>
      <sz val="9"/>
    </font>
    <font>
      <name val="Arial"/>
      <color rgb="000563C1"/>
      <sz val="8"/>
    </font>
    <font>
      <name val="Arial"/>
      <b val="1"/>
      <sz val="9"/>
    </font>
  </fonts>
  <fills count="6">
    <fill>
      <patternFill/>
    </fill>
    <fill>
      <patternFill patternType="gray125"/>
    </fill>
    <fill>
      <patternFill patternType="solid">
        <fgColor rgb="00EDEFE9"/>
      </patternFill>
    </fill>
    <fill>
      <patternFill patternType="solid">
        <fgColor rgb="00E3E7DF"/>
      </patternFill>
    </fill>
    <fill>
      <patternFill patternType="solid">
        <fgColor rgb="00FFF6CC"/>
      </patternFill>
    </fill>
    <fill>
      <patternFill patternType="solid">
        <fgColor rgb="00FFFF00"/>
      </patternFill>
    </fill>
  </fills>
  <borders count="2">
    <border>
      <left/>
      <right/>
      <top/>
      <bottom/>
      <diagonal/>
    </border>
    <border>
      <left style="thin">
        <color rgb="00C9CFC6"/>
      </left>
      <right style="thin">
        <color rgb="00C9CFC6"/>
      </right>
      <top style="thin">
        <color rgb="00C9CFC6"/>
      </top>
      <bottom style="thin">
        <color rgb="00C9CFC6"/>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164" fontId="4" fillId="0" borderId="1" applyAlignment="1" pivotButton="0" quotePrefix="0" xfId="0">
      <alignment horizontal="right" vertical="center"/>
    </xf>
    <xf numFmtId="0" fontId="3" fillId="3" borderId="1" applyAlignment="1" pivotButton="0" quotePrefix="0" xfId="0">
      <alignment horizontal="left"/>
    </xf>
    <xf numFmtId="3" fontId="3" fillId="3" borderId="1" applyAlignment="1" pivotButton="0" quotePrefix="0" xfId="0">
      <alignment horizontal="right"/>
    </xf>
    <xf numFmtId="164" fontId="3" fillId="3" borderId="1" applyAlignment="1" pivotButton="0" quotePrefix="0" xfId="0">
      <alignment horizontal="right"/>
    </xf>
    <xf numFmtId="0" fontId="5" fillId="0" borderId="0" pivotButton="0" quotePrefix="0" xfId="0"/>
    <xf numFmtId="0" fontId="6" fillId="0" borderId="0" pivotButton="0" quotePrefix="0" xfId="0"/>
    <xf numFmtId="0" fontId="7" fillId="0" borderId="1" pivotButton="0" quotePrefix="0" xfId="0"/>
    <xf numFmtId="0" fontId="4" fillId="0" borderId="1" pivotButton="0" quotePrefix="0" xfId="0"/>
    <xf numFmtId="0" fontId="4" fillId="2" borderId="1" applyAlignment="1" pivotButton="0" quotePrefix="0" xfId="0">
      <alignment horizontal="center" vertical="center" wrapText="1"/>
    </xf>
    <xf numFmtId="165" fontId="4" fillId="0" borderId="1" pivotButton="0" quotePrefix="0" xfId="0"/>
    <xf numFmtId="164" fontId="4" fillId="0" borderId="1" pivotButton="0" quotePrefix="0" xfId="0"/>
    <xf numFmtId="0" fontId="3" fillId="3" borderId="1" pivotButton="0" quotePrefix="0" xfId="0"/>
    <xf numFmtId="165" fontId="3" fillId="3" borderId="1" pivotButton="0" quotePrefix="0" xfId="0"/>
    <xf numFmtId="164" fontId="3" fillId="3" borderId="1" pivotButton="0" quotePrefix="0" xfId="0"/>
    <xf numFmtId="0" fontId="8" fillId="4" borderId="1" pivotButton="0" quotePrefix="0" xfId="0"/>
    <xf numFmtId="164" fontId="8" fillId="4" borderId="1" pivotButton="0" quotePrefix="0" xfId="0"/>
    <xf numFmtId="0" fontId="9" fillId="0" borderId="1" applyAlignment="1" pivotButton="0" quotePrefix="0" xfId="0">
      <alignment horizontal="left" vertical="center"/>
    </xf>
    <xf numFmtId="164" fontId="4" fillId="5" borderId="1" applyAlignment="1" pivotButton="0" quotePrefix="0" xfId="0">
      <alignment horizontal="right" vertical="center"/>
    </xf>
    <xf numFmtId="0" fontId="4" fillId="5" borderId="1" applyAlignment="1" pivotButton="0" quotePrefix="0" xfId="0">
      <alignment horizontal="center" vertical="center"/>
    </xf>
    <xf numFmtId="0" fontId="4"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34" customWidth="1" min="3" max="3"/>
    <col width="26" customWidth="1" min="4" max="4"/>
    <col width="7" customWidth="1" min="5" max="5"/>
    <col width="24" customWidth="1" min="6" max="6"/>
    <col width="26" customWidth="1" min="7" max="7"/>
    <col width="8" customWidth="1" min="8" max="8"/>
    <col width="12" customWidth="1" min="9" max="9"/>
    <col width="13" customWidth="1" min="10" max="10"/>
    <col width="6" customWidth="1" min="11" max="11"/>
    <col width="12" customWidth="1" min="12" max="12"/>
    <col width="7" customWidth="1" min="13" max="13"/>
    <col width="34" customWidth="1" min="14" max="14"/>
  </cols>
  <sheetData>
    <row r="1">
      <c r="A1" s="1" t="inlineStr">
        <is>
          <t>WineGO ターミナル設置セラー ワインリスト（144本 / 50SKU）</t>
        </is>
      </c>
    </row>
    <row r="2">
      <c r="A2" s="2" t="inlineStr">
        <is>
          <t>対象: 水商売および客単価1万円以上の飲食店　／　【重要】想定小売価格は推定値です。実勢価格ではありません（出典なし・「価格調査」シート参照）</t>
        </is>
      </c>
    </row>
    <row r="4">
      <c r="A4" s="3" t="inlineStr">
        <is>
          <t>SKU</t>
        </is>
      </c>
      <c r="B4" s="3" t="inlineStr">
        <is>
          <t>種別</t>
        </is>
      </c>
      <c r="C4" s="3" t="inlineStr">
        <is>
          <t>銘柄</t>
        </is>
      </c>
      <c r="D4" s="3" t="inlineStr">
        <is>
          <t>生産者</t>
        </is>
      </c>
      <c r="E4" s="3" t="inlineStr">
        <is>
          <t>V</t>
        </is>
      </c>
      <c r="F4" s="3" t="inlineStr">
        <is>
          <t>産地</t>
        </is>
      </c>
      <c r="G4" s="3" t="inlineStr">
        <is>
          <t>品種</t>
        </is>
      </c>
      <c r="H4" s="3" t="inlineStr">
        <is>
          <t>容量ml</t>
        </is>
      </c>
      <c r="I4" s="3" t="inlineStr">
        <is>
          <t>価格帯</t>
        </is>
      </c>
      <c r="J4" s="3" t="inlineStr">
        <is>
          <t>想定小売価格</t>
        </is>
      </c>
      <c r="K4" s="3" t="inlineStr">
        <is>
          <t>本数</t>
        </is>
      </c>
      <c r="L4" s="3" t="inlineStr">
        <is>
          <t>在庫金額</t>
        </is>
      </c>
      <c r="M4" s="3" t="inlineStr">
        <is>
          <t>再現性</t>
        </is>
      </c>
      <c r="N4" s="3" t="inlineStr">
        <is>
          <t>ポジション</t>
        </is>
      </c>
    </row>
    <row r="5">
      <c r="A5" s="4" t="inlineStr">
        <is>
          <t>S-1</t>
        </is>
      </c>
      <c r="B5" s="4" t="inlineStr">
        <is>
          <t>泡</t>
        </is>
      </c>
      <c r="C5" s="5" t="inlineStr">
        <is>
          <t>モーリス・グルミエ ブリュット トラディション</t>
        </is>
      </c>
      <c r="D5" s="5" t="inlineStr">
        <is>
          <t>Maurice Grumier</t>
        </is>
      </c>
      <c r="E5" s="4" t="inlineStr">
        <is>
          <t>NV</t>
        </is>
      </c>
      <c r="F5" s="6" t="inlineStr">
        <is>
          <t>フランス / シャンパーニュ ヴァンツイユ</t>
        </is>
      </c>
      <c r="G5" s="6" t="inlineStr">
        <is>
          <t>Meunier / Pinot Noir / Chardonnay</t>
        </is>
      </c>
      <c r="H5" s="7" t="n">
        <v>750</v>
      </c>
      <c r="I5" s="4" t="inlineStr">
        <is>
          <t>A 〜3万円</t>
        </is>
      </c>
      <c r="J5" s="8" t="n">
        <v>10000</v>
      </c>
      <c r="K5" s="7" t="n">
        <v>6</v>
      </c>
      <c r="L5" s="8">
        <f>J5*K5</f>
        <v/>
      </c>
      <c r="M5" s="4" t="inlineStr">
        <is>
          <t>○</t>
        </is>
      </c>
      <c r="N5" s="6" t="inlineStr">
        <is>
          <t>RM（生産者元詰め）。常用帯を担うコスパ枠</t>
        </is>
      </c>
    </row>
    <row r="6">
      <c r="A6" s="4" t="inlineStr">
        <is>
          <t>S-2</t>
        </is>
      </c>
      <c r="B6" s="4" t="inlineStr">
        <is>
          <t>泡</t>
        </is>
      </c>
      <c r="C6" s="5" t="inlineStr">
        <is>
          <t>エグリ・ウーリエ ブリュット トラディション グラン・クリュ</t>
        </is>
      </c>
      <c r="D6" s="5" t="inlineStr">
        <is>
          <t>Egly-Ouriet</t>
        </is>
      </c>
      <c r="E6" s="4" t="inlineStr">
        <is>
          <t>NV</t>
        </is>
      </c>
      <c r="F6" s="6" t="inlineStr">
        <is>
          <t>フランス / シャンパーニュ アンボネイ</t>
        </is>
      </c>
      <c r="G6" s="6" t="inlineStr">
        <is>
          <t>Pinot Noir / Chardonnay</t>
        </is>
      </c>
      <c r="H6" s="7" t="n">
        <v>750</v>
      </c>
      <c r="I6" s="4" t="inlineStr">
        <is>
          <t>A 〜3万円</t>
        </is>
      </c>
      <c r="J6" s="8" t="n">
        <v>20000</v>
      </c>
      <c r="K6" s="7" t="n">
        <v>6</v>
      </c>
      <c r="L6" s="8">
        <f>J6*K6</f>
        <v/>
      </c>
      <c r="M6" s="4" t="inlineStr">
        <is>
          <t>○</t>
        </is>
      </c>
      <c r="N6" s="6" t="inlineStr">
        <is>
          <t>RMの代表格。造り手指名に応えられる</t>
        </is>
      </c>
    </row>
    <row r="7">
      <c r="A7" s="4" t="inlineStr">
        <is>
          <t>S-3</t>
        </is>
      </c>
      <c r="B7" s="4" t="inlineStr">
        <is>
          <t>泡</t>
        </is>
      </c>
      <c r="C7" s="5" t="inlineStr">
        <is>
          <t>ボランジェ スペシャル・キュヴェ</t>
        </is>
      </c>
      <c r="D7" s="5" t="inlineStr">
        <is>
          <t>Bollinger</t>
        </is>
      </c>
      <c r="E7" s="4" t="inlineStr">
        <is>
          <t>NV</t>
        </is>
      </c>
      <c r="F7" s="6" t="inlineStr">
        <is>
          <t>フランス / シャンパーニュ</t>
        </is>
      </c>
      <c r="G7" s="6" t="inlineStr">
        <is>
          <t>Pinot Noir / Chardonnay / Meunier</t>
        </is>
      </c>
      <c r="H7" s="7" t="n">
        <v>750</v>
      </c>
      <c r="I7" s="4" t="inlineStr">
        <is>
          <t>A 〜3万円</t>
        </is>
      </c>
      <c r="J7" s="8" t="n">
        <v>28000</v>
      </c>
      <c r="K7" s="7" t="n">
        <v>8</v>
      </c>
      <c r="L7" s="8">
        <f>J7*K7</f>
        <v/>
      </c>
      <c r="M7" s="4" t="inlineStr">
        <is>
          <t>◎</t>
        </is>
      </c>
      <c r="N7" s="6" t="inlineStr">
        <is>
          <t>泡の基準ボトル。最回転</t>
        </is>
      </c>
    </row>
    <row r="8">
      <c r="A8" s="4" t="inlineStr">
        <is>
          <t>S-4</t>
        </is>
      </c>
      <c r="B8" s="4" t="inlineStr">
        <is>
          <t>泡</t>
        </is>
      </c>
      <c r="C8" s="5" t="inlineStr">
        <is>
          <t>ペリエ・ジュエ ベル エポック</t>
        </is>
      </c>
      <c r="D8" s="5" t="inlineStr">
        <is>
          <t>Perrier-Jouët</t>
        </is>
      </c>
      <c r="E8" s="4" t="inlineStr">
        <is>
          <t>2016</t>
        </is>
      </c>
      <c r="F8" s="6" t="inlineStr">
        <is>
          <t>フランス / シャンパーニュ</t>
        </is>
      </c>
      <c r="G8" s="6" t="inlineStr">
        <is>
          <t>Chardonnay / Pinot Noir / Meunier</t>
        </is>
      </c>
      <c r="H8" s="7" t="n">
        <v>750</v>
      </c>
      <c r="I8" s="4" t="inlineStr">
        <is>
          <t>B 3〜5万円</t>
        </is>
      </c>
      <c r="J8" s="8" t="n">
        <v>45000</v>
      </c>
      <c r="K8" s="7" t="n">
        <v>4</v>
      </c>
      <c r="L8" s="8">
        <f>J8*K8</f>
        <v/>
      </c>
      <c r="M8" s="4" t="inlineStr">
        <is>
          <t>◎</t>
        </is>
      </c>
      <c r="N8" s="6" t="inlineStr">
        <is>
          <t>花柄。女性客・記念日に強い</t>
        </is>
      </c>
    </row>
    <row r="9">
      <c r="A9" s="4" t="inlineStr">
        <is>
          <t>S-5</t>
        </is>
      </c>
      <c r="B9" s="4" t="inlineStr">
        <is>
          <t>泡</t>
        </is>
      </c>
      <c r="C9" s="5" t="inlineStr">
        <is>
          <t>レア ミレジム</t>
        </is>
      </c>
      <c r="D9" s="5" t="inlineStr">
        <is>
          <t>Rare Champagne</t>
        </is>
      </c>
      <c r="E9" s="4" t="inlineStr">
        <is>
          <t>2013</t>
        </is>
      </c>
      <c r="F9" s="6" t="inlineStr">
        <is>
          <t>フランス / シャンパーニュ</t>
        </is>
      </c>
      <c r="G9" s="6" t="inlineStr">
        <is>
          <t>Chardonnay / Pinot Noir</t>
        </is>
      </c>
      <c r="H9" s="7" t="n">
        <v>750</v>
      </c>
      <c r="I9" s="4" t="inlineStr">
        <is>
          <t>B 3〜5万円</t>
        </is>
      </c>
      <c r="J9" s="8" t="n">
        <v>48000</v>
      </c>
      <c r="K9" s="7" t="n">
        <v>3</v>
      </c>
      <c r="L9" s="8">
        <f>J9*K9</f>
        <v/>
      </c>
      <c r="M9" s="4" t="inlineStr">
        <is>
          <t>○</t>
        </is>
      </c>
      <c r="N9" s="6" t="inlineStr">
        <is>
          <t>パイパー「レア」。王冠ボトルで卓上映え</t>
        </is>
      </c>
    </row>
    <row r="10">
      <c r="A10" s="4" t="inlineStr">
        <is>
          <t>S-6</t>
        </is>
      </c>
      <c r="B10" s="4" t="inlineStr">
        <is>
          <t>泡</t>
        </is>
      </c>
      <c r="C10" s="5" t="inlineStr">
        <is>
          <t>ドン ペリニヨン</t>
        </is>
      </c>
      <c r="D10" s="5" t="inlineStr">
        <is>
          <t>Dom Pérignon</t>
        </is>
      </c>
      <c r="E10" s="4" t="inlineStr">
        <is>
          <t>2015</t>
        </is>
      </c>
      <c r="F10" s="6" t="inlineStr">
        <is>
          <t>フランス / シャンパーニュ</t>
        </is>
      </c>
      <c r="G10" s="6" t="inlineStr">
        <is>
          <t>Chardonnay / Pinot Noir</t>
        </is>
      </c>
      <c r="H10" s="7" t="n">
        <v>750</v>
      </c>
      <c r="I10" s="4" t="inlineStr">
        <is>
          <t>B 3〜5万円</t>
        </is>
      </c>
      <c r="J10" s="8" t="n">
        <v>48000</v>
      </c>
      <c r="K10" s="7" t="n">
        <v>8</v>
      </c>
      <c r="L10" s="8">
        <f>J10*K10</f>
        <v/>
      </c>
      <c r="M10" s="4" t="inlineStr">
        <is>
          <t>◎</t>
        </is>
      </c>
      <c r="N10" s="6" t="inlineStr">
        <is>
          <t>最重要SKU。指名の基準点</t>
        </is>
      </c>
    </row>
    <row r="11">
      <c r="A11" s="4" t="inlineStr">
        <is>
          <t>S-7</t>
        </is>
      </c>
      <c r="B11" s="4" t="inlineStr">
        <is>
          <t>泡</t>
        </is>
      </c>
      <c r="C11" s="5" t="inlineStr">
        <is>
          <t>ジャクソン アヴィーズ シャン・カン</t>
        </is>
      </c>
      <c r="D11" s="5" t="inlineStr">
        <is>
          <t>Jacquesson</t>
        </is>
      </c>
      <c r="E11" s="4" t="inlineStr">
        <is>
          <t>2013</t>
        </is>
      </c>
      <c r="F11" s="6" t="inlineStr">
        <is>
          <t>フランス / シャンパーニュ</t>
        </is>
      </c>
      <c r="G11" s="6" t="inlineStr">
        <is>
          <t>Chardonnay</t>
        </is>
      </c>
      <c r="H11" s="7" t="n">
        <v>750</v>
      </c>
      <c r="I11" s="4" t="inlineStr">
        <is>
          <t>C 5〜10万円</t>
        </is>
      </c>
      <c r="J11" s="8" t="n">
        <v>55000</v>
      </c>
      <c r="K11" s="7" t="n">
        <v>2</v>
      </c>
      <c r="L11" s="8">
        <f>J11*K11</f>
        <v/>
      </c>
      <c r="M11" s="4" t="inlineStr">
        <is>
          <t>△</t>
        </is>
      </c>
      <c r="N11" s="6" t="inlineStr">
        <is>
          <t>単一畑BdB。ソムリエ指名の通好み</t>
        </is>
      </c>
    </row>
    <row r="12">
      <c r="A12" s="4" t="inlineStr">
        <is>
          <t>S-8</t>
        </is>
      </c>
      <c r="B12" s="4" t="inlineStr">
        <is>
          <t>泡</t>
        </is>
      </c>
      <c r="C12" s="5" t="inlineStr">
        <is>
          <t>ボランジェ ラ グランダネ</t>
        </is>
      </c>
      <c r="D12" s="5" t="inlineStr">
        <is>
          <t>Bollinger</t>
        </is>
      </c>
      <c r="E12" s="4" t="inlineStr">
        <is>
          <t>2015</t>
        </is>
      </c>
      <c r="F12" s="6" t="inlineStr">
        <is>
          <t>フランス / シャンパーニュ</t>
        </is>
      </c>
      <c r="G12" s="6" t="inlineStr">
        <is>
          <t>Pinot Noir / Chardonnay</t>
        </is>
      </c>
      <c r="H12" s="7" t="n">
        <v>750</v>
      </c>
      <c r="I12" s="4" t="inlineStr">
        <is>
          <t>C 5〜10万円</t>
        </is>
      </c>
      <c r="J12" s="8" t="n">
        <v>60000</v>
      </c>
      <c r="K12" s="7" t="n">
        <v>2</v>
      </c>
      <c r="L12" s="8">
        <f>J12*K12</f>
        <v/>
      </c>
      <c r="M12" s="4" t="inlineStr">
        <is>
          <t>○</t>
        </is>
      </c>
      <c r="N12" s="6" t="inlineStr">
        <is>
          <t>ヴィンテージ・ボランジェ</t>
        </is>
      </c>
    </row>
    <row r="13">
      <c r="A13" s="4" t="inlineStr">
        <is>
          <t>S-9</t>
        </is>
      </c>
      <c r="B13" s="4" t="inlineStr">
        <is>
          <t>泡</t>
        </is>
      </c>
      <c r="C13" s="5" t="inlineStr">
        <is>
          <t>クリュッグ グランド キュヴェ</t>
        </is>
      </c>
      <c r="D13" s="5" t="inlineStr">
        <is>
          <t>Krug</t>
        </is>
      </c>
      <c r="E13" s="4" t="inlineStr">
        <is>
          <t>NV</t>
        </is>
      </c>
      <c r="F13" s="6" t="inlineStr">
        <is>
          <t>フランス / シャンパーニュ</t>
        </is>
      </c>
      <c r="G13" s="6" t="inlineStr">
        <is>
          <t>Pinot Noir / Chardonnay / Meunier</t>
        </is>
      </c>
      <c r="H13" s="7" t="n">
        <v>750</v>
      </c>
      <c r="I13" s="4" t="inlineStr">
        <is>
          <t>C 5〜10万円</t>
        </is>
      </c>
      <c r="J13" s="8" t="n">
        <v>65000</v>
      </c>
      <c r="K13" s="7" t="n">
        <v>3</v>
      </c>
      <c r="L13" s="8">
        <f>J13*K13</f>
        <v/>
      </c>
      <c r="M13" s="4" t="inlineStr">
        <is>
          <t>○</t>
        </is>
      </c>
      <c r="N13" s="6" t="inlineStr">
        <is>
          <t>クリュッグ。通好みの指名</t>
        </is>
      </c>
    </row>
    <row r="14">
      <c r="A14" s="4" t="inlineStr">
        <is>
          <t>S-10</t>
        </is>
      </c>
      <c r="B14" s="4" t="inlineStr">
        <is>
          <t>泡</t>
        </is>
      </c>
      <c r="C14" s="5" t="inlineStr">
        <is>
          <t>テタンジェ コント ド シャンパーニュ ブラン・ド・ブラン</t>
        </is>
      </c>
      <c r="D14" s="5" t="inlineStr">
        <is>
          <t>Taittinger</t>
        </is>
      </c>
      <c r="E14" s="4" t="inlineStr">
        <is>
          <t>2013</t>
        </is>
      </c>
      <c r="F14" s="6" t="inlineStr">
        <is>
          <t>フランス / シャンパーニュ</t>
        </is>
      </c>
      <c r="G14" s="6" t="inlineStr">
        <is>
          <t>Chardonnay</t>
        </is>
      </c>
      <c r="H14" s="7" t="n">
        <v>750</v>
      </c>
      <c r="I14" s="4" t="inlineStr">
        <is>
          <t>C 5〜10万円</t>
        </is>
      </c>
      <c r="J14" s="8" t="n">
        <v>65000</v>
      </c>
      <c r="K14" s="7" t="n">
        <v>2</v>
      </c>
      <c r="L14" s="8">
        <f>J14*K14</f>
        <v/>
      </c>
      <c r="M14" s="4" t="inlineStr">
        <is>
          <t>○</t>
        </is>
      </c>
      <c r="N14" s="6" t="inlineStr">
        <is>
          <t>プレステージBdBの代表</t>
        </is>
      </c>
    </row>
    <row r="15">
      <c r="A15" s="4" t="inlineStr">
        <is>
          <t>S-11</t>
        </is>
      </c>
      <c r="B15" s="4" t="inlineStr">
        <is>
          <t>泡</t>
        </is>
      </c>
      <c r="C15" s="5" t="inlineStr">
        <is>
          <t>クリュッグ ロゼ</t>
        </is>
      </c>
      <c r="D15" s="5" t="inlineStr">
        <is>
          <t>Krug</t>
        </is>
      </c>
      <c r="E15" s="4" t="inlineStr">
        <is>
          <t>NV</t>
        </is>
      </c>
      <c r="F15" s="6" t="inlineStr">
        <is>
          <t>フランス / シャンパーニュ</t>
        </is>
      </c>
      <c r="G15" s="6" t="inlineStr">
        <is>
          <t>Pinot Noir / Chardonnay / Meunier</t>
        </is>
      </c>
      <c r="H15" s="7" t="n">
        <v>750</v>
      </c>
      <c r="I15" s="4" t="inlineStr">
        <is>
          <t>D 10〜20万円</t>
        </is>
      </c>
      <c r="J15" s="8" t="n">
        <v>170000</v>
      </c>
      <c r="K15" s="7" t="n">
        <v>1</v>
      </c>
      <c r="L15" s="8">
        <f>J15*K15</f>
        <v/>
      </c>
      <c r="M15" s="4" t="inlineStr">
        <is>
          <t>△</t>
        </is>
      </c>
      <c r="N15" s="6" t="inlineStr">
        <is>
          <t>帯D。1本のみ常備</t>
        </is>
      </c>
    </row>
    <row r="16">
      <c r="A16" s="4" t="inlineStr">
        <is>
          <t>S-12</t>
        </is>
      </c>
      <c r="B16" s="4" t="inlineStr">
        <is>
          <t>泡</t>
        </is>
      </c>
      <c r="C16" s="5" t="inlineStr">
        <is>
          <t>ドン ペリニヨン P2</t>
        </is>
      </c>
      <c r="D16" s="5" t="inlineStr">
        <is>
          <t>Dom Pérignon</t>
        </is>
      </c>
      <c r="E16" s="4" t="inlineStr">
        <is>
          <t>2005</t>
        </is>
      </c>
      <c r="F16" s="6" t="inlineStr">
        <is>
          <t>フランス / シャンパーニュ</t>
        </is>
      </c>
      <c r="G16" s="6" t="inlineStr">
        <is>
          <t>Chardonnay / Pinot Noir</t>
        </is>
      </c>
      <c r="H16" s="7" t="n">
        <v>750</v>
      </c>
      <c r="I16" s="4" t="inlineStr">
        <is>
          <t>象 20万円〜</t>
        </is>
      </c>
      <c r="J16" s="8" t="n">
        <v>280000</v>
      </c>
      <c r="K16" s="7" t="n">
        <v>2</v>
      </c>
      <c r="L16" s="8">
        <f>J16*K16</f>
        <v/>
      </c>
      <c r="M16" s="4" t="inlineStr">
        <is>
          <t>△</t>
        </is>
      </c>
      <c r="N16" s="6" t="inlineStr">
        <is>
          <t>唯一の20万超。棚の頂点</t>
        </is>
      </c>
    </row>
    <row r="17">
      <c r="A17" s="4" t="inlineStr">
        <is>
          <t>W-1</t>
        </is>
      </c>
      <c r="B17" s="4" t="inlineStr">
        <is>
          <t>白</t>
        </is>
      </c>
      <c r="C17" s="5" t="inlineStr">
        <is>
          <t>ドメーヌ ルフレーヴ マコン ヴェルゼ</t>
        </is>
      </c>
      <c r="D17" s="5" t="inlineStr">
        <is>
          <t>Domaine Leflaive</t>
        </is>
      </c>
      <c r="E17" s="4" t="inlineStr">
        <is>
          <t>2022</t>
        </is>
      </c>
      <c r="F17" s="6" t="inlineStr">
        <is>
          <t>フランス / ブルゴーニュ マコネ</t>
        </is>
      </c>
      <c r="G17" s="6" t="inlineStr">
        <is>
          <t>Chardonnay</t>
        </is>
      </c>
      <c r="H17" s="7" t="n">
        <v>750</v>
      </c>
      <c r="I17" s="4" t="inlineStr">
        <is>
          <t>A 〜3万円</t>
        </is>
      </c>
      <c r="J17" s="8" t="n">
        <v>10000</v>
      </c>
      <c r="K17" s="7" t="n">
        <v>2</v>
      </c>
      <c r="L17" s="8">
        <f>J17*K17</f>
        <v/>
      </c>
      <c r="M17" s="4" t="inlineStr">
        <is>
          <t>○</t>
        </is>
      </c>
      <c r="N17" s="6" t="inlineStr">
        <is>
          <t>ルフレーヴの入口。白の常用帯を担う</t>
        </is>
      </c>
    </row>
    <row r="18">
      <c r="A18" s="4" t="inlineStr">
        <is>
          <t>W-2</t>
        </is>
      </c>
      <c r="B18" s="4" t="inlineStr">
        <is>
          <t>白</t>
        </is>
      </c>
      <c r="C18" s="5" t="inlineStr">
        <is>
          <t>ムルソー</t>
        </is>
      </c>
      <c r="D18" s="5" t="inlineStr">
        <is>
          <t>Louis Jadot</t>
        </is>
      </c>
      <c r="E18" s="4" t="inlineStr">
        <is>
          <t>2022</t>
        </is>
      </c>
      <c r="F18" s="6" t="inlineStr">
        <is>
          <t>フランス / ブルゴーニュ</t>
        </is>
      </c>
      <c r="G18" s="6" t="inlineStr">
        <is>
          <t>Chardonnay</t>
        </is>
      </c>
      <c r="H18" s="7" t="n">
        <v>750</v>
      </c>
      <c r="I18" s="4" t="inlineStr">
        <is>
          <t>A 〜3万円</t>
        </is>
      </c>
      <c r="J18" s="8" t="n">
        <v>28000</v>
      </c>
      <c r="K18" s="7" t="n">
        <v>4</v>
      </c>
      <c r="L18" s="8">
        <f>J18*K18</f>
        <v/>
      </c>
      <c r="M18" s="4" t="inlineStr">
        <is>
          <t>◎</t>
        </is>
      </c>
      <c r="N18" s="6" t="inlineStr">
        <is>
          <t>白の入口。ムルソーの名前で売れる</t>
        </is>
      </c>
    </row>
    <row r="19">
      <c r="A19" s="4" t="inlineStr">
        <is>
          <t>W-3</t>
        </is>
      </c>
      <c r="B19" s="4" t="inlineStr">
        <is>
          <t>白</t>
        </is>
      </c>
      <c r="C19" s="5" t="inlineStr">
        <is>
          <t>エール ダルジャン</t>
        </is>
      </c>
      <c r="D19" s="5" t="inlineStr">
        <is>
          <t>Château Mouton Rothschild</t>
        </is>
      </c>
      <c r="E19" s="4" t="inlineStr">
        <is>
          <t>2022</t>
        </is>
      </c>
      <c r="F19" s="6" t="inlineStr">
        <is>
          <t>フランス / ボルドー</t>
        </is>
      </c>
      <c r="G19" s="6" t="inlineStr">
        <is>
          <t>Sauvignon Blanc / Sémillon / Muscadelle</t>
        </is>
      </c>
      <c r="H19" s="7" t="n">
        <v>750</v>
      </c>
      <c r="I19" s="4" t="inlineStr">
        <is>
          <t>B 3〜5万円</t>
        </is>
      </c>
      <c r="J19" s="8" t="n">
        <v>30000</v>
      </c>
      <c r="K19" s="7" t="n">
        <v>4</v>
      </c>
      <c r="L19" s="8">
        <f>J19*K19</f>
        <v/>
      </c>
      <c r="M19" s="4" t="inlineStr">
        <is>
          <t>○</t>
        </is>
      </c>
      <c r="N19" s="6" t="inlineStr">
        <is>
          <t>ムートンの白。赤の五大＋セカンドと物語がつながる</t>
        </is>
      </c>
    </row>
    <row r="20">
      <c r="A20" s="4" t="inlineStr">
        <is>
          <t>W-4</t>
        </is>
      </c>
      <c r="B20" s="4" t="inlineStr">
        <is>
          <t>白</t>
        </is>
      </c>
      <c r="C20" s="5" t="inlineStr">
        <is>
          <t>シャルドネ レ ノワゼティエ</t>
        </is>
      </c>
      <c r="D20" s="5" t="inlineStr">
        <is>
          <t>Kistler</t>
        </is>
      </c>
      <c r="E20" s="4" t="inlineStr">
        <is>
          <t>2022</t>
        </is>
      </c>
      <c r="F20" s="6" t="inlineStr">
        <is>
          <t>アメリカ / ソノマ・コースト</t>
        </is>
      </c>
      <c r="G20" s="6" t="inlineStr">
        <is>
          <t>Chardonnay</t>
        </is>
      </c>
      <c r="H20" s="7" t="n">
        <v>750</v>
      </c>
      <c r="I20" s="4" t="inlineStr">
        <is>
          <t>B 3〜5万円</t>
        </is>
      </c>
      <c r="J20" s="8" t="n">
        <v>38000</v>
      </c>
      <c r="K20" s="7" t="n">
        <v>2</v>
      </c>
      <c r="L20" s="8">
        <f>J20*K20</f>
        <v/>
      </c>
      <c r="M20" s="4" t="inlineStr">
        <is>
          <t>○</t>
        </is>
      </c>
      <c r="N20" s="6" t="inlineStr">
        <is>
          <t>新樽の分かりやすい満足感</t>
        </is>
      </c>
    </row>
    <row r="21">
      <c r="A21" s="4" t="inlineStr">
        <is>
          <t>W-5</t>
        </is>
      </c>
      <c r="B21" s="4" t="inlineStr">
        <is>
          <t>白</t>
        </is>
      </c>
      <c r="C21" s="5" t="inlineStr">
        <is>
          <t>ドメーヌ ルフレーヴ ピュリニー モンラッシェ</t>
        </is>
      </c>
      <c r="D21" s="5" t="inlineStr">
        <is>
          <t>Domaine Leflaive</t>
        </is>
      </c>
      <c r="E21" s="4" t="inlineStr">
        <is>
          <t>2021</t>
        </is>
      </c>
      <c r="F21" s="6" t="inlineStr">
        <is>
          <t>フランス / ブルゴーニュ</t>
        </is>
      </c>
      <c r="G21" s="6" t="inlineStr">
        <is>
          <t>Chardonnay</t>
        </is>
      </c>
      <c r="H21" s="7" t="n">
        <v>750</v>
      </c>
      <c r="I21" s="4" t="inlineStr">
        <is>
          <t>C 5〜10万円</t>
        </is>
      </c>
      <c r="J21" s="8" t="n">
        <v>50000</v>
      </c>
      <c r="K21" s="7" t="n">
        <v>3</v>
      </c>
      <c r="L21" s="8">
        <f>J21*K21</f>
        <v/>
      </c>
      <c r="M21" s="4" t="inlineStr">
        <is>
          <t>○</t>
        </is>
      </c>
      <c r="N21" s="6" t="inlineStr">
        <is>
          <t>ルフレーヴ。白の看板</t>
        </is>
      </c>
    </row>
    <row r="22">
      <c r="A22" s="4" t="inlineStr">
        <is>
          <t>W-6</t>
        </is>
      </c>
      <c r="B22" s="4" t="inlineStr">
        <is>
          <t>白</t>
        </is>
      </c>
      <c r="C22" s="5" t="inlineStr">
        <is>
          <t>シャトー ディケム</t>
        </is>
      </c>
      <c r="D22" s="5" t="inlineStr">
        <is>
          <t>Château d'Yquem</t>
        </is>
      </c>
      <c r="E22" s="4" t="inlineStr">
        <is>
          <t>2016</t>
        </is>
      </c>
      <c r="F22" s="6" t="inlineStr">
        <is>
          <t>フランス / ボルドー ソーテルヌ</t>
        </is>
      </c>
      <c r="G22" s="6" t="inlineStr">
        <is>
          <t>Sémillon / Sauvignon Blanc</t>
        </is>
      </c>
      <c r="H22" s="7" t="n">
        <v>375</v>
      </c>
      <c r="I22" s="4" t="inlineStr">
        <is>
          <t>C 5〜10万円</t>
        </is>
      </c>
      <c r="J22" s="8" t="n">
        <v>55000</v>
      </c>
      <c r="K22" s="7" t="n">
        <v>2</v>
      </c>
      <c r="L22" s="8">
        <f>J22*K22</f>
        <v/>
      </c>
      <c r="M22" s="4" t="inlineStr">
        <is>
          <t>○</t>
        </is>
      </c>
      <c r="N22" s="6" t="inlineStr">
        <is>
          <t>食後・デセール。ハーフで回す</t>
        </is>
      </c>
    </row>
    <row r="23">
      <c r="A23" s="4" t="inlineStr">
        <is>
          <t>W-7</t>
        </is>
      </c>
      <c r="B23" s="4" t="inlineStr">
        <is>
          <t>白</t>
        </is>
      </c>
      <c r="C23" s="5" t="inlineStr">
        <is>
          <t>パヴィヨン ブラン デュ シャトー マルゴー</t>
        </is>
      </c>
      <c r="D23" s="5" t="inlineStr">
        <is>
          <t>Château Margaux</t>
        </is>
      </c>
      <c r="E23" s="4" t="inlineStr">
        <is>
          <t>2022</t>
        </is>
      </c>
      <c r="F23" s="6" t="inlineStr">
        <is>
          <t>フランス / ボルドー</t>
        </is>
      </c>
      <c r="G23" s="6" t="inlineStr">
        <is>
          <t>Sauvignon Blanc</t>
        </is>
      </c>
      <c r="H23" s="7" t="n">
        <v>750</v>
      </c>
      <c r="I23" s="4" t="inlineStr">
        <is>
          <t>C 5〜10万円</t>
        </is>
      </c>
      <c r="J23" s="8" t="n">
        <v>55000</v>
      </c>
      <c r="K23" s="7" t="n">
        <v>4</v>
      </c>
      <c r="L23" s="8">
        <f>J23*K23</f>
        <v/>
      </c>
      <c r="M23" s="4" t="inlineStr">
        <is>
          <t>○</t>
        </is>
      </c>
      <c r="N23" s="6" t="inlineStr">
        <is>
          <t>マルゴーの白。パヴィヨン ルージュと対で置ける</t>
        </is>
      </c>
    </row>
    <row r="24">
      <c r="A24" s="4" t="inlineStr">
        <is>
          <t>W-8</t>
        </is>
      </c>
      <c r="B24" s="4" t="inlineStr">
        <is>
          <t>白</t>
        </is>
      </c>
      <c r="C24" s="5" t="inlineStr">
        <is>
          <t>コルトン シャルルマーニュ グラン クリュ</t>
        </is>
      </c>
      <c r="D24" s="5" t="inlineStr">
        <is>
          <t>Louis Latour</t>
        </is>
      </c>
      <c r="E24" s="4" t="inlineStr">
        <is>
          <t>2020</t>
        </is>
      </c>
      <c r="F24" s="6" t="inlineStr">
        <is>
          <t>フランス / ブルゴーニュ</t>
        </is>
      </c>
      <c r="G24" s="6" t="inlineStr">
        <is>
          <t>Chardonnay</t>
        </is>
      </c>
      <c r="H24" s="7" t="n">
        <v>750</v>
      </c>
      <c r="I24" s="4" t="inlineStr">
        <is>
          <t>C 5〜10万円</t>
        </is>
      </c>
      <c r="J24" s="8" t="n">
        <v>65000</v>
      </c>
      <c r="K24" s="7" t="n">
        <v>1</v>
      </c>
      <c r="L24" s="8">
        <f>J24*K24</f>
        <v/>
      </c>
      <c r="M24" s="4" t="inlineStr">
        <is>
          <t>◎</t>
        </is>
      </c>
      <c r="N24" s="6" t="inlineStr">
        <is>
          <t>GC白で最も再現性が高い</t>
        </is>
      </c>
    </row>
    <row r="25">
      <c r="A25" s="4" t="inlineStr">
        <is>
          <t>W-9</t>
        </is>
      </c>
      <c r="B25" s="4" t="inlineStr">
        <is>
          <t>白</t>
        </is>
      </c>
      <c r="C25" s="5" t="inlineStr">
        <is>
          <t>ドメーヌ ルフレーヴ ピュリニー モンラッシェ 1er クリュ フォラティエール</t>
        </is>
      </c>
      <c r="D25" s="5" t="inlineStr">
        <is>
          <t>Domaine Leflaive</t>
        </is>
      </c>
      <c r="E25" s="4" t="inlineStr">
        <is>
          <t>2021</t>
        </is>
      </c>
      <c r="F25" s="6" t="inlineStr">
        <is>
          <t>フランス / ブルゴーニュ</t>
        </is>
      </c>
      <c r="G25" s="6" t="inlineStr">
        <is>
          <t>Chardonnay</t>
        </is>
      </c>
      <c r="H25" s="7" t="n">
        <v>750</v>
      </c>
      <c r="I25" s="4" t="inlineStr">
        <is>
          <t>C 5〜10万円</t>
        </is>
      </c>
      <c r="J25" s="8" t="n">
        <v>95000</v>
      </c>
      <c r="K25" s="7" t="n">
        <v>2</v>
      </c>
      <c r="L25" s="8">
        <f>J25*K25</f>
        <v/>
      </c>
      <c r="M25" s="4" t="inlineStr">
        <is>
          <t>△</t>
        </is>
      </c>
      <c r="N25" s="6" t="inlineStr">
        <is>
          <t>ルフレーヴ上位。指名対応</t>
        </is>
      </c>
    </row>
    <row r="26">
      <c r="A26" s="4" t="inlineStr">
        <is>
          <t>W-10</t>
        </is>
      </c>
      <c r="B26" s="4" t="inlineStr">
        <is>
          <t>白</t>
        </is>
      </c>
      <c r="C26" s="5" t="inlineStr">
        <is>
          <t>ムルソー 1er クリュ ジュヌヴリエール</t>
        </is>
      </c>
      <c r="D26" s="5" t="inlineStr">
        <is>
          <t>Domaine des Comtes Lafon</t>
        </is>
      </c>
      <c r="E26" s="4" t="inlineStr">
        <is>
          <t>2021</t>
        </is>
      </c>
      <c r="F26" s="6" t="inlineStr">
        <is>
          <t>フランス / ブルゴーニュ</t>
        </is>
      </c>
      <c r="G26" s="6" t="inlineStr">
        <is>
          <t>Chardonnay</t>
        </is>
      </c>
      <c r="H26" s="7" t="n">
        <v>750</v>
      </c>
      <c r="I26" s="4" t="inlineStr">
        <is>
          <t>D 10〜20万円</t>
        </is>
      </c>
      <c r="J26" s="8" t="n">
        <v>130000</v>
      </c>
      <c r="K26" s="7" t="n">
        <v>1</v>
      </c>
      <c r="L26" s="8">
        <f>J26*K26</f>
        <v/>
      </c>
      <c r="M26" s="4" t="inlineStr">
        <is>
          <t>△</t>
        </is>
      </c>
      <c r="N26" s="6" t="inlineStr">
        <is>
          <t>ムルソーの最高峰格</t>
        </is>
      </c>
    </row>
    <row r="27">
      <c r="A27" s="4" t="inlineStr">
        <is>
          <t>W-11</t>
        </is>
      </c>
      <c r="B27" s="4" t="inlineStr">
        <is>
          <t>白</t>
        </is>
      </c>
      <c r="C27" s="5" t="inlineStr">
        <is>
          <t>シュヴァリエ モンラッシェ グラン クリュ</t>
        </is>
      </c>
      <c r="D27" s="5" t="inlineStr">
        <is>
          <t>Bouchard Père &amp; Fils</t>
        </is>
      </c>
      <c r="E27" s="4" t="inlineStr">
        <is>
          <t>2021</t>
        </is>
      </c>
      <c r="F27" s="6" t="inlineStr">
        <is>
          <t>フランス / ブルゴーニュ</t>
        </is>
      </c>
      <c r="G27" s="6" t="inlineStr">
        <is>
          <t>Chardonnay</t>
        </is>
      </c>
      <c r="H27" s="7" t="n">
        <v>750</v>
      </c>
      <c r="I27" s="4" t="inlineStr">
        <is>
          <t>D 10〜20万円</t>
        </is>
      </c>
      <c r="J27" s="8" t="n">
        <v>160000</v>
      </c>
      <c r="K27" s="7" t="n">
        <v>1</v>
      </c>
      <c r="L27" s="8">
        <f>J27*K27</f>
        <v/>
      </c>
      <c r="M27" s="4" t="inlineStr">
        <is>
          <t>○</t>
        </is>
      </c>
      <c r="N27" s="6" t="inlineStr">
        <is>
          <t>白の頂点。GC名で完結</t>
        </is>
      </c>
    </row>
    <row r="28">
      <c r="A28" s="4" t="inlineStr">
        <is>
          <t>R-1</t>
        </is>
      </c>
      <c r="B28" s="4" t="inlineStr">
        <is>
          <t>赤</t>
        </is>
      </c>
      <c r="C28" s="5" t="inlineStr">
        <is>
          <t>シャトー タルボ</t>
        </is>
      </c>
      <c r="D28" s="5" t="inlineStr">
        <is>
          <t>Château Talbot</t>
        </is>
      </c>
      <c r="E28" s="4" t="inlineStr">
        <is>
          <t>2019</t>
        </is>
      </c>
      <c r="F28" s="6" t="inlineStr">
        <is>
          <t>フランス / ボルドー サンジュリアン</t>
        </is>
      </c>
      <c r="G28" s="6" t="inlineStr">
        <is>
          <t>Cab.S / Merlot / Petit Verdot</t>
        </is>
      </c>
      <c r="H28" s="7" t="n">
        <v>750</v>
      </c>
      <c r="I28" s="4" t="inlineStr">
        <is>
          <t>A 〜3万円</t>
        </is>
      </c>
      <c r="J28" s="8" t="n">
        <v>18000</v>
      </c>
      <c r="K28" s="7" t="n">
        <v>5</v>
      </c>
      <c r="L28" s="8">
        <f>J28*K28</f>
        <v/>
      </c>
      <c r="M28" s="4" t="inlineStr">
        <is>
          <t>◎</t>
        </is>
      </c>
      <c r="N28" s="6" t="inlineStr">
        <is>
          <t>赤の基準ボトル。最回転</t>
        </is>
      </c>
    </row>
    <row r="29">
      <c r="A29" s="4" t="inlineStr">
        <is>
          <t>R-2</t>
        </is>
      </c>
      <c r="B29" s="4" t="inlineStr">
        <is>
          <t>赤</t>
        </is>
      </c>
      <c r="C29" s="5" t="inlineStr">
        <is>
          <t>ティニャネロ</t>
        </is>
      </c>
      <c r="D29" s="5" t="inlineStr">
        <is>
          <t>Antinori</t>
        </is>
      </c>
      <c r="E29" s="4" t="inlineStr">
        <is>
          <t>2022</t>
        </is>
      </c>
      <c r="F29" s="6" t="inlineStr">
        <is>
          <t>イタリア / トスカーナ</t>
        </is>
      </c>
      <c r="G29" s="6" t="inlineStr">
        <is>
          <t>Sangiovese / Cab.S / Cab.Franc</t>
        </is>
      </c>
      <c r="H29" s="7" t="n">
        <v>750</v>
      </c>
      <c r="I29" s="4" t="inlineStr">
        <is>
          <t>A 〜3万円</t>
        </is>
      </c>
      <c r="J29" s="8" t="n">
        <v>28000</v>
      </c>
      <c r="K29" s="7" t="n">
        <v>4</v>
      </c>
      <c r="L29" s="8">
        <f>J29*K29</f>
        <v/>
      </c>
      <c r="M29" s="4" t="inlineStr">
        <is>
          <t>◎</t>
        </is>
      </c>
      <c r="N29" s="6" t="inlineStr">
        <is>
          <t>知名度・供給とも安定</t>
        </is>
      </c>
    </row>
    <row r="30">
      <c r="A30" s="4" t="inlineStr">
        <is>
          <t>R-3</t>
        </is>
      </c>
      <c r="B30" s="4" t="inlineStr">
        <is>
          <t>赤</t>
        </is>
      </c>
      <c r="C30" s="5" t="inlineStr">
        <is>
          <t>シルバーオーク アレクサンダー ヴァレー カベルネ</t>
        </is>
      </c>
      <c r="D30" s="5" t="inlineStr">
        <is>
          <t>Silver Oak</t>
        </is>
      </c>
      <c r="E30" s="4" t="inlineStr">
        <is>
          <t>2020</t>
        </is>
      </c>
      <c r="F30" s="6" t="inlineStr">
        <is>
          <t>アメリカ / アレクサンダー・ヴァレー</t>
        </is>
      </c>
      <c r="G30" s="6" t="inlineStr">
        <is>
          <t>Cabernet Sauvignon</t>
        </is>
      </c>
      <c r="H30" s="7" t="n">
        <v>750</v>
      </c>
      <c r="I30" s="4" t="inlineStr">
        <is>
          <t>A 〜3万円</t>
        </is>
      </c>
      <c r="J30" s="8" t="n">
        <v>28000</v>
      </c>
      <c r="K30" s="7" t="n">
        <v>3</v>
      </c>
      <c r="L30" s="8">
        <f>J30*K30</f>
        <v/>
      </c>
      <c r="M30" s="4" t="inlineStr">
        <is>
          <t>◎</t>
        </is>
      </c>
      <c r="N30" s="6" t="inlineStr">
        <is>
          <t>米系。接待需要</t>
        </is>
      </c>
    </row>
    <row r="31">
      <c r="A31" s="4" t="inlineStr">
        <is>
          <t>R-4</t>
        </is>
      </c>
      <c r="B31" s="4" t="inlineStr">
        <is>
          <t>赤</t>
        </is>
      </c>
      <c r="C31" s="5" t="inlineStr">
        <is>
          <t>シャトー カロン セギュール</t>
        </is>
      </c>
      <c r="D31" s="5" t="inlineStr">
        <is>
          <t>Château Calon Ségur</t>
        </is>
      </c>
      <c r="E31" s="4" t="inlineStr">
        <is>
          <t>2020</t>
        </is>
      </c>
      <c r="F31" s="6" t="inlineStr">
        <is>
          <t>フランス / ボルドー サンテステフ</t>
        </is>
      </c>
      <c r="G31" s="6" t="inlineStr">
        <is>
          <t>Cab.S / Merlot / Cab.Franc</t>
        </is>
      </c>
      <c r="H31" s="7" t="n">
        <v>750</v>
      </c>
      <c r="I31" s="4" t="inlineStr">
        <is>
          <t>B 3〜5万円</t>
        </is>
      </c>
      <c r="J31" s="8" t="n">
        <v>35000</v>
      </c>
      <c r="K31" s="7" t="n">
        <v>5</v>
      </c>
      <c r="L31" s="8">
        <f>J31*K31</f>
        <v/>
      </c>
      <c r="M31" s="4" t="inlineStr">
        <is>
          <t>◎</t>
        </is>
      </c>
      <c r="N31" s="6" t="inlineStr">
        <is>
          <t>ハートラベル。記念日の主力</t>
        </is>
      </c>
    </row>
    <row r="32">
      <c r="A32" s="4" t="inlineStr">
        <is>
          <t>R-5</t>
        </is>
      </c>
      <c r="B32" s="4" t="inlineStr">
        <is>
          <t>赤</t>
        </is>
      </c>
      <c r="C32" s="5" t="inlineStr">
        <is>
          <t>ジュヴレ シャンベルタン</t>
        </is>
      </c>
      <c r="D32" s="5" t="inlineStr">
        <is>
          <t>Domaine Faiveley</t>
        </is>
      </c>
      <c r="E32" s="4" t="inlineStr">
        <is>
          <t>2021</t>
        </is>
      </c>
      <c r="F32" s="6" t="inlineStr">
        <is>
          <t>フランス / ブルゴーニュ</t>
        </is>
      </c>
      <c r="G32" s="6" t="inlineStr">
        <is>
          <t>Pinot Noir</t>
        </is>
      </c>
      <c r="H32" s="7" t="n">
        <v>750</v>
      </c>
      <c r="I32" s="4" t="inlineStr">
        <is>
          <t>B 3〜5万円</t>
        </is>
      </c>
      <c r="J32" s="8" t="n">
        <v>35000</v>
      </c>
      <c r="K32" s="7" t="n">
        <v>3</v>
      </c>
      <c r="L32" s="8">
        <f>J32*K32</f>
        <v/>
      </c>
      <c r="M32" s="4" t="inlineStr">
        <is>
          <t>◎</t>
        </is>
      </c>
      <c r="N32" s="6" t="inlineStr">
        <is>
          <t>ブルゴーニュ赤の入口</t>
        </is>
      </c>
    </row>
    <row r="33">
      <c r="A33" s="4" t="inlineStr">
        <is>
          <t>R-6</t>
        </is>
      </c>
      <c r="B33" s="4" t="inlineStr">
        <is>
          <t>赤</t>
        </is>
      </c>
      <c r="C33" s="5" t="inlineStr">
        <is>
          <t>ケンゾー エステート 紫鈴 rindo</t>
        </is>
      </c>
      <c r="D33" s="5" t="inlineStr">
        <is>
          <t>Kenzo Estate</t>
        </is>
      </c>
      <c r="E33" s="4" t="inlineStr">
        <is>
          <t>2022</t>
        </is>
      </c>
      <c r="F33" s="6" t="inlineStr">
        <is>
          <t>アメリカ / ナパ・ヴァレー</t>
        </is>
      </c>
      <c r="G33" s="6" t="inlineStr">
        <is>
          <t>Cab.S / Merlot / Cab.Franc</t>
        </is>
      </c>
      <c r="H33" s="7" t="n">
        <v>750</v>
      </c>
      <c r="I33" s="4" t="inlineStr">
        <is>
          <t>B 3〜5万円</t>
        </is>
      </c>
      <c r="J33" s="8" t="n">
        <v>38000</v>
      </c>
      <c r="K33" s="7" t="n">
        <v>3</v>
      </c>
      <c r="L33" s="8">
        <f>J33*K33</f>
        <v/>
      </c>
      <c r="M33" s="4" t="inlineStr">
        <is>
          <t>○</t>
        </is>
      </c>
      <c r="N33" s="6" t="inlineStr">
        <is>
          <t>日本人オーナー。和食に強い</t>
        </is>
      </c>
    </row>
    <row r="34">
      <c r="A34" s="4" t="inlineStr">
        <is>
          <t>R-7</t>
        </is>
      </c>
      <c r="B34" s="4" t="inlineStr">
        <is>
          <t>赤</t>
        </is>
      </c>
      <c r="C34" s="5" t="inlineStr">
        <is>
          <t>オーバーチュア</t>
        </is>
      </c>
      <c r="D34" s="5" t="inlineStr">
        <is>
          <t>Opus One</t>
        </is>
      </c>
      <c r="E34" s="4" t="inlineStr">
        <is>
          <t>NV</t>
        </is>
      </c>
      <c r="F34" s="6" t="inlineStr">
        <is>
          <t>アメリカ / ナパ・ヴァレー</t>
        </is>
      </c>
      <c r="G34" s="6" t="inlineStr">
        <is>
          <t>Cab.S / Merlot / Cab.Franc / Petit Verdot / Malbec</t>
        </is>
      </c>
      <c r="H34" s="7" t="n">
        <v>750</v>
      </c>
      <c r="I34" s="4" t="inlineStr">
        <is>
          <t>B 3〜5万円</t>
        </is>
      </c>
      <c r="J34" s="8" t="n">
        <v>40000</v>
      </c>
      <c r="K34" s="7" t="n">
        <v>3</v>
      </c>
      <c r="L34" s="8">
        <f>J34*K34</f>
        <v/>
      </c>
      <c r="M34" s="4" t="inlineStr">
        <is>
          <t>○</t>
        </is>
      </c>
      <c r="N34" s="6" t="inlineStr">
        <is>
          <t>オーパス ワンのセカンド。NVなので補充が容易</t>
        </is>
      </c>
    </row>
    <row r="35">
      <c r="A35" s="4" t="inlineStr">
        <is>
          <t>R-8</t>
        </is>
      </c>
      <c r="B35" s="4" t="inlineStr">
        <is>
          <t>赤</t>
        </is>
      </c>
      <c r="C35" s="5" t="inlineStr">
        <is>
          <t>サッシカイア</t>
        </is>
      </c>
      <c r="D35" s="5" t="inlineStr">
        <is>
          <t>Tenuta San Guido</t>
        </is>
      </c>
      <c r="E35" s="4" t="inlineStr">
        <is>
          <t>2021</t>
        </is>
      </c>
      <c r="F35" s="6" t="inlineStr">
        <is>
          <t>イタリア / ボルゲリ</t>
        </is>
      </c>
      <c r="G35" s="6" t="inlineStr">
        <is>
          <t>Cab.S / Cabernet Franc</t>
        </is>
      </c>
      <c r="H35" s="7" t="n">
        <v>750</v>
      </c>
      <c r="I35" s="4" t="inlineStr">
        <is>
          <t>B 3〜5万円</t>
        </is>
      </c>
      <c r="J35" s="8" t="n">
        <v>45000</v>
      </c>
      <c r="K35" s="7" t="n">
        <v>3</v>
      </c>
      <c r="L35" s="8">
        <f>J35*K35</f>
        <v/>
      </c>
      <c r="M35" s="4" t="inlineStr">
        <is>
          <t>○</t>
        </is>
      </c>
      <c r="N35" s="6" t="inlineStr">
        <is>
          <t>イタリア最強の指名銘柄</t>
        </is>
      </c>
    </row>
    <row r="36">
      <c r="A36" s="4" t="inlineStr">
        <is>
          <t>R-9</t>
        </is>
      </c>
      <c r="B36" s="4" t="inlineStr">
        <is>
          <t>赤</t>
        </is>
      </c>
      <c r="C36" s="5" t="inlineStr">
        <is>
          <t>オルネッライア</t>
        </is>
      </c>
      <c r="D36" s="5" t="inlineStr">
        <is>
          <t>Ornellaia</t>
        </is>
      </c>
      <c r="E36" s="4" t="inlineStr">
        <is>
          <t>2021</t>
        </is>
      </c>
      <c r="F36" s="6" t="inlineStr">
        <is>
          <t>イタリア / ボルゲリ</t>
        </is>
      </c>
      <c r="G36" s="6" t="inlineStr">
        <is>
          <t>Cab.S / Merlot / Cab.Franc / Petit Verdot</t>
        </is>
      </c>
      <c r="H36" s="7" t="n">
        <v>750</v>
      </c>
      <c r="I36" s="4" t="inlineStr">
        <is>
          <t>B 3〜5万円</t>
        </is>
      </c>
      <c r="J36" s="8" t="n">
        <v>45000</v>
      </c>
      <c r="K36" s="7" t="n">
        <v>2</v>
      </c>
      <c r="L36" s="8">
        <f>J36*K36</f>
        <v/>
      </c>
      <c r="M36" s="4" t="inlineStr">
        <is>
          <t>○</t>
        </is>
      </c>
      <c r="N36" s="6" t="inlineStr">
        <is>
          <t>サッシカイアの対抗</t>
        </is>
      </c>
    </row>
    <row r="37">
      <c r="A37" s="4" t="inlineStr">
        <is>
          <t>R-10</t>
        </is>
      </c>
      <c r="B37" s="4" t="inlineStr">
        <is>
          <t>赤</t>
        </is>
      </c>
      <c r="C37" s="5" t="inlineStr">
        <is>
          <t>パヴィヨン ルージュ デュ シャトー マルゴー</t>
        </is>
      </c>
      <c r="D37" s="5" t="inlineStr">
        <is>
          <t>Château Margaux</t>
        </is>
      </c>
      <c r="E37" s="4" t="inlineStr">
        <is>
          <t>2019</t>
        </is>
      </c>
      <c r="F37" s="6" t="inlineStr">
        <is>
          <t>フランス / ボルドー マルゴー</t>
        </is>
      </c>
      <c r="G37" s="6" t="inlineStr">
        <is>
          <t>Cab.S / Merlot</t>
        </is>
      </c>
      <c r="H37" s="7" t="n">
        <v>750</v>
      </c>
      <c r="I37" s="4" t="inlineStr">
        <is>
          <t>C 5〜10万円</t>
        </is>
      </c>
      <c r="J37" s="8" t="n">
        <v>55000</v>
      </c>
      <c r="K37" s="7" t="n">
        <v>5</v>
      </c>
      <c r="L37" s="8">
        <f>J37*K37</f>
        <v/>
      </c>
      <c r="M37" s="4" t="inlineStr">
        <is>
          <t>○</t>
        </is>
      </c>
      <c r="N37" s="6" t="inlineStr">
        <is>
          <t>マルゴーのセカンド。名前が通る</t>
        </is>
      </c>
    </row>
    <row r="38">
      <c r="A38" s="4" t="inlineStr">
        <is>
          <t>R-11</t>
        </is>
      </c>
      <c r="B38" s="4" t="inlineStr">
        <is>
          <t>赤</t>
        </is>
      </c>
      <c r="C38" s="5" t="inlineStr">
        <is>
          <t>カリュアド ド ラフィット</t>
        </is>
      </c>
      <c r="D38" s="5" t="inlineStr">
        <is>
          <t>Château Lafite Rothschild</t>
        </is>
      </c>
      <c r="E38" s="4" t="inlineStr">
        <is>
          <t>2018</t>
        </is>
      </c>
      <c r="F38" s="6" t="inlineStr">
        <is>
          <t>フランス / ボルドー ポイヤック</t>
        </is>
      </c>
      <c r="G38" s="6" t="inlineStr">
        <is>
          <t>Cab.S / Merlot / Cab.Franc</t>
        </is>
      </c>
      <c r="H38" s="7" t="n">
        <v>750</v>
      </c>
      <c r="I38" s="4" t="inlineStr">
        <is>
          <t>C 5〜10万円</t>
        </is>
      </c>
      <c r="J38" s="8" t="n">
        <v>60000</v>
      </c>
      <c r="K38" s="7" t="n">
        <v>4</v>
      </c>
      <c r="L38" s="8">
        <f>J38*K38</f>
        <v/>
      </c>
      <c r="M38" s="4" t="inlineStr">
        <is>
          <t>○</t>
        </is>
      </c>
      <c r="N38" s="6" t="inlineStr">
        <is>
          <t>ラフィットのセカンド。中華圏に強い</t>
        </is>
      </c>
    </row>
    <row r="39">
      <c r="A39" s="4" t="inlineStr">
        <is>
          <t>R-12</t>
        </is>
      </c>
      <c r="B39" s="4" t="inlineStr">
        <is>
          <t>赤</t>
        </is>
      </c>
      <c r="C39" s="5" t="inlineStr">
        <is>
          <t>ル プティ ムートン</t>
        </is>
      </c>
      <c r="D39" s="5" t="inlineStr">
        <is>
          <t>Château Mouton Rothschild</t>
        </is>
      </c>
      <c r="E39" s="4" t="inlineStr">
        <is>
          <t>2019</t>
        </is>
      </c>
      <c r="F39" s="6" t="inlineStr">
        <is>
          <t>フランス / ボルドー ポイヤック</t>
        </is>
      </c>
      <c r="G39" s="6" t="inlineStr">
        <is>
          <t>Cab.S / Merlot / Cab.Franc</t>
        </is>
      </c>
      <c r="H39" s="7" t="n">
        <v>750</v>
      </c>
      <c r="I39" s="4" t="inlineStr">
        <is>
          <t>C 5〜10万円</t>
        </is>
      </c>
      <c r="J39" s="8" t="n">
        <v>65000</v>
      </c>
      <c r="K39" s="7" t="n">
        <v>3</v>
      </c>
      <c r="L39" s="8">
        <f>J39*K39</f>
        <v/>
      </c>
      <c r="M39" s="4" t="inlineStr">
        <is>
          <t>○</t>
        </is>
      </c>
      <c r="N39" s="6" t="inlineStr">
        <is>
          <t>ムートンのセカンド</t>
        </is>
      </c>
    </row>
    <row r="40">
      <c r="A40" s="4" t="inlineStr">
        <is>
          <t>R-13</t>
        </is>
      </c>
      <c r="B40" s="4" t="inlineStr">
        <is>
          <t>赤</t>
        </is>
      </c>
      <c r="C40" s="5" t="inlineStr">
        <is>
          <t>シャンボール ミュジニー 1er クリュ</t>
        </is>
      </c>
      <c r="D40" s="5" t="inlineStr">
        <is>
          <t>Joseph Drouhin</t>
        </is>
      </c>
      <c r="E40" s="4" t="inlineStr">
        <is>
          <t>2021</t>
        </is>
      </c>
      <c r="F40" s="6" t="inlineStr">
        <is>
          <t>フランス / ブルゴーニュ</t>
        </is>
      </c>
      <c r="G40" s="6" t="inlineStr">
        <is>
          <t>Pinot Noir</t>
        </is>
      </c>
      <c r="H40" s="7" t="n">
        <v>750</v>
      </c>
      <c r="I40" s="4" t="inlineStr">
        <is>
          <t>C 5〜10万円</t>
        </is>
      </c>
      <c r="J40" s="8" t="n">
        <v>65000</v>
      </c>
      <c r="K40" s="7" t="n">
        <v>3</v>
      </c>
      <c r="L40" s="8">
        <f>J40*K40</f>
        <v/>
      </c>
      <c r="M40" s="4" t="inlineStr">
        <is>
          <t>◎</t>
        </is>
      </c>
      <c r="N40" s="6" t="inlineStr">
        <is>
          <t>華やかで女性受け。大手で再現性◎</t>
        </is>
      </c>
    </row>
    <row r="41">
      <c r="A41" s="4" t="inlineStr">
        <is>
          <t>R-14</t>
        </is>
      </c>
      <c r="B41" s="4" t="inlineStr">
        <is>
          <t>赤</t>
        </is>
      </c>
      <c r="C41" s="5" t="inlineStr">
        <is>
          <t>オーパス ワン</t>
        </is>
      </c>
      <c r="D41" s="5" t="inlineStr">
        <is>
          <t>Opus One</t>
        </is>
      </c>
      <c r="E41" s="4" t="inlineStr">
        <is>
          <t>2021</t>
        </is>
      </c>
      <c r="F41" s="6" t="inlineStr">
        <is>
          <t>アメリカ / ナパ・ヴァレー</t>
        </is>
      </c>
      <c r="G41" s="6" t="inlineStr">
        <is>
          <t>Cab.S / Merlot / Cab.Franc / Petit Verdot</t>
        </is>
      </c>
      <c r="H41" s="7" t="n">
        <v>750</v>
      </c>
      <c r="I41" s="4" t="inlineStr">
        <is>
          <t>C 5〜10万円</t>
        </is>
      </c>
      <c r="J41" s="8" t="n">
        <v>85000</v>
      </c>
      <c r="K41" s="7" t="n">
        <v>6</v>
      </c>
      <c r="L41" s="8">
        <f>J41*K41</f>
        <v/>
      </c>
      <c r="M41" s="4" t="inlineStr">
        <is>
          <t>◎</t>
        </is>
      </c>
      <c r="N41" s="6" t="inlineStr">
        <is>
          <t>赤の最重要SKU。指名の基準点</t>
        </is>
      </c>
    </row>
    <row r="42">
      <c r="A42" s="4" t="inlineStr">
        <is>
          <t>R-15</t>
        </is>
      </c>
      <c r="B42" s="4" t="inlineStr">
        <is>
          <t>赤</t>
        </is>
      </c>
      <c r="C42" s="5" t="inlineStr">
        <is>
          <t>シャトー パルメ</t>
        </is>
      </c>
      <c r="D42" s="5" t="inlineStr">
        <is>
          <t>Château Palmer</t>
        </is>
      </c>
      <c r="E42" s="4" t="inlineStr">
        <is>
          <t>2018</t>
        </is>
      </c>
      <c r="F42" s="6" t="inlineStr">
        <is>
          <t>フランス / ボルドー マルゴー</t>
        </is>
      </c>
      <c r="G42" s="6" t="inlineStr">
        <is>
          <t>Merlot / Cab.S / Petit Verdot</t>
        </is>
      </c>
      <c r="H42" s="7" t="n">
        <v>750</v>
      </c>
      <c r="I42" s="4" t="inlineStr">
        <is>
          <t>C 5〜10万円</t>
        </is>
      </c>
      <c r="J42" s="8" t="n">
        <v>95000</v>
      </c>
      <c r="K42" s="7" t="n">
        <v>2</v>
      </c>
      <c r="L42" s="8">
        <f>J42*K42</f>
        <v/>
      </c>
      <c r="M42" s="4" t="inlineStr">
        <is>
          <t>○</t>
        </is>
      </c>
      <c r="N42" s="6" t="inlineStr">
        <is>
          <t>3級だが格上扱い</t>
        </is>
      </c>
    </row>
    <row r="43">
      <c r="A43" s="4" t="inlineStr">
        <is>
          <t>R-16</t>
        </is>
      </c>
      <c r="B43" s="4" t="inlineStr">
        <is>
          <t>赤</t>
        </is>
      </c>
      <c r="C43" s="5" t="inlineStr">
        <is>
          <t>ヴォーヌ ロマネ 1er クリュ</t>
        </is>
      </c>
      <c r="D43" s="5" t="inlineStr">
        <is>
          <t>Louis Jadot</t>
        </is>
      </c>
      <c r="E43" s="4" t="inlineStr">
        <is>
          <t>2021</t>
        </is>
      </c>
      <c r="F43" s="6" t="inlineStr">
        <is>
          <t>フランス / ブルゴーニュ</t>
        </is>
      </c>
      <c r="G43" s="6" t="inlineStr">
        <is>
          <t>Pinot Noir</t>
        </is>
      </c>
      <c r="H43" s="7" t="n">
        <v>750</v>
      </c>
      <c r="I43" s="4" t="inlineStr">
        <is>
          <t>C 5〜10万円</t>
        </is>
      </c>
      <c r="J43" s="8" t="n">
        <v>95000</v>
      </c>
      <c r="K43" s="7" t="n">
        <v>2</v>
      </c>
      <c r="L43" s="8">
        <f>J43*K43</f>
        <v/>
      </c>
      <c r="M43" s="4" t="inlineStr">
        <is>
          <t>○</t>
        </is>
      </c>
      <c r="N43" s="6" t="inlineStr">
        <is>
          <t>ヴォーヌ・ロマネの名前で売る</t>
        </is>
      </c>
    </row>
    <row r="44">
      <c r="A44" s="4" t="inlineStr">
        <is>
          <t>R-17</t>
        </is>
      </c>
      <c r="B44" s="4" t="inlineStr">
        <is>
          <t>赤</t>
        </is>
      </c>
      <c r="C44" s="5" t="inlineStr">
        <is>
          <t>クロ ド ヴージョ グラン クリュ</t>
        </is>
      </c>
      <c r="D44" s="5" t="inlineStr">
        <is>
          <t>Louis Jadot</t>
        </is>
      </c>
      <c r="E44" s="4" t="inlineStr">
        <is>
          <t>2020</t>
        </is>
      </c>
      <c r="F44" s="6" t="inlineStr">
        <is>
          <t>フランス / ブルゴーニュ</t>
        </is>
      </c>
      <c r="G44" s="6" t="inlineStr">
        <is>
          <t>Pinot Noir</t>
        </is>
      </c>
      <c r="H44" s="7" t="n">
        <v>750</v>
      </c>
      <c r="I44" s="4" t="inlineStr">
        <is>
          <t>C 5〜10万円</t>
        </is>
      </c>
      <c r="J44" s="8" t="n">
        <v>95000</v>
      </c>
      <c r="K44" s="7" t="n">
        <v>2</v>
      </c>
      <c r="L44" s="8">
        <f>J44*K44</f>
        <v/>
      </c>
      <c r="M44" s="4" t="inlineStr">
        <is>
          <t>◎</t>
        </is>
      </c>
      <c r="N44" s="6" t="inlineStr">
        <is>
          <t>GC赤。大手ネゴシアンで再現性◎</t>
        </is>
      </c>
    </row>
    <row r="45">
      <c r="A45" s="4" t="inlineStr">
        <is>
          <t>R-18</t>
        </is>
      </c>
      <c r="B45" s="4" t="inlineStr">
        <is>
          <t>赤</t>
        </is>
      </c>
      <c r="C45" s="5" t="inlineStr">
        <is>
          <t>シャトー ムートン ロートシルト</t>
        </is>
      </c>
      <c r="D45" s="5" t="inlineStr">
        <is>
          <t>Château Mouton Rothschild</t>
        </is>
      </c>
      <c r="E45" s="4" t="inlineStr">
        <is>
          <t>2017</t>
        </is>
      </c>
      <c r="F45" s="6" t="inlineStr">
        <is>
          <t>フランス / ボルドー ポイヤック</t>
        </is>
      </c>
      <c r="G45" s="6" t="inlineStr">
        <is>
          <t>Cab.S / Merlot / Cab.Franc</t>
        </is>
      </c>
      <c r="H45" s="7" t="n">
        <v>750</v>
      </c>
      <c r="I45" s="4" t="inlineStr">
        <is>
          <t>D 10〜20万円</t>
        </is>
      </c>
      <c r="J45" s="8" t="n">
        <v>130000</v>
      </c>
      <c r="K45" s="7" t="n">
        <v>1</v>
      </c>
      <c r="L45" s="8">
        <f>J45*K45</f>
        <v/>
      </c>
      <c r="M45" s="4" t="inlineStr">
        <is>
          <t>○</t>
        </is>
      </c>
      <c r="N45" s="6" t="inlineStr">
        <is>
          <t>五大。毎年替わるラベルが話題に</t>
        </is>
      </c>
    </row>
    <row r="46">
      <c r="A46" s="4" t="inlineStr">
        <is>
          <t>R-19</t>
        </is>
      </c>
      <c r="B46" s="4" t="inlineStr">
        <is>
          <t>赤</t>
        </is>
      </c>
      <c r="C46" s="5" t="inlineStr">
        <is>
          <t>シャトー オー ブリオン</t>
        </is>
      </c>
      <c r="D46" s="5" t="inlineStr">
        <is>
          <t>Château Haut-Brion</t>
        </is>
      </c>
      <c r="E46" s="4" t="inlineStr">
        <is>
          <t>2017</t>
        </is>
      </c>
      <c r="F46" s="6" t="inlineStr">
        <is>
          <t>フランス / ボルドー ペサック・レオニャン</t>
        </is>
      </c>
      <c r="G46" s="6" t="inlineStr">
        <is>
          <t>Merlot / Cab.S / Cab.Franc</t>
        </is>
      </c>
      <c r="H46" s="7" t="n">
        <v>750</v>
      </c>
      <c r="I46" s="4" t="inlineStr">
        <is>
          <t>D 10〜20万円</t>
        </is>
      </c>
      <c r="J46" s="8" t="n">
        <v>130000</v>
      </c>
      <c r="K46" s="7" t="n">
        <v>1</v>
      </c>
      <c r="L46" s="8">
        <f>J46*K46</f>
        <v/>
      </c>
      <c r="M46" s="4" t="inlineStr">
        <is>
          <t>○</t>
        </is>
      </c>
      <c r="N46" s="6" t="inlineStr">
        <is>
          <t>五大。グラーヴ唯一</t>
        </is>
      </c>
    </row>
    <row r="47">
      <c r="A47" s="4" t="inlineStr">
        <is>
          <t>R-20</t>
        </is>
      </c>
      <c r="B47" s="4" t="inlineStr">
        <is>
          <t>赤</t>
        </is>
      </c>
      <c r="C47" s="5" t="inlineStr">
        <is>
          <t>シャトー アンジェリュス</t>
        </is>
      </c>
      <c r="D47" s="5" t="inlineStr">
        <is>
          <t>Château Angélus</t>
        </is>
      </c>
      <c r="E47" s="4" t="inlineStr">
        <is>
          <t>2018</t>
        </is>
      </c>
      <c r="F47" s="6" t="inlineStr">
        <is>
          <t>フランス / ボルドー サンテミリオン</t>
        </is>
      </c>
      <c r="G47" s="6" t="inlineStr">
        <is>
          <t>Merlot / Cabernet Franc</t>
        </is>
      </c>
      <c r="H47" s="7" t="n">
        <v>750</v>
      </c>
      <c r="I47" s="4" t="inlineStr">
        <is>
          <t>D 10〜20万円</t>
        </is>
      </c>
      <c r="J47" s="8" t="n">
        <v>130000</v>
      </c>
      <c r="K47" s="7" t="n">
        <v>2</v>
      </c>
      <c r="L47" s="8">
        <f>J47*K47</f>
        <v/>
      </c>
      <c r="M47" s="4" t="inlineStr">
        <is>
          <t>○</t>
        </is>
      </c>
      <c r="N47" s="6" t="inlineStr">
        <is>
          <t>右岸の看板。鐘のラベルで知名度大</t>
        </is>
      </c>
    </row>
    <row r="48">
      <c r="A48" s="4" t="inlineStr">
        <is>
          <t>R-21</t>
        </is>
      </c>
      <c r="B48" s="4" t="inlineStr">
        <is>
          <t>赤</t>
        </is>
      </c>
      <c r="C48" s="5" t="inlineStr">
        <is>
          <t>ガヤ バルバレスコ</t>
        </is>
      </c>
      <c r="D48" s="5" t="inlineStr">
        <is>
          <t>Gaja</t>
        </is>
      </c>
      <c r="E48" s="4" t="inlineStr">
        <is>
          <t>2021</t>
        </is>
      </c>
      <c r="F48" s="6" t="inlineStr">
        <is>
          <t>イタリア / ピエモンテ</t>
        </is>
      </c>
      <c r="G48" s="6" t="inlineStr">
        <is>
          <t>Nebbiolo</t>
        </is>
      </c>
      <c r="H48" s="7" t="n">
        <v>750</v>
      </c>
      <c r="I48" s="4" t="inlineStr">
        <is>
          <t>D 10〜20万円</t>
        </is>
      </c>
      <c r="J48" s="8" t="n">
        <v>130000</v>
      </c>
      <c r="K48" s="7" t="n">
        <v>2</v>
      </c>
      <c r="L48" s="8">
        <f>J48*K48</f>
        <v/>
      </c>
      <c r="M48" s="4" t="inlineStr">
        <is>
          <t>○</t>
        </is>
      </c>
      <c r="N48" s="6" t="inlineStr">
        <is>
          <t>イタリアの帝王。ガヤの名前で完結</t>
        </is>
      </c>
    </row>
    <row r="49">
      <c r="A49" s="4" t="inlineStr">
        <is>
          <t>R-22</t>
        </is>
      </c>
      <c r="B49" s="4" t="inlineStr">
        <is>
          <t>赤</t>
        </is>
      </c>
      <c r="C49" s="5" t="inlineStr">
        <is>
          <t>シャトー マルゴー</t>
        </is>
      </c>
      <c r="D49" s="5" t="inlineStr">
        <is>
          <t>Château Margaux</t>
        </is>
      </c>
      <c r="E49" s="4" t="inlineStr">
        <is>
          <t>2017</t>
        </is>
      </c>
      <c r="F49" s="6" t="inlineStr">
        <is>
          <t>フランス / ボルドー マルゴー</t>
        </is>
      </c>
      <c r="G49" s="6" t="inlineStr">
        <is>
          <t>Cab.S / Merlot / Petit Verdot</t>
        </is>
      </c>
      <c r="H49" s="7" t="n">
        <v>750</v>
      </c>
      <c r="I49" s="4" t="inlineStr">
        <is>
          <t>D 10〜20万円</t>
        </is>
      </c>
      <c r="J49" s="8" t="n">
        <v>150000</v>
      </c>
      <c r="K49" s="7" t="n">
        <v>1</v>
      </c>
      <c r="L49" s="8">
        <f>J49*K49</f>
        <v/>
      </c>
      <c r="M49" s="4" t="inlineStr">
        <is>
          <t>○</t>
        </is>
      </c>
      <c r="N49" s="6" t="inlineStr">
        <is>
          <t>五大。最も指名が通る</t>
        </is>
      </c>
    </row>
    <row r="50">
      <c r="A50" s="4" t="inlineStr">
        <is>
          <t>R-23</t>
        </is>
      </c>
      <c r="B50" s="4" t="inlineStr">
        <is>
          <t>赤</t>
        </is>
      </c>
      <c r="C50" s="5" t="inlineStr">
        <is>
          <t>シャンベルタン クロ ド ベーズ グラン クリュ</t>
        </is>
      </c>
      <c r="D50" s="5" t="inlineStr">
        <is>
          <t>Louis Jadot</t>
        </is>
      </c>
      <c r="E50" s="4" t="inlineStr">
        <is>
          <t>2020</t>
        </is>
      </c>
      <c r="F50" s="6" t="inlineStr">
        <is>
          <t>フランス / ブルゴーニュ</t>
        </is>
      </c>
      <c r="G50" s="6" t="inlineStr">
        <is>
          <t>Pinot Noir</t>
        </is>
      </c>
      <c r="H50" s="7" t="n">
        <v>750</v>
      </c>
      <c r="I50" s="4" t="inlineStr">
        <is>
          <t>D 10〜20万円</t>
        </is>
      </c>
      <c r="J50" s="8" t="n">
        <v>150000</v>
      </c>
      <c r="K50" s="7" t="n">
        <v>1</v>
      </c>
      <c r="L50" s="8">
        <f>J50*K50</f>
        <v/>
      </c>
      <c r="M50" s="4" t="inlineStr">
        <is>
          <t>◎</t>
        </is>
      </c>
      <c r="N50" s="6" t="inlineStr">
        <is>
          <t>ブルゴーニュ赤の頂点枠</t>
        </is>
      </c>
    </row>
    <row r="51">
      <c r="A51" s="4" t="inlineStr">
        <is>
          <t>R-24</t>
        </is>
      </c>
      <c r="B51" s="4" t="inlineStr">
        <is>
          <t>赤</t>
        </is>
      </c>
      <c r="C51" s="5" t="inlineStr">
        <is>
          <t>ヴェガ シシリア ウニコ</t>
        </is>
      </c>
      <c r="D51" s="5" t="inlineStr">
        <is>
          <t>Vega Sicilia</t>
        </is>
      </c>
      <c r="E51" s="4" t="inlineStr">
        <is>
          <t>2014</t>
        </is>
      </c>
      <c r="F51" s="6" t="inlineStr">
        <is>
          <t>スペイン / リベラ・デル・ドゥエロ</t>
        </is>
      </c>
      <c r="G51" s="6" t="inlineStr">
        <is>
          <t>Tempranillo / Cabernet Sauvignon</t>
        </is>
      </c>
      <c r="H51" s="7" t="n">
        <v>750</v>
      </c>
      <c r="I51" s="4" t="inlineStr">
        <is>
          <t>D 10〜20万円</t>
        </is>
      </c>
      <c r="J51" s="8" t="n">
        <v>150000</v>
      </c>
      <c r="K51" s="7" t="n">
        <v>2</v>
      </c>
      <c r="L51" s="8">
        <f>J51*K51</f>
        <v/>
      </c>
      <c r="M51" s="4" t="inlineStr">
        <is>
          <t>○</t>
        </is>
      </c>
      <c r="N51" s="6" t="inlineStr">
        <is>
          <t>スペイン最高峰。長期熟成で説明が立つ</t>
        </is>
      </c>
    </row>
    <row r="52">
      <c r="A52" s="4" t="inlineStr">
        <is>
          <t>R-25</t>
        </is>
      </c>
      <c r="B52" s="4" t="inlineStr">
        <is>
          <t>赤</t>
        </is>
      </c>
      <c r="C52" s="5" t="inlineStr">
        <is>
          <t>シャトー ラトゥール</t>
        </is>
      </c>
      <c r="D52" s="5" t="inlineStr">
        <is>
          <t>Château Latour</t>
        </is>
      </c>
      <c r="E52" s="4" t="inlineStr">
        <is>
          <t>2014</t>
        </is>
      </c>
      <c r="F52" s="6" t="inlineStr">
        <is>
          <t>フランス / ボルドー ポイヤック</t>
        </is>
      </c>
      <c r="G52" s="6" t="inlineStr">
        <is>
          <t>Cab.S / Merlot</t>
        </is>
      </c>
      <c r="H52" s="7" t="n">
        <v>750</v>
      </c>
      <c r="I52" s="4" t="inlineStr">
        <is>
          <t>D 10〜20万円</t>
        </is>
      </c>
      <c r="J52" s="8" t="n">
        <v>180000</v>
      </c>
      <c r="K52" s="7" t="n">
        <v>1</v>
      </c>
      <c r="L52" s="8">
        <f>J52*K52</f>
        <v/>
      </c>
      <c r="M52" s="4" t="inlineStr">
        <is>
          <t>○</t>
        </is>
      </c>
      <c r="N52" s="6" t="inlineStr">
        <is>
          <t>五大。蔵出し後リリース</t>
        </is>
      </c>
    </row>
    <row r="53">
      <c r="A53" s="4" t="inlineStr">
        <is>
          <t>R-26</t>
        </is>
      </c>
      <c r="B53" s="4" t="inlineStr">
        <is>
          <t>赤</t>
        </is>
      </c>
      <c r="C53" s="5" t="inlineStr">
        <is>
          <t>シャトー ラフィット ロートシルト</t>
        </is>
      </c>
      <c r="D53" s="5" t="inlineStr">
        <is>
          <t>Château Lafite Rothschild</t>
        </is>
      </c>
      <c r="E53" s="4" t="inlineStr">
        <is>
          <t>2017</t>
        </is>
      </c>
      <c r="F53" s="6" t="inlineStr">
        <is>
          <t>フランス / ボルドー ポイヤック</t>
        </is>
      </c>
      <c r="G53" s="6" t="inlineStr">
        <is>
          <t>Cab.S / Merlot</t>
        </is>
      </c>
      <c r="H53" s="7" t="n">
        <v>750</v>
      </c>
      <c r="I53" s="4" t="inlineStr">
        <is>
          <t>D 10〜20万円</t>
        </is>
      </c>
      <c r="J53" s="8" t="n">
        <v>180000</v>
      </c>
      <c r="K53" s="7" t="n">
        <v>1</v>
      </c>
      <c r="L53" s="8">
        <f>J53*K53</f>
        <v/>
      </c>
      <c r="M53" s="4" t="inlineStr">
        <is>
          <t>○</t>
        </is>
      </c>
      <c r="N53" s="6" t="inlineStr">
        <is>
          <t>五大。中華圏の指名に強い</t>
        </is>
      </c>
    </row>
    <row r="54">
      <c r="A54" s="4" t="inlineStr">
        <is>
          <t>R-27</t>
        </is>
      </c>
      <c r="B54" s="4" t="inlineStr">
        <is>
          <t>赤</t>
        </is>
      </c>
      <c r="C54" s="5" t="inlineStr">
        <is>
          <t>シャトー シュヴァル ブラン</t>
        </is>
      </c>
      <c r="D54" s="5" t="inlineStr">
        <is>
          <t>Château Cheval Blanc</t>
        </is>
      </c>
      <c r="E54" s="4" t="inlineStr">
        <is>
          <t>2016</t>
        </is>
      </c>
      <c r="F54" s="6" t="inlineStr">
        <is>
          <t>フランス / ボルドー サンテミリオン</t>
        </is>
      </c>
      <c r="G54" s="6" t="inlineStr">
        <is>
          <t>Cabernet Franc / Merlot</t>
        </is>
      </c>
      <c r="H54" s="7" t="n">
        <v>750</v>
      </c>
      <c r="I54" s="4" t="inlineStr">
        <is>
          <t>D 10〜20万円</t>
        </is>
      </c>
      <c r="J54" s="8" t="n">
        <v>190000</v>
      </c>
      <c r="K54" s="7" t="n">
        <v>1</v>
      </c>
      <c r="L54" s="8">
        <f>J54*K54</f>
        <v/>
      </c>
      <c r="M54" s="4" t="inlineStr">
        <is>
          <t>○</t>
        </is>
      </c>
      <c r="N54" s="6" t="inlineStr">
        <is>
          <t>右岸最高峰。赤の帯D頂点</t>
        </is>
      </c>
    </row>
    <row r="55">
      <c r="A55" s="9" t="inlineStr">
        <is>
          <t>合計</t>
        </is>
      </c>
      <c r="B55" s="9" t="n"/>
      <c r="C55" s="9">
        <f>COUNTA(A5:A54)&amp;" SKU"</f>
        <v/>
      </c>
      <c r="D55" s="9" t="n"/>
      <c r="E55" s="9" t="n"/>
      <c r="F55" s="9" t="n"/>
      <c r="G55" s="9" t="n"/>
      <c r="H55" s="9" t="n"/>
      <c r="I55" s="9" t="n"/>
      <c r="J55" s="9" t="n"/>
      <c r="K55" s="10">
        <f>SUM(K5:K54)</f>
        <v/>
      </c>
      <c r="L55" s="11">
        <f>SUM(L5:L54)</f>
        <v/>
      </c>
      <c r="M55" s="9" t="n"/>
      <c r="N55" s="9" t="n"/>
    </row>
    <row r="57">
      <c r="A57" s="12" t="inlineStr">
        <is>
          <t>※ 想定小売価格は2026年前半の市場実勢に関する推定値であり、実際の販売価格・仕入価格を示すものではありません。楽天等の価格サイトは本作成環境から参照できないため未検証です。実勢価格は「価格調査」シートに記入のうえ差し替えてください。</t>
        </is>
      </c>
    </row>
    <row r="58">
      <c r="A58" s="13" t="inlineStr">
        <is>
          <t>※ ヴィンテージは入手性を優先した目安です。帯D以上は同一ヴィンテージの再入手が困難なため、売れた時点のヴィンテージで補充する運用を前提としています。</t>
        </is>
      </c>
    </row>
  </sheetData>
  <autoFilter ref="A4:N54"/>
  <mergeCells count="2">
    <mergeCell ref="A2:L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0" customWidth="1" min="2" max="2"/>
    <col width="10" customWidth="1" min="3" max="3"/>
    <col width="13" customWidth="1" min="4" max="4"/>
    <col width="15" customWidth="1" min="5" max="5"/>
    <col width="13" customWidth="1" min="6" max="6"/>
  </cols>
  <sheetData>
    <row r="1">
      <c r="A1" s="1" t="inlineStr">
        <is>
          <t>サマリー</t>
        </is>
      </c>
    </row>
    <row r="2">
      <c r="A2" s="2" t="inlineStr">
        <is>
          <t>「ワインリスト」シートを参照した集計です。数値はすべて数式で連動します。</t>
        </is>
      </c>
    </row>
    <row r="4">
      <c r="A4" s="14" t="inlineStr">
        <is>
          <t>カテゴリ別</t>
        </is>
      </c>
      <c r="B4" s="15" t="n"/>
      <c r="C4" s="15" t="n"/>
      <c r="D4" s="15" t="n"/>
      <c r="E4" s="15" t="n"/>
      <c r="F4" s="15" t="n"/>
    </row>
    <row r="5">
      <c r="A5" s="16" t="inlineStr">
        <is>
          <t>種別</t>
        </is>
      </c>
      <c r="B5" s="16" t="inlineStr">
        <is>
          <t>SKU数</t>
        </is>
      </c>
      <c r="C5" s="16" t="inlineStr">
        <is>
          <t>本数</t>
        </is>
      </c>
      <c r="D5" s="16" t="inlineStr">
        <is>
          <t>本数構成比</t>
        </is>
      </c>
      <c r="E5" s="16" t="inlineStr">
        <is>
          <t>小売総額</t>
        </is>
      </c>
      <c r="F5" s="16" t="inlineStr">
        <is>
          <t>平均単価</t>
        </is>
      </c>
    </row>
    <row r="6">
      <c r="A6" s="15" t="inlineStr">
        <is>
          <t>泡</t>
        </is>
      </c>
      <c r="B6" s="15">
        <f>COUNTIF(ワインリスト!$B$5:$B$54,A6)</f>
        <v/>
      </c>
      <c r="C6" s="15">
        <f>SUMIF(ワインリスト!$B$5:$B$54,A6,ワインリスト!$K$5:$K$54)</f>
        <v/>
      </c>
      <c r="D6" s="17">
        <f>IFERROR(C6/$C$9,0)</f>
        <v/>
      </c>
      <c r="E6" s="18">
        <f>SUMIF(ワインリスト!$B$5:$B$54,A6,ワインリスト!$L$5:$L$54)</f>
        <v/>
      </c>
      <c r="F6" s="18">
        <f>IFERROR(E6/C6,0)</f>
        <v/>
      </c>
    </row>
    <row r="7">
      <c r="A7" s="15" t="inlineStr">
        <is>
          <t>白</t>
        </is>
      </c>
      <c r="B7" s="15">
        <f>COUNTIF(ワインリスト!$B$5:$B$54,A7)</f>
        <v/>
      </c>
      <c r="C7" s="15">
        <f>SUMIF(ワインリスト!$B$5:$B$54,A7,ワインリスト!$K$5:$K$54)</f>
        <v/>
      </c>
      <c r="D7" s="17">
        <f>IFERROR(C7/$C$9,0)</f>
        <v/>
      </c>
      <c r="E7" s="18">
        <f>SUMIF(ワインリスト!$B$5:$B$54,A7,ワインリスト!$L$5:$L$54)</f>
        <v/>
      </c>
      <c r="F7" s="18">
        <f>IFERROR(E7/C7,0)</f>
        <v/>
      </c>
    </row>
    <row r="8">
      <c r="A8" s="15" t="inlineStr">
        <is>
          <t>赤</t>
        </is>
      </c>
      <c r="B8" s="15">
        <f>COUNTIF(ワインリスト!$B$5:$B$54,A8)</f>
        <v/>
      </c>
      <c r="C8" s="15">
        <f>SUMIF(ワインリスト!$B$5:$B$54,A8,ワインリスト!$K$5:$K$54)</f>
        <v/>
      </c>
      <c r="D8" s="17">
        <f>IFERROR(C8/$C$9,0)</f>
        <v/>
      </c>
      <c r="E8" s="18">
        <f>SUMIF(ワインリスト!$B$5:$B$54,A8,ワインリスト!$L$5:$L$54)</f>
        <v/>
      </c>
      <c r="F8" s="18">
        <f>IFERROR(E8/C8,0)</f>
        <v/>
      </c>
    </row>
    <row r="9">
      <c r="A9" s="19" t="inlineStr">
        <is>
          <t>合計</t>
        </is>
      </c>
      <c r="B9" s="19">
        <f>SUM(B6:B8)</f>
        <v/>
      </c>
      <c r="C9" s="19">
        <f>SUM(C6:C8)</f>
        <v/>
      </c>
      <c r="D9" s="20">
        <f>IFERROR(C9/C9,0)</f>
        <v/>
      </c>
      <c r="E9" s="21">
        <f>SUM(E6:E8)</f>
        <v/>
      </c>
      <c r="F9" s="21">
        <f>IFERROR(E9/C9,0)</f>
        <v/>
      </c>
    </row>
    <row r="10">
      <c r="A10" s="15" t="n"/>
      <c r="B10" s="15" t="n"/>
      <c r="C10" s="15" t="n"/>
      <c r="D10" s="15" t="n"/>
      <c r="E10" s="15" t="n"/>
      <c r="F10" s="15" t="n"/>
    </row>
    <row r="11">
      <c r="A11" s="15" t="n"/>
      <c r="B11" s="15" t="n"/>
      <c r="C11" s="15" t="n"/>
      <c r="D11" s="15" t="n"/>
      <c r="E11" s="15" t="n"/>
      <c r="F11" s="15" t="n"/>
    </row>
    <row r="12">
      <c r="A12" s="14" t="inlineStr">
        <is>
          <t>価格帯別（SKU数）</t>
        </is>
      </c>
      <c r="B12" s="15" t="n"/>
      <c r="C12" s="15" t="n"/>
      <c r="D12" s="15" t="n"/>
      <c r="E12" s="15" t="n"/>
      <c r="F12" s="15" t="n"/>
    </row>
    <row r="13">
      <c r="A13" s="16" t="inlineStr">
        <is>
          <t>価格帯</t>
        </is>
      </c>
      <c r="B13" s="16" t="inlineStr">
        <is>
          <t>SKU数</t>
        </is>
      </c>
      <c r="C13" s="16" t="inlineStr">
        <is>
          <t>本数</t>
        </is>
      </c>
      <c r="D13" s="16" t="inlineStr">
        <is>
          <t>小売総額</t>
        </is>
      </c>
      <c r="E13" s="15" t="n"/>
      <c r="F13" s="15" t="n"/>
    </row>
    <row r="14">
      <c r="A14" s="15" t="inlineStr">
        <is>
          <t>A 〜3万円</t>
        </is>
      </c>
      <c r="B14" s="15">
        <f>COUNTIF(ワインリスト!$I$5:$I$54,A14)</f>
        <v/>
      </c>
      <c r="C14" s="15">
        <f>SUMIF(ワインリスト!$I$5:$I$54,A14,ワインリスト!$K$5:$K$54)</f>
        <v/>
      </c>
      <c r="D14" s="18">
        <f>SUMIF(ワインリスト!$I$5:$I$54,A14,ワインリスト!$L$5:$L$54)</f>
        <v/>
      </c>
      <c r="E14" s="15" t="n"/>
      <c r="F14" s="15" t="n"/>
    </row>
    <row r="15">
      <c r="A15" s="15" t="inlineStr">
        <is>
          <t>B 3〜5万円</t>
        </is>
      </c>
      <c r="B15" s="15">
        <f>COUNTIF(ワインリスト!$I$5:$I$54,A15)</f>
        <v/>
      </c>
      <c r="C15" s="15">
        <f>SUMIF(ワインリスト!$I$5:$I$54,A15,ワインリスト!$K$5:$K$54)</f>
        <v/>
      </c>
      <c r="D15" s="18">
        <f>SUMIF(ワインリスト!$I$5:$I$54,A15,ワインリスト!$L$5:$L$54)</f>
        <v/>
      </c>
      <c r="E15" s="15" t="n"/>
      <c r="F15" s="15" t="n"/>
    </row>
    <row r="16">
      <c r="A16" s="15" t="inlineStr">
        <is>
          <t>C 5〜10万円</t>
        </is>
      </c>
      <c r="B16" s="15">
        <f>COUNTIF(ワインリスト!$I$5:$I$54,A16)</f>
        <v/>
      </c>
      <c r="C16" s="15">
        <f>SUMIF(ワインリスト!$I$5:$I$54,A16,ワインリスト!$K$5:$K$54)</f>
        <v/>
      </c>
      <c r="D16" s="18">
        <f>SUMIF(ワインリスト!$I$5:$I$54,A16,ワインリスト!$L$5:$L$54)</f>
        <v/>
      </c>
      <c r="E16" s="15" t="n"/>
      <c r="F16" s="15" t="n"/>
    </row>
    <row r="17">
      <c r="A17" s="15" t="inlineStr">
        <is>
          <t>D 10〜20万円</t>
        </is>
      </c>
      <c r="B17" s="15">
        <f>COUNTIF(ワインリスト!$I$5:$I$54,A17)</f>
        <v/>
      </c>
      <c r="C17" s="15">
        <f>SUMIF(ワインリスト!$I$5:$I$54,A17,ワインリスト!$K$5:$K$54)</f>
        <v/>
      </c>
      <c r="D17" s="18">
        <f>SUMIF(ワインリスト!$I$5:$I$54,A17,ワインリスト!$L$5:$L$54)</f>
        <v/>
      </c>
      <c r="E17" s="15" t="n"/>
      <c r="F17" s="15" t="n"/>
    </row>
    <row r="18">
      <c r="A18" s="15" t="inlineStr">
        <is>
          <t>象 20万円〜</t>
        </is>
      </c>
      <c r="B18" s="15">
        <f>COUNTIF(ワインリスト!$I$5:$I$54,A18)</f>
        <v/>
      </c>
      <c r="C18" s="15">
        <f>SUMIF(ワインリスト!$I$5:$I$54,A18,ワインリスト!$K$5:$K$54)</f>
        <v/>
      </c>
      <c r="D18" s="18">
        <f>SUMIF(ワインリスト!$I$5:$I$54,A18,ワインリスト!$L$5:$L$54)</f>
        <v/>
      </c>
      <c r="E18" s="15" t="n"/>
      <c r="F18" s="15" t="n"/>
    </row>
    <row r="19">
      <c r="A19" s="19" t="inlineStr">
        <is>
          <t>合計</t>
        </is>
      </c>
      <c r="B19" s="19">
        <f>SUM(B14:B18)</f>
        <v/>
      </c>
      <c r="C19" s="19">
        <f>SUM(C14:C18)</f>
        <v/>
      </c>
      <c r="D19" s="21">
        <f>SUM(D14:D18)</f>
        <v/>
      </c>
      <c r="E19" s="19" t="n"/>
      <c r="F19" s="19" t="n"/>
    </row>
    <row r="20">
      <c r="A20" s="15" t="n"/>
      <c r="B20" s="15" t="n"/>
      <c r="C20" s="15" t="n"/>
      <c r="D20" s="15" t="n"/>
      <c r="E20" s="15" t="n"/>
      <c r="F20" s="15" t="n"/>
    </row>
    <row r="21">
      <c r="A21" s="15" t="n"/>
      <c r="B21" s="15" t="n"/>
      <c r="C21" s="15" t="n"/>
      <c r="D21" s="15" t="n"/>
      <c r="E21" s="15" t="n"/>
      <c r="F21" s="15" t="n"/>
    </row>
    <row r="22">
      <c r="A22" s="14" t="inlineStr">
        <is>
          <t>再現性別（再仕入のしやすさ）</t>
        </is>
      </c>
      <c r="B22" s="15" t="n"/>
      <c r="C22" s="15" t="n"/>
      <c r="D22" s="15" t="n"/>
      <c r="E22" s="15" t="n"/>
      <c r="F22" s="15" t="n"/>
    </row>
    <row r="23">
      <c r="A23" s="16" t="inlineStr">
        <is>
          <t>区分</t>
        </is>
      </c>
      <c r="B23" s="16" t="inlineStr">
        <is>
          <t>SKU数</t>
        </is>
      </c>
      <c r="C23" s="16" t="inlineStr">
        <is>
          <t>本数</t>
        </is>
      </c>
      <c r="D23" s="16" t="inlineStr">
        <is>
          <t>本数構成比</t>
        </is>
      </c>
      <c r="E23" s="16" t="inlineStr">
        <is>
          <t>内容</t>
        </is>
      </c>
      <c r="F23" s="15" t="n"/>
    </row>
    <row r="24">
      <c r="A24" s="15" t="inlineStr">
        <is>
          <t>◎ 常時流通</t>
        </is>
      </c>
      <c r="B24" s="15">
        <f>COUNTIF(ワインリスト!$M$5:$M$54,"◎")</f>
        <v/>
      </c>
      <c r="C24" s="15">
        <f>SUMIF(ワインリスト!$M$5:$M$54,"◎",ワインリスト!$K$5:$K$54)</f>
        <v/>
      </c>
      <c r="D24" s="17">
        <f>IFERROR(C24/$C$27,0)</f>
        <v/>
      </c>
      <c r="E24" s="15" t="inlineStr">
        <is>
          <t>同スペックでいつでも再仕入可</t>
        </is>
      </c>
      <c r="F24" s="15" t="n"/>
    </row>
    <row r="25">
      <c r="A25" s="15" t="inlineStr">
        <is>
          <t>○ 継続調達可</t>
        </is>
      </c>
      <c r="B25" s="15">
        <f>COUNTIF(ワインリスト!$M$5:$M$54,"○")</f>
        <v/>
      </c>
      <c r="C25" s="15">
        <f>SUMIF(ワインリスト!$M$5:$M$54,"○",ワインリスト!$K$5:$K$54)</f>
        <v/>
      </c>
      <c r="D25" s="17">
        <f>IFERROR(C25/$C$27,0)</f>
        <v/>
      </c>
      <c r="E25" s="15" t="inlineStr">
        <is>
          <t>ヴィンテージは変動するが銘柄は継続</t>
        </is>
      </c>
      <c r="F25" s="15" t="n"/>
    </row>
    <row r="26">
      <c r="A26" s="15" t="inlineStr">
        <is>
          <t>△ 割当・限定</t>
        </is>
      </c>
      <c r="B26" s="15">
        <f>COUNTIF(ワインリスト!$M$5:$M$54,"△")</f>
        <v/>
      </c>
      <c r="C26" s="15">
        <f>SUMIF(ワインリスト!$M$5:$M$54,"△",ワインリスト!$K$5:$K$54)</f>
        <v/>
      </c>
      <c r="D26" s="17">
        <f>IFERROR(C26/$C$27,0)</f>
        <v/>
      </c>
      <c r="E26" s="15" t="inlineStr">
        <is>
          <t>割当・数量限定。指名対応枠のみ</t>
        </is>
      </c>
      <c r="F26" s="15" t="n"/>
    </row>
    <row r="27">
      <c r="A27" s="19" t="inlineStr">
        <is>
          <t>合計</t>
        </is>
      </c>
      <c r="B27" s="19">
        <f>SUM(B24:B26)</f>
        <v/>
      </c>
      <c r="C27" s="19">
        <f>SUM(C24:C26)</f>
        <v/>
      </c>
      <c r="D27" s="20">
        <f>IFERROR(C27/C27,0)</f>
        <v/>
      </c>
      <c r="E27" s="19" t="n"/>
      <c r="F27" s="19" t="n"/>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4" customWidth="1" min="3" max="3"/>
    <col width="26" customWidth="1" min="4" max="4"/>
    <col width="13" customWidth="1" min="5" max="5"/>
    <col width="46" customWidth="1" min="6" max="6"/>
    <col width="15" customWidth="1" min="7" max="7"/>
    <col width="14" customWidth="1" min="8" max="8"/>
    <col width="15" customWidth="1" min="9" max="9"/>
    <col width="7" customWidth="1" min="10" max="10"/>
    <col width="12" customWidth="1" min="11" max="11"/>
    <col width="12" customWidth="1" min="12" max="12"/>
    <col width="26" customWidth="1" min="13" max="13"/>
    <col width="30" customWidth="1" min="14" max="14"/>
  </cols>
  <sheetData>
    <row r="1">
      <c r="A1" s="1" t="inlineStr">
        <is>
          <t>実勢価格 調査ワークシート</t>
        </is>
      </c>
    </row>
    <row r="2">
      <c r="A2" s="2" t="inlineStr">
        <is>
          <t>黄色のセルにご記入ください。記入後にお渡しいただければ、全ファイルを実勢価格ベースで再生成します。</t>
        </is>
      </c>
    </row>
    <row r="3">
      <c r="A3" s="12" t="inlineStr">
        <is>
          <t>【凡例】黄色＝記入欄（G・H・I列）／ 薄黄＝記入例（5行目・提出時は削除してください）／ 「楽天検索」列のリンクを開き、画面上で「価格が安い順」に並び替えて最安値をご記入ください。</t>
        </is>
      </c>
    </row>
    <row r="5">
      <c r="A5" s="3" t="inlineStr">
        <is>
          <t>SKU</t>
        </is>
      </c>
      <c r="B5" s="3" t="inlineStr">
        <is>
          <t>種別</t>
        </is>
      </c>
      <c r="C5" s="3" t="inlineStr">
        <is>
          <t>銘柄</t>
        </is>
      </c>
      <c r="D5" s="3" t="inlineStr">
        <is>
          <t>生産者</t>
        </is>
      </c>
      <c r="E5" s="3" t="inlineStr">
        <is>
          <t>現行V(推定)</t>
        </is>
      </c>
      <c r="F5" s="3" t="inlineStr">
        <is>
          <t>楽天検索URL（コピーしてブラウザへ）</t>
        </is>
      </c>
      <c r="G5" s="3" t="inlineStr">
        <is>
          <t>楽天最安値【記入】</t>
        </is>
      </c>
      <c r="H5" s="3" t="inlineStr">
        <is>
          <t>実際のV【記入】</t>
        </is>
      </c>
      <c r="I5" s="3" t="inlineStr">
        <is>
          <t>取扱店舗数【記入】</t>
        </is>
      </c>
      <c r="J5" s="3" t="inlineStr">
        <is>
          <t>本数</t>
        </is>
      </c>
      <c r="K5" s="3" t="inlineStr">
        <is>
          <t>暫定価格</t>
        </is>
      </c>
      <c r="L5" s="3" t="inlineStr">
        <is>
          <t>差額</t>
        </is>
      </c>
      <c r="M5" s="3" t="inlineStr">
        <is>
          <t>参照先の推奨</t>
        </is>
      </c>
      <c r="N5" s="3" t="inlineStr">
        <is>
          <t>備考</t>
        </is>
      </c>
    </row>
    <row r="6">
      <c r="A6" s="22" t="inlineStr">
        <is>
          <t>（例）R-99</t>
        </is>
      </c>
      <c r="B6" s="22" t="inlineStr">
        <is>
          <t>赤</t>
        </is>
      </c>
      <c r="C6" s="22" t="inlineStr">
        <is>
          <t>シャトー サンプル</t>
        </is>
      </c>
      <c r="D6" s="22" t="inlineStr">
        <is>
          <t>Château Sample</t>
        </is>
      </c>
      <c r="E6" s="22" t="inlineStr">
        <is>
          <t>2022</t>
        </is>
      </c>
      <c r="F6" s="22" t="inlineStr"/>
      <c r="G6" s="23" t="n">
        <v>48500</v>
      </c>
      <c r="H6" s="22" t="inlineStr">
        <is>
          <t>2021</t>
        </is>
      </c>
      <c r="I6" s="22" t="n">
        <v>12</v>
      </c>
      <c r="J6" s="22" t="n">
        <v>3</v>
      </c>
      <c r="K6" s="23" t="n">
        <v>50000</v>
      </c>
      <c r="L6" s="23">
        <f>IF(G6="","",G6-K6)</f>
        <v/>
      </c>
      <c r="M6" s="22" t="inlineStr">
        <is>
          <t>楽天最安値</t>
        </is>
      </c>
      <c r="N6" s="22" t="inlineStr">
        <is>
          <t>↑この行は記入例です。提出時は行ごと削除してください</t>
        </is>
      </c>
    </row>
    <row r="7">
      <c r="A7" s="4" t="inlineStr">
        <is>
          <t>S-1</t>
        </is>
      </c>
      <c r="B7" s="4" t="inlineStr">
        <is>
          <t>泡</t>
        </is>
      </c>
      <c r="C7" s="5" t="inlineStr">
        <is>
          <t>モーリス・グルミエ ブリュット トラディション</t>
        </is>
      </c>
      <c r="D7" s="5" t="inlineStr">
        <is>
          <t>Maurice Grumier</t>
        </is>
      </c>
      <c r="E7" s="4" t="inlineStr">
        <is>
          <t>NV</t>
        </is>
      </c>
      <c r="F7" s="24" t="inlineStr">
        <is>
          <t>https://search.rakuten.co.jp/search/mall/%E3%83%A2%E3%83%BC%E3%83%AA%E3%82%B9%20%E3%82%B0%E3%83%AB%E3%83%9F%E3%82%A8%20%E3%83%96%E3%83%AA%E3%83%A5%E3%83%83%E3%83%88%20%E3%83%88%E3%83%A9%E3%83%87%E3%82%A3%E3%82%B7%E3%83%A7%E3%83%B3%20750ml/</t>
        </is>
      </c>
      <c r="G7" s="25" t="n"/>
      <c r="H7" s="26" t="n"/>
      <c r="I7" s="27" t="n"/>
      <c r="J7" s="7" t="n">
        <v>6</v>
      </c>
      <c r="K7" s="8" t="n">
        <v>10000</v>
      </c>
      <c r="L7" s="8">
        <f>IF(G7="","",G7-K7)</f>
        <v/>
      </c>
      <c r="M7" s="6" t="inlineStr">
        <is>
          <t>楽天最安値</t>
        </is>
      </c>
      <c r="N7" s="6" t="inlineStr"/>
    </row>
    <row r="8">
      <c r="A8" s="4" t="inlineStr">
        <is>
          <t>S-2</t>
        </is>
      </c>
      <c r="B8" s="4" t="inlineStr">
        <is>
          <t>泡</t>
        </is>
      </c>
      <c r="C8" s="5" t="inlineStr">
        <is>
          <t>エグリ・ウーリエ ブリュット トラディション グラン・クリュ</t>
        </is>
      </c>
      <c r="D8" s="5" t="inlineStr">
        <is>
          <t>Egly-Ouriet</t>
        </is>
      </c>
      <c r="E8" s="4" t="inlineStr">
        <is>
          <t>NV</t>
        </is>
      </c>
      <c r="F8" s="24" t="inlineStr">
        <is>
          <t>https://search.rakuten.co.jp/search/mall/%E3%82%A8%E3%82%B0%E3%83%AA%20%E3%82%A6%E3%83%BC%E3%83%AA%E3%82%A8%20%E3%83%96%E3%83%AA%E3%83%A5%E3%83%83%E3%83%88%20%E3%83%88%E3%83%A9%E3%83%87%E3%82%A3%E3%82%B7%E3%83%A7%E3%83%B3%20%E3%82%B0%E3%83%A9%E3%83%B3%20%E3%82%AF%E3%83%AA%E3%83%A5%20750ml/</t>
        </is>
      </c>
      <c r="G8" s="25" t="n"/>
      <c r="H8" s="26" t="n"/>
      <c r="I8" s="27" t="n"/>
      <c r="J8" s="7" t="n">
        <v>6</v>
      </c>
      <c r="K8" s="8" t="n">
        <v>20000</v>
      </c>
      <c r="L8" s="8">
        <f>IF(G8="","",G8-K8)</f>
        <v/>
      </c>
      <c r="M8" s="6" t="inlineStr">
        <is>
          <t>楽天最安値</t>
        </is>
      </c>
      <c r="N8" s="6" t="inlineStr"/>
    </row>
    <row r="9">
      <c r="A9" s="4" t="inlineStr">
        <is>
          <t>S-3</t>
        </is>
      </c>
      <c r="B9" s="4" t="inlineStr">
        <is>
          <t>泡</t>
        </is>
      </c>
      <c r="C9" s="5" t="inlineStr">
        <is>
          <t>ボランジェ スペシャル・キュヴェ</t>
        </is>
      </c>
      <c r="D9" s="5" t="inlineStr">
        <is>
          <t>Bollinger</t>
        </is>
      </c>
      <c r="E9" s="4" t="inlineStr">
        <is>
          <t>NV</t>
        </is>
      </c>
      <c r="F9" s="24" t="inlineStr">
        <is>
          <t>https://search.rakuten.co.jp/search/mall/%E3%83%9C%E3%83%A9%E3%83%B3%E3%82%B8%E3%82%A7%20%E3%82%B9%E3%83%9A%E3%82%B7%E3%83%A3%E3%83%AB%20%E3%82%AD%E3%83%A5%E3%83%B4%E3%82%A7%20750ml/</t>
        </is>
      </c>
      <c r="G9" s="25" t="n"/>
      <c r="H9" s="26" t="n"/>
      <c r="I9" s="27" t="n"/>
      <c r="J9" s="7" t="n">
        <v>8</v>
      </c>
      <c r="K9" s="8" t="n">
        <v>28000</v>
      </c>
      <c r="L9" s="8">
        <f>IF(G9="","",G9-K9)</f>
        <v/>
      </c>
      <c r="M9" s="6" t="inlineStr">
        <is>
          <t>楽天最安値</t>
        </is>
      </c>
      <c r="N9" s="6" t="inlineStr"/>
    </row>
    <row r="10">
      <c r="A10" s="4" t="inlineStr">
        <is>
          <t>S-4</t>
        </is>
      </c>
      <c r="B10" s="4" t="inlineStr">
        <is>
          <t>泡</t>
        </is>
      </c>
      <c r="C10" s="5" t="inlineStr">
        <is>
          <t>ペリエ・ジュエ ベル エポック</t>
        </is>
      </c>
      <c r="D10" s="5" t="inlineStr">
        <is>
          <t>Perrier-Jouët</t>
        </is>
      </c>
      <c r="E10" s="4" t="inlineStr">
        <is>
          <t>2017</t>
        </is>
      </c>
      <c r="F10" s="24" t="inlineStr">
        <is>
          <t>https://search.rakuten.co.jp/search/mall/%E3%83%9A%E3%83%AA%E3%82%A8%20%E3%82%B8%E3%83%A5%E3%82%A8%20%E3%83%99%E3%83%AB%20%E3%82%A8%E3%83%9D%E3%83%83%E3%82%AF%20750ml/</t>
        </is>
      </c>
      <c r="G10" s="25" t="n"/>
      <c r="H10" s="26" t="n"/>
      <c r="I10" s="27" t="n"/>
      <c r="J10" s="7" t="n">
        <v>4</v>
      </c>
      <c r="K10" s="8" t="n">
        <v>45000</v>
      </c>
      <c r="L10" s="8">
        <f>IF(G10="","",G10-K10)</f>
        <v/>
      </c>
      <c r="M10" s="6" t="inlineStr">
        <is>
          <t>楽天最安値</t>
        </is>
      </c>
      <c r="N10" s="6" t="inlineStr"/>
    </row>
    <row r="11">
      <c r="A11" s="4" t="inlineStr">
        <is>
          <t>S-5</t>
        </is>
      </c>
      <c r="B11" s="4" t="inlineStr">
        <is>
          <t>泡</t>
        </is>
      </c>
      <c r="C11" s="5" t="inlineStr">
        <is>
          <t>レア ミレジム</t>
        </is>
      </c>
      <c r="D11" s="5" t="inlineStr">
        <is>
          <t>Rare Champagne</t>
        </is>
      </c>
      <c r="E11" s="4" t="inlineStr">
        <is>
          <t>2013</t>
        </is>
      </c>
      <c r="F11" s="24" t="inlineStr">
        <is>
          <t>https://search.rakuten.co.jp/search/mall/%E3%83%AC%E3%82%A2%20%E3%83%9F%E3%83%AC%E3%82%B8%E3%83%A0%20750ml/</t>
        </is>
      </c>
      <c r="G11" s="25" t="n"/>
      <c r="H11" s="26" t="n"/>
      <c r="I11" s="27" t="n"/>
      <c r="J11" s="7" t="n">
        <v>3</v>
      </c>
      <c r="K11" s="8" t="n">
        <v>48000</v>
      </c>
      <c r="L11" s="8">
        <f>IF(G11="","",G11-K11)</f>
        <v/>
      </c>
      <c r="M11" s="6" t="inlineStr">
        <is>
          <t>楽天最安値</t>
        </is>
      </c>
      <c r="N11" s="6" t="inlineStr"/>
    </row>
    <row r="12">
      <c r="A12" s="4" t="inlineStr">
        <is>
          <t>S-6</t>
        </is>
      </c>
      <c r="B12" s="4" t="inlineStr">
        <is>
          <t>泡</t>
        </is>
      </c>
      <c r="C12" s="5" t="inlineStr">
        <is>
          <t>ドン ペリニヨン</t>
        </is>
      </c>
      <c r="D12" s="5" t="inlineStr">
        <is>
          <t>Dom Pérignon</t>
        </is>
      </c>
      <c r="E12" s="4" t="inlineStr">
        <is>
          <t>2016</t>
        </is>
      </c>
      <c r="F12" s="24" t="inlineStr">
        <is>
          <t>https://search.rakuten.co.jp/search/mall/%E3%83%89%E3%83%B3%20%E3%83%9A%E3%83%AA%E3%83%8B%E3%83%A8%E3%83%B3%20750ml/</t>
        </is>
      </c>
      <c r="G12" s="25" t="n"/>
      <c r="H12" s="26" t="n"/>
      <c r="I12" s="27" t="n"/>
      <c r="J12" s="7" t="n">
        <v>8</v>
      </c>
      <c r="K12" s="8" t="n">
        <v>48000</v>
      </c>
      <c r="L12" s="8">
        <f>IF(G12="","",G12-K12)</f>
        <v/>
      </c>
      <c r="M12" s="6" t="inlineStr">
        <is>
          <t>楽天最安値</t>
        </is>
      </c>
      <c r="N12" s="6" t="inlineStr"/>
    </row>
    <row r="13">
      <c r="A13" s="4" t="inlineStr">
        <is>
          <t>S-7</t>
        </is>
      </c>
      <c r="B13" s="4" t="inlineStr">
        <is>
          <t>泡</t>
        </is>
      </c>
      <c r="C13" s="5" t="inlineStr">
        <is>
          <t>ジャクソン アヴィーズ シャン・カン</t>
        </is>
      </c>
      <c r="D13" s="5" t="inlineStr">
        <is>
          <t>Jacquesson</t>
        </is>
      </c>
      <c r="E13" s="4" t="inlineStr">
        <is>
          <t>2015</t>
        </is>
      </c>
      <c r="F13" s="24" t="inlineStr">
        <is>
          <t>https://search.rakuten.co.jp/search/mall/%E3%82%B8%E3%83%A3%E3%82%AF%E3%82%BD%E3%83%B3%20%E3%82%A2%E3%83%B4%E3%82%A3%E3%83%BC%E3%82%BA%20%E3%82%B7%E3%83%A3%E3%83%B3%20%E3%82%AB%E3%83%B3%20750ml/</t>
        </is>
      </c>
      <c r="G13" s="25" t="n"/>
      <c r="H13" s="26" t="n"/>
      <c r="I13" s="27" t="n"/>
      <c r="J13" s="7" t="n">
        <v>2</v>
      </c>
      <c r="K13" s="8" t="n">
        <v>55000</v>
      </c>
      <c r="L13" s="8">
        <f>IF(G13="","",G13-K13)</f>
        <v/>
      </c>
      <c r="M13" s="6" t="inlineStr">
        <is>
          <t>楽天最安値</t>
        </is>
      </c>
      <c r="N13" s="6" t="inlineStr"/>
    </row>
    <row r="14">
      <c r="A14" s="4" t="inlineStr">
        <is>
          <t>S-8</t>
        </is>
      </c>
      <c r="B14" s="4" t="inlineStr">
        <is>
          <t>泡</t>
        </is>
      </c>
      <c r="C14" s="5" t="inlineStr">
        <is>
          <t>ボランジェ ラ グランダネ</t>
        </is>
      </c>
      <c r="D14" s="5" t="inlineStr">
        <is>
          <t>Bollinger</t>
        </is>
      </c>
      <c r="E14" s="4" t="inlineStr">
        <is>
          <t>2015</t>
        </is>
      </c>
      <c r="F14" s="24" t="inlineStr">
        <is>
          <t>https://search.rakuten.co.jp/search/mall/%E3%83%9C%E3%83%A9%E3%83%B3%E3%82%B8%E3%82%A7%20%E3%83%A9%20%E3%82%B0%E3%83%A9%E3%83%B3%E3%83%80%E3%83%8D%20750ml/</t>
        </is>
      </c>
      <c r="G14" s="25" t="n"/>
      <c r="H14" s="26" t="n"/>
      <c r="I14" s="27" t="n"/>
      <c r="J14" s="7" t="n">
        <v>2</v>
      </c>
      <c r="K14" s="8" t="n">
        <v>60000</v>
      </c>
      <c r="L14" s="8">
        <f>IF(G14="","",G14-K14)</f>
        <v/>
      </c>
      <c r="M14" s="6" t="inlineStr">
        <is>
          <t>楽天最安値</t>
        </is>
      </c>
      <c r="N14" s="6" t="inlineStr"/>
    </row>
    <row r="15">
      <c r="A15" s="4" t="inlineStr">
        <is>
          <t>S-9</t>
        </is>
      </c>
      <c r="B15" s="4" t="inlineStr">
        <is>
          <t>泡</t>
        </is>
      </c>
      <c r="C15" s="5" t="inlineStr">
        <is>
          <t>クリュッグ グランド キュヴェ</t>
        </is>
      </c>
      <c r="D15" s="5" t="inlineStr">
        <is>
          <t>Krug</t>
        </is>
      </c>
      <c r="E15" s="4" t="inlineStr">
        <is>
          <t>171ème Édition</t>
        </is>
      </c>
      <c r="F15" s="24" t="inlineStr">
        <is>
          <t>https://search.rakuten.co.jp/search/mall/%E3%82%AF%E3%83%AA%E3%83%A5%E3%83%83%E3%82%B0%20%E3%82%B0%E3%83%A9%E3%83%B3%E3%83%89%20%E3%82%AD%E3%83%A5%E3%83%B4%E3%82%A7%20750ml/</t>
        </is>
      </c>
      <c r="G15" s="25" t="n"/>
      <c r="H15" s="26" t="n"/>
      <c r="I15" s="27" t="n"/>
      <c r="J15" s="7" t="n">
        <v>3</v>
      </c>
      <c r="K15" s="8" t="n">
        <v>65000</v>
      </c>
      <c r="L15" s="8">
        <f>IF(G15="","",G15-K15)</f>
        <v/>
      </c>
      <c r="M15" s="6" t="inlineStr">
        <is>
          <t>楽天最安値</t>
        </is>
      </c>
      <c r="N15" s="6" t="inlineStr"/>
    </row>
    <row r="16">
      <c r="A16" s="4" t="inlineStr">
        <is>
          <t>S-10</t>
        </is>
      </c>
      <c r="B16" s="4" t="inlineStr">
        <is>
          <t>泡</t>
        </is>
      </c>
      <c r="C16" s="5" t="inlineStr">
        <is>
          <t>テタンジェ コント ド シャンパーニュ ブラン・ド・ブラン</t>
        </is>
      </c>
      <c r="D16" s="5" t="inlineStr">
        <is>
          <t>Taittinger</t>
        </is>
      </c>
      <c r="E16" s="4" t="inlineStr">
        <is>
          <t>2013</t>
        </is>
      </c>
      <c r="F16" s="24" t="inlineStr">
        <is>
          <t>https://search.rakuten.co.jp/search/mall/%E3%83%86%E3%82%BF%E3%83%B3%E3%82%B8%E3%82%A7%20%E3%82%B3%E3%83%B3%E3%83%88%20%E3%83%89%20%E3%82%B7%E3%83%A3%E3%83%B3%E3%83%91%E3%83%BC%E3%83%8B%E3%83%A5%20%E3%83%96%E3%83%A9%E3%83%B3%20%E3%83%89%20%E3%83%96%E3%83%A9%E3%83%B3%20750ml/</t>
        </is>
      </c>
      <c r="G16" s="25" t="n"/>
      <c r="H16" s="26" t="n"/>
      <c r="I16" s="27" t="n"/>
      <c r="J16" s="7" t="n">
        <v>2</v>
      </c>
      <c r="K16" s="8" t="n">
        <v>65000</v>
      </c>
      <c r="L16" s="8">
        <f>IF(G16="","",G16-K16)</f>
        <v/>
      </c>
      <c r="M16" s="6" t="inlineStr">
        <is>
          <t>楽天最安値</t>
        </is>
      </c>
      <c r="N16" s="6" t="inlineStr"/>
    </row>
    <row r="17">
      <c r="A17" s="4" t="inlineStr">
        <is>
          <t>S-11</t>
        </is>
      </c>
      <c r="B17" s="4" t="inlineStr">
        <is>
          <t>泡</t>
        </is>
      </c>
      <c r="C17" s="5" t="inlineStr">
        <is>
          <t>クリュッグ ロゼ</t>
        </is>
      </c>
      <c r="D17" s="5" t="inlineStr">
        <is>
          <t>Krug</t>
        </is>
      </c>
      <c r="E17" s="4" t="inlineStr">
        <is>
          <t>29ème Édition</t>
        </is>
      </c>
      <c r="F17" s="24" t="inlineStr">
        <is>
          <t>https://search.rakuten.co.jp/search/mall/%E3%82%AF%E3%83%AA%E3%83%A5%E3%83%83%E3%82%B0%20%E3%83%AD%E3%82%BC%20750ml/</t>
        </is>
      </c>
      <c r="G17" s="25" t="n"/>
      <c r="H17" s="26" t="n"/>
      <c r="I17" s="27" t="n"/>
      <c r="J17" s="7" t="n">
        <v>1</v>
      </c>
      <c r="K17" s="8" t="n">
        <v>170000</v>
      </c>
      <c r="L17" s="8">
        <f>IF(G17="","",G17-K17)</f>
        <v/>
      </c>
      <c r="M17" s="6" t="inlineStr">
        <is>
          <t>オークション落札実績（トップロット等）</t>
        </is>
      </c>
      <c r="N17" s="6" t="inlineStr"/>
    </row>
    <row r="18">
      <c r="A18" s="4" t="inlineStr">
        <is>
          <t>S-12</t>
        </is>
      </c>
      <c r="B18" s="4" t="inlineStr">
        <is>
          <t>泡</t>
        </is>
      </c>
      <c r="C18" s="5" t="inlineStr">
        <is>
          <t>ドン ペリニヨン P2</t>
        </is>
      </c>
      <c r="D18" s="5" t="inlineStr">
        <is>
          <t>Dom Pérignon</t>
        </is>
      </c>
      <c r="E18" s="4" t="inlineStr">
        <is>
          <t>P2 2006</t>
        </is>
      </c>
      <c r="F18" s="24" t="inlineStr">
        <is>
          <t>https://search.rakuten.co.jp/search/mall/%E3%83%89%E3%83%B3%20%E3%83%9A%E3%83%AA%E3%83%8B%E3%83%A8%E3%83%B3%20P2%20750ml/</t>
        </is>
      </c>
      <c r="G18" s="25" t="n"/>
      <c r="H18" s="26" t="n"/>
      <c r="I18" s="27" t="n"/>
      <c r="J18" s="7" t="n">
        <v>2</v>
      </c>
      <c r="K18" s="8" t="n">
        <v>280000</v>
      </c>
      <c r="L18" s="8">
        <f>IF(G18="","",G18-K18)</f>
        <v/>
      </c>
      <c r="M18" s="6" t="inlineStr">
        <is>
          <t>オークション落札実績（トップロット等）</t>
        </is>
      </c>
      <c r="N18" s="6" t="inlineStr"/>
    </row>
    <row r="19">
      <c r="A19" s="4" t="inlineStr">
        <is>
          <t>W-1</t>
        </is>
      </c>
      <c r="B19" s="4" t="inlineStr">
        <is>
          <t>白</t>
        </is>
      </c>
      <c r="C19" s="5" t="inlineStr">
        <is>
          <t>ドメーヌ ルフレーヴ マコン ヴェルゼ</t>
        </is>
      </c>
      <c r="D19" s="5" t="inlineStr">
        <is>
          <t>Domaine Leflaive</t>
        </is>
      </c>
      <c r="E19" s="4" t="inlineStr">
        <is>
          <t>2022</t>
        </is>
      </c>
      <c r="F19" s="24" t="inlineStr">
        <is>
          <t>https://search.rakuten.co.jp/search/mall/%E3%83%89%E3%83%A1%E3%83%BC%E3%83%8C%20%E3%83%AB%E3%83%95%E3%83%AC%E3%83%BC%E3%83%B4%20%E3%83%9E%E3%82%B3%E3%83%B3%20%E3%83%B4%E3%82%A7%E3%83%AB%E3%82%BC%20750ml/</t>
        </is>
      </c>
      <c r="G19" s="25" t="n"/>
      <c r="H19" s="26" t="n"/>
      <c r="I19" s="27" t="n"/>
      <c r="J19" s="7" t="n">
        <v>2</v>
      </c>
      <c r="K19" s="8" t="n">
        <v>10000</v>
      </c>
      <c r="L19" s="8">
        <f>IF(G19="","",G19-K19)</f>
        <v/>
      </c>
      <c r="M19" s="6" t="inlineStr">
        <is>
          <t>楽天最安値</t>
        </is>
      </c>
      <c r="N19" s="6" t="inlineStr"/>
    </row>
    <row r="20">
      <c r="A20" s="4" t="inlineStr">
        <is>
          <t>W-2</t>
        </is>
      </c>
      <c r="B20" s="4" t="inlineStr">
        <is>
          <t>白</t>
        </is>
      </c>
      <c r="C20" s="5" t="inlineStr">
        <is>
          <t>ムルソー</t>
        </is>
      </c>
      <c r="D20" s="5" t="inlineStr">
        <is>
          <t>Louis Jadot</t>
        </is>
      </c>
      <c r="E20" s="4" t="inlineStr">
        <is>
          <t>2023</t>
        </is>
      </c>
      <c r="F20" s="24" t="inlineStr">
        <is>
          <t>https://search.rakuten.co.jp/search/mall/%E3%83%A0%E3%83%AB%E3%82%BD%E3%83%BC%20750ml/</t>
        </is>
      </c>
      <c r="G20" s="25" t="n"/>
      <c r="H20" s="26" t="n"/>
      <c r="I20" s="27" t="n"/>
      <c r="J20" s="7" t="n">
        <v>4</v>
      </c>
      <c r="K20" s="8" t="n">
        <v>28000</v>
      </c>
      <c r="L20" s="8">
        <f>IF(G20="","",G20-K20)</f>
        <v/>
      </c>
      <c r="M20" s="6" t="inlineStr">
        <is>
          <t>楽天最安値</t>
        </is>
      </c>
      <c r="N20" s="6" t="inlineStr"/>
    </row>
    <row r="21">
      <c r="A21" s="4" t="inlineStr">
        <is>
          <t>W-3</t>
        </is>
      </c>
      <c r="B21" s="4" t="inlineStr">
        <is>
          <t>白</t>
        </is>
      </c>
      <c r="C21" s="5" t="inlineStr">
        <is>
          <t>エール ダルジャン</t>
        </is>
      </c>
      <c r="D21" s="5" t="inlineStr">
        <is>
          <t>Château Mouton Rothschild</t>
        </is>
      </c>
      <c r="E21" s="4" t="inlineStr">
        <is>
          <t>2022</t>
        </is>
      </c>
      <c r="F21" s="24" t="inlineStr">
        <is>
          <t>https://search.rakuten.co.jp/search/mall/%E3%82%A8%E3%83%BC%E3%83%AB%20%E3%83%80%E3%83%AB%E3%82%B8%E3%83%A3%E3%83%B3%20750ml/</t>
        </is>
      </c>
      <c r="G21" s="25" t="n"/>
      <c r="H21" s="26" t="n"/>
      <c r="I21" s="27" t="n"/>
      <c r="J21" s="7" t="n">
        <v>4</v>
      </c>
      <c r="K21" s="8" t="n">
        <v>30000</v>
      </c>
      <c r="L21" s="8">
        <f>IF(G21="","",G21-K21)</f>
        <v/>
      </c>
      <c r="M21" s="6" t="inlineStr">
        <is>
          <t>楽天最安値</t>
        </is>
      </c>
      <c r="N21" s="6" t="inlineStr"/>
    </row>
    <row r="22">
      <c r="A22" s="4" t="inlineStr">
        <is>
          <t>W-4</t>
        </is>
      </c>
      <c r="B22" s="4" t="inlineStr">
        <is>
          <t>白</t>
        </is>
      </c>
      <c r="C22" s="5" t="inlineStr">
        <is>
          <t>シャルドネ レ ノワゼティエ</t>
        </is>
      </c>
      <c r="D22" s="5" t="inlineStr">
        <is>
          <t>Kistler</t>
        </is>
      </c>
      <c r="E22" s="4" t="inlineStr">
        <is>
          <t>2023</t>
        </is>
      </c>
      <c r="F22" s="24" t="inlineStr">
        <is>
          <t>https://search.rakuten.co.jp/search/mall/%E3%82%B7%E3%83%A3%E3%83%AB%E3%83%89%E3%83%8D%20%E3%83%AC%20%E3%83%8E%E3%83%AF%E3%82%BC%E3%83%86%E3%82%A3%E3%82%A8%20750ml/</t>
        </is>
      </c>
      <c r="G22" s="25" t="n"/>
      <c r="H22" s="26" t="n"/>
      <c r="I22" s="27" t="n"/>
      <c r="J22" s="7" t="n">
        <v>2</v>
      </c>
      <c r="K22" s="8" t="n">
        <v>38000</v>
      </c>
      <c r="L22" s="8">
        <f>IF(G22="","",G22-K22)</f>
        <v/>
      </c>
      <c r="M22" s="6" t="inlineStr">
        <is>
          <t>楽天最安値</t>
        </is>
      </c>
      <c r="N22" s="6" t="inlineStr"/>
    </row>
    <row r="23">
      <c r="A23" s="4" t="inlineStr">
        <is>
          <t>W-5</t>
        </is>
      </c>
      <c r="B23" s="4" t="inlineStr">
        <is>
          <t>白</t>
        </is>
      </c>
      <c r="C23" s="5" t="inlineStr">
        <is>
          <t>ドメーヌ ルフレーヴ ピュリニー モンラッシェ</t>
        </is>
      </c>
      <c r="D23" s="5" t="inlineStr">
        <is>
          <t>Domaine Leflaive</t>
        </is>
      </c>
      <c r="E23" s="4" t="inlineStr">
        <is>
          <t>2022</t>
        </is>
      </c>
      <c r="F23" s="24" t="inlineStr">
        <is>
          <t>https://search.rakuten.co.jp/search/mall/%E3%83%89%E3%83%A1%E3%83%BC%E3%83%8C%20%E3%83%AB%E3%83%95%E3%83%AC%E3%83%BC%E3%83%B4%20%E3%83%94%E3%83%A5%E3%83%AA%E3%83%8B%E3%83%BC%20%E3%83%A2%E3%83%B3%E3%83%A9%E3%83%83%E3%82%B7%E3%82%A7%20750ml/</t>
        </is>
      </c>
      <c r="G23" s="25" t="n"/>
      <c r="H23" s="26" t="n"/>
      <c r="I23" s="27" t="n"/>
      <c r="J23" s="7" t="n">
        <v>3</v>
      </c>
      <c r="K23" s="8" t="n">
        <v>50000</v>
      </c>
      <c r="L23" s="8">
        <f>IF(G23="","",G23-K23)</f>
        <v/>
      </c>
      <c r="M23" s="6" t="inlineStr">
        <is>
          <t>楽天最安値</t>
        </is>
      </c>
      <c r="N23" s="6" t="inlineStr"/>
    </row>
    <row r="24">
      <c r="A24" s="4" t="inlineStr">
        <is>
          <t>W-6</t>
        </is>
      </c>
      <c r="B24" s="4" t="inlineStr">
        <is>
          <t>白</t>
        </is>
      </c>
      <c r="C24" s="5" t="inlineStr">
        <is>
          <t>シャトー ディケム</t>
        </is>
      </c>
      <c r="D24" s="5" t="inlineStr">
        <is>
          <t>Château d'Yquem</t>
        </is>
      </c>
      <c r="E24" s="4" t="inlineStr">
        <is>
          <t>2019</t>
        </is>
      </c>
      <c r="F24" s="24" t="inlineStr">
        <is>
          <t>https://search.rakuten.co.jp/search/mall/%E3%82%B7%E3%83%A3%E3%83%88%E3%83%BC%20%E3%83%87%E3%82%A3%E3%82%B1%E3%83%A0%20375ml/</t>
        </is>
      </c>
      <c r="G24" s="25" t="n"/>
      <c r="H24" s="26" t="n"/>
      <c r="I24" s="27" t="n"/>
      <c r="J24" s="7" t="n">
        <v>2</v>
      </c>
      <c r="K24" s="8" t="n">
        <v>55000</v>
      </c>
      <c r="L24" s="8">
        <f>IF(G24="","",G24-K24)</f>
        <v/>
      </c>
      <c r="M24" s="6" t="inlineStr">
        <is>
          <t>楽天最安値</t>
        </is>
      </c>
      <c r="N24" s="6" t="inlineStr"/>
    </row>
    <row r="25">
      <c r="A25" s="4" t="inlineStr">
        <is>
          <t>W-7</t>
        </is>
      </c>
      <c r="B25" s="4" t="inlineStr">
        <is>
          <t>白</t>
        </is>
      </c>
      <c r="C25" s="5" t="inlineStr">
        <is>
          <t>パヴィヨン ブラン デュ シャトー マルゴー</t>
        </is>
      </c>
      <c r="D25" s="5" t="inlineStr">
        <is>
          <t>Château Margaux</t>
        </is>
      </c>
      <c r="E25" s="4" t="inlineStr">
        <is>
          <t>2022</t>
        </is>
      </c>
      <c r="F25" s="24" t="inlineStr">
        <is>
          <t>https://search.rakuten.co.jp/search/mall/%E3%83%91%E3%83%B4%E3%82%A3%E3%83%A8%E3%83%B3%20%E3%83%96%E3%83%A9%E3%83%B3%20%E3%83%87%E3%83%A5%20%E3%82%B7%E3%83%A3%E3%83%88%E3%83%BC%20%E3%83%9E%E3%83%AB%E3%82%B4%E3%83%BC%20750ml/</t>
        </is>
      </c>
      <c r="G25" s="25" t="n"/>
      <c r="H25" s="26" t="n"/>
      <c r="I25" s="27" t="n"/>
      <c r="J25" s="7" t="n">
        <v>4</v>
      </c>
      <c r="K25" s="8" t="n">
        <v>55000</v>
      </c>
      <c r="L25" s="8">
        <f>IF(G25="","",G25-K25)</f>
        <v/>
      </c>
      <c r="M25" s="6" t="inlineStr">
        <is>
          <t>楽天最安値</t>
        </is>
      </c>
      <c r="N25" s="6" t="inlineStr"/>
    </row>
    <row r="26">
      <c r="A26" s="4" t="inlineStr">
        <is>
          <t>W-8</t>
        </is>
      </c>
      <c r="B26" s="4" t="inlineStr">
        <is>
          <t>白</t>
        </is>
      </c>
      <c r="C26" s="5" t="inlineStr">
        <is>
          <t>コルトン シャルルマーニュ グラン クリュ</t>
        </is>
      </c>
      <c r="D26" s="5" t="inlineStr">
        <is>
          <t>Louis Latour</t>
        </is>
      </c>
      <c r="E26" s="4" t="inlineStr">
        <is>
          <t>2022</t>
        </is>
      </c>
      <c r="F26" s="24" t="inlineStr">
        <is>
          <t>https://search.rakuten.co.jp/search/mall/%E3%82%B3%E3%83%AB%E3%83%88%E3%83%B3%20%E3%82%B7%E3%83%A3%E3%83%AB%E3%83%AB%E3%83%9E%E3%83%BC%E3%83%8B%E3%83%A5%20%E3%82%B0%E3%83%A9%E3%83%B3%20%E3%82%AF%E3%83%AA%E3%83%A5%20750ml/</t>
        </is>
      </c>
      <c r="G26" s="25" t="n"/>
      <c r="H26" s="26" t="n"/>
      <c r="I26" s="27" t="n"/>
      <c r="J26" s="7" t="n">
        <v>1</v>
      </c>
      <c r="K26" s="8" t="n">
        <v>65000</v>
      </c>
      <c r="L26" s="8">
        <f>IF(G26="","",G26-K26)</f>
        <v/>
      </c>
      <c r="M26" s="6" t="inlineStr">
        <is>
          <t>楽天最安値</t>
        </is>
      </c>
      <c r="N26" s="6" t="inlineStr"/>
    </row>
    <row r="27">
      <c r="A27" s="4" t="inlineStr">
        <is>
          <t>W-9</t>
        </is>
      </c>
      <c r="B27" s="4" t="inlineStr">
        <is>
          <t>白</t>
        </is>
      </c>
      <c r="C27" s="5" t="inlineStr">
        <is>
          <t>ドメーヌ ルフレーヴ ピュリニー モンラッシェ 1er クリュ フォラティエール</t>
        </is>
      </c>
      <c r="D27" s="5" t="inlineStr">
        <is>
          <t>Domaine Leflaive</t>
        </is>
      </c>
      <c r="E27" s="4" t="inlineStr">
        <is>
          <t>2022</t>
        </is>
      </c>
      <c r="F27" s="24" t="inlineStr">
        <is>
          <t>https://search.rakuten.co.jp/search/mall/%E3%83%89%E3%83%A1%E3%83%BC%E3%83%8C%20%E3%83%AB%E3%83%95%E3%83%AC%E3%83%BC%E3%83%B4%20%E3%83%94%E3%83%A5%E3%83%AA%E3%83%8B%E3%83%BC%20%E3%83%A2%E3%83%B3%E3%83%A9%E3%83%83%E3%82%B7%E3%82%A7%201er%20%E3%82%AF%E3%83%AA%E3%83%A5%20%E3%83%95%E3%82%A9%E3%83%A9%E3%83%86%E3%82%A3%E3%82%A8%E3%83%BC%E3%83%AB%20750ml/</t>
        </is>
      </c>
      <c r="G27" s="25" t="n"/>
      <c r="H27" s="26" t="n"/>
      <c r="I27" s="27" t="n"/>
      <c r="J27" s="7" t="n">
        <v>2</v>
      </c>
      <c r="K27" s="8" t="n">
        <v>95000</v>
      </c>
      <c r="L27" s="8">
        <f>IF(G27="","",G27-K27)</f>
        <v/>
      </c>
      <c r="M27" s="6" t="inlineStr">
        <is>
          <t>楽天最安値</t>
        </is>
      </c>
      <c r="N27" s="6" t="inlineStr"/>
    </row>
    <row r="28">
      <c r="A28" s="4" t="inlineStr">
        <is>
          <t>W-10</t>
        </is>
      </c>
      <c r="B28" s="4" t="inlineStr">
        <is>
          <t>白</t>
        </is>
      </c>
      <c r="C28" s="5" t="inlineStr">
        <is>
          <t>ムルソー 1er クリュ ジュヌヴリエール</t>
        </is>
      </c>
      <c r="D28" s="5" t="inlineStr">
        <is>
          <t>Domaine des Comtes Lafon</t>
        </is>
      </c>
      <c r="E28" s="4" t="inlineStr">
        <is>
          <t>2022</t>
        </is>
      </c>
      <c r="F28" s="24" t="inlineStr">
        <is>
          <t>https://search.rakuten.co.jp/search/mall/%E3%83%A0%E3%83%AB%E3%82%BD%E3%83%BC%201er%20%E3%82%AF%E3%83%AA%E3%83%A5%20%E3%82%B8%E3%83%A5%E3%83%8C%E3%83%B4%E3%83%AA%E3%82%A8%E3%83%BC%E3%83%AB%20750ml/</t>
        </is>
      </c>
      <c r="G28" s="25" t="n"/>
      <c r="H28" s="26" t="n"/>
      <c r="I28" s="27" t="n"/>
      <c r="J28" s="7" t="n">
        <v>1</v>
      </c>
      <c r="K28" s="8" t="n">
        <v>130000</v>
      </c>
      <c r="L28" s="8">
        <f>IF(G28="","",G28-K28)</f>
        <v/>
      </c>
      <c r="M28" s="6" t="inlineStr">
        <is>
          <t>オークション落札実績（トップロット等）</t>
        </is>
      </c>
      <c r="N28" s="6" t="inlineStr"/>
    </row>
    <row r="29">
      <c r="A29" s="4" t="inlineStr">
        <is>
          <t>W-11</t>
        </is>
      </c>
      <c r="B29" s="4" t="inlineStr">
        <is>
          <t>白</t>
        </is>
      </c>
      <c r="C29" s="5" t="inlineStr">
        <is>
          <t>シュヴァリエ モンラッシェ グラン クリュ</t>
        </is>
      </c>
      <c r="D29" s="5" t="inlineStr">
        <is>
          <t>Bouchard Père &amp; Fils</t>
        </is>
      </c>
      <c r="E29" s="4" t="inlineStr">
        <is>
          <t>2022</t>
        </is>
      </c>
      <c r="F29" s="24" t="inlineStr">
        <is>
          <t>https://search.rakuten.co.jp/search/mall/%E3%82%B7%E3%83%A5%E3%83%B4%E3%82%A1%E3%83%AA%E3%82%A8%20%E3%83%A2%E3%83%B3%E3%83%A9%E3%83%83%E3%82%B7%E3%82%A7%20%E3%82%B0%E3%83%A9%E3%83%B3%20%E3%82%AF%E3%83%AA%E3%83%A5%20750ml/</t>
        </is>
      </c>
      <c r="G29" s="25" t="n"/>
      <c r="H29" s="26" t="n"/>
      <c r="I29" s="27" t="n"/>
      <c r="J29" s="7" t="n">
        <v>1</v>
      </c>
      <c r="K29" s="8" t="n">
        <v>160000</v>
      </c>
      <c r="L29" s="8">
        <f>IF(G29="","",G29-K29)</f>
        <v/>
      </c>
      <c r="M29" s="6" t="inlineStr">
        <is>
          <t>オークション落札実績（トップロット等）</t>
        </is>
      </c>
      <c r="N29" s="6" t="inlineStr"/>
    </row>
    <row r="30">
      <c r="A30" s="4" t="inlineStr">
        <is>
          <t>R-1</t>
        </is>
      </c>
      <c r="B30" s="4" t="inlineStr">
        <is>
          <t>赤</t>
        </is>
      </c>
      <c r="C30" s="5" t="inlineStr">
        <is>
          <t>シャトー タルボ</t>
        </is>
      </c>
      <c r="D30" s="5" t="inlineStr">
        <is>
          <t>Château Talbot</t>
        </is>
      </c>
      <c r="E30" s="4" t="inlineStr">
        <is>
          <t>2022</t>
        </is>
      </c>
      <c r="F30" s="24" t="inlineStr">
        <is>
          <t>https://search.rakuten.co.jp/search/mall/%E3%82%B7%E3%83%A3%E3%83%88%E3%83%BC%20%E3%82%BF%E3%83%AB%E3%83%9C%20750ml/</t>
        </is>
      </c>
      <c r="G30" s="25" t="n"/>
      <c r="H30" s="26" t="n"/>
      <c r="I30" s="27" t="n"/>
      <c r="J30" s="7" t="n">
        <v>5</v>
      </c>
      <c r="K30" s="8" t="n">
        <v>18000</v>
      </c>
      <c r="L30" s="8">
        <f>IF(G30="","",G30-K30)</f>
        <v/>
      </c>
      <c r="M30" s="6" t="inlineStr">
        <is>
          <t>楽天最安値</t>
        </is>
      </c>
      <c r="N30" s="6" t="inlineStr"/>
    </row>
    <row r="31">
      <c r="A31" s="4" t="inlineStr">
        <is>
          <t>R-2</t>
        </is>
      </c>
      <c r="B31" s="4" t="inlineStr">
        <is>
          <t>赤</t>
        </is>
      </c>
      <c r="C31" s="5" t="inlineStr">
        <is>
          <t>ティニャネロ</t>
        </is>
      </c>
      <c r="D31" s="5" t="inlineStr">
        <is>
          <t>Antinori</t>
        </is>
      </c>
      <c r="E31" s="4" t="inlineStr">
        <is>
          <t>2022</t>
        </is>
      </c>
      <c r="F31" s="24" t="inlineStr">
        <is>
          <t>https://search.rakuten.co.jp/search/mall/%E3%83%86%E3%82%A3%E3%83%8B%E3%83%A3%E3%83%8D%E3%83%AD%20750ml/</t>
        </is>
      </c>
      <c r="G31" s="25" t="n"/>
      <c r="H31" s="26" t="n"/>
      <c r="I31" s="27" t="n"/>
      <c r="J31" s="7" t="n">
        <v>4</v>
      </c>
      <c r="K31" s="8" t="n">
        <v>28000</v>
      </c>
      <c r="L31" s="8">
        <f>IF(G31="","",G31-K31)</f>
        <v/>
      </c>
      <c r="M31" s="6" t="inlineStr">
        <is>
          <t>楽天最安値</t>
        </is>
      </c>
      <c r="N31" s="6" t="inlineStr"/>
    </row>
    <row r="32">
      <c r="A32" s="4" t="inlineStr">
        <is>
          <t>R-3</t>
        </is>
      </c>
      <c r="B32" s="4" t="inlineStr">
        <is>
          <t>赤</t>
        </is>
      </c>
      <c r="C32" s="5" t="inlineStr">
        <is>
          <t>シルバーオーク アレクサンダー ヴァレー カベルネ</t>
        </is>
      </c>
      <c r="D32" s="5" t="inlineStr">
        <is>
          <t>Silver Oak</t>
        </is>
      </c>
      <c r="E32" s="4" t="inlineStr">
        <is>
          <t>2021</t>
        </is>
      </c>
      <c r="F32" s="24" t="inlineStr">
        <is>
          <t>https://search.rakuten.co.jp/search/mall/%E3%82%B7%E3%83%AB%E3%83%90%E3%83%BC%E3%82%AA%E3%83%BC%E3%82%AF%20%E3%82%A2%E3%83%AC%E3%82%AF%E3%82%B5%E3%83%B3%E3%83%80%E3%83%BC%20%E3%83%B4%E3%82%A1%E3%83%AC%E3%83%BC%20%E3%82%AB%E3%83%99%E3%83%AB%E3%83%8D%20750ml/</t>
        </is>
      </c>
      <c r="G32" s="25" t="n"/>
      <c r="H32" s="26" t="n"/>
      <c r="I32" s="27" t="n"/>
      <c r="J32" s="7" t="n">
        <v>3</v>
      </c>
      <c r="K32" s="8" t="n">
        <v>28000</v>
      </c>
      <c r="L32" s="8">
        <f>IF(G32="","",G32-K32)</f>
        <v/>
      </c>
      <c r="M32" s="6" t="inlineStr">
        <is>
          <t>楽天最安値</t>
        </is>
      </c>
      <c r="N32" s="6" t="inlineStr"/>
    </row>
    <row r="33">
      <c r="A33" s="4" t="inlineStr">
        <is>
          <t>R-4</t>
        </is>
      </c>
      <c r="B33" s="4" t="inlineStr">
        <is>
          <t>赤</t>
        </is>
      </c>
      <c r="C33" s="5" t="inlineStr">
        <is>
          <t>シャトー カロン セギュール</t>
        </is>
      </c>
      <c r="D33" s="5" t="inlineStr">
        <is>
          <t>Château Calon Ségur</t>
        </is>
      </c>
      <c r="E33" s="4" t="inlineStr">
        <is>
          <t>2022</t>
        </is>
      </c>
      <c r="F33" s="24" t="inlineStr">
        <is>
          <t>https://search.rakuten.co.jp/search/mall/%E3%82%B7%E3%83%A3%E3%83%88%E3%83%BC%20%E3%82%AB%E3%83%AD%E3%83%B3%20%E3%82%BB%E3%82%AE%E3%83%A5%E3%83%BC%E3%83%AB%20750ml/</t>
        </is>
      </c>
      <c r="G33" s="25" t="n"/>
      <c r="H33" s="26" t="n"/>
      <c r="I33" s="27" t="n"/>
      <c r="J33" s="7" t="n">
        <v>5</v>
      </c>
      <c r="K33" s="8" t="n">
        <v>35000</v>
      </c>
      <c r="L33" s="8">
        <f>IF(G33="","",G33-K33)</f>
        <v/>
      </c>
      <c r="M33" s="6" t="inlineStr">
        <is>
          <t>楽天最安値</t>
        </is>
      </c>
      <c r="N33" s="6" t="inlineStr"/>
    </row>
    <row r="34">
      <c r="A34" s="4" t="inlineStr">
        <is>
          <t>R-5</t>
        </is>
      </c>
      <c r="B34" s="4" t="inlineStr">
        <is>
          <t>赤</t>
        </is>
      </c>
      <c r="C34" s="5" t="inlineStr">
        <is>
          <t>ジュヴレ シャンベルタン</t>
        </is>
      </c>
      <c r="D34" s="5" t="inlineStr">
        <is>
          <t>Domaine Faiveley</t>
        </is>
      </c>
      <c r="E34" s="4" t="inlineStr">
        <is>
          <t>2022</t>
        </is>
      </c>
      <c r="F34" s="24" t="inlineStr">
        <is>
          <t>https://search.rakuten.co.jp/search/mall/%E3%82%B8%E3%83%A5%E3%83%B4%E3%83%AC%20%E3%82%B7%E3%83%A3%E3%83%B3%E3%83%99%E3%83%AB%E3%82%BF%E3%83%B3%20750ml/</t>
        </is>
      </c>
      <c r="G34" s="25" t="n"/>
      <c r="H34" s="26" t="n"/>
      <c r="I34" s="27" t="n"/>
      <c r="J34" s="7" t="n">
        <v>3</v>
      </c>
      <c r="K34" s="8" t="n">
        <v>35000</v>
      </c>
      <c r="L34" s="8">
        <f>IF(G34="","",G34-K34)</f>
        <v/>
      </c>
      <c r="M34" s="6" t="inlineStr">
        <is>
          <t>楽天最安値</t>
        </is>
      </c>
      <c r="N34" s="6" t="inlineStr"/>
    </row>
    <row r="35">
      <c r="A35" s="4" t="inlineStr">
        <is>
          <t>R-6</t>
        </is>
      </c>
      <c r="B35" s="4" t="inlineStr">
        <is>
          <t>赤</t>
        </is>
      </c>
      <c r="C35" s="5" t="inlineStr">
        <is>
          <t>ケンゾー エステート 紫鈴 rindo</t>
        </is>
      </c>
      <c r="D35" s="5" t="inlineStr">
        <is>
          <t>Kenzo Estate</t>
        </is>
      </c>
      <c r="E35" s="4" t="inlineStr">
        <is>
          <t>2023</t>
        </is>
      </c>
      <c r="F35" s="24" t="inlineStr">
        <is>
          <t>https://search.rakuten.co.jp/search/mall/%E3%82%B1%E3%83%B3%E3%82%BE%E3%83%BC%20%E3%82%A8%E3%82%B9%E3%83%86%E3%83%BC%E3%83%88%20%E7%B4%AB%E9%88%B4%20rindo%20750ml/</t>
        </is>
      </c>
      <c r="G35" s="25" t="n"/>
      <c r="H35" s="26" t="n"/>
      <c r="I35" s="27" t="n"/>
      <c r="J35" s="7" t="n">
        <v>3</v>
      </c>
      <c r="K35" s="8" t="n">
        <v>38000</v>
      </c>
      <c r="L35" s="8">
        <f>IF(G35="","",G35-K35)</f>
        <v/>
      </c>
      <c r="M35" s="6" t="inlineStr">
        <is>
          <t>楽天最安値</t>
        </is>
      </c>
      <c r="N35" s="6" t="inlineStr"/>
    </row>
    <row r="36">
      <c r="A36" s="4" t="inlineStr">
        <is>
          <t>R-7</t>
        </is>
      </c>
      <c r="B36" s="4" t="inlineStr">
        <is>
          <t>赤</t>
        </is>
      </c>
      <c r="C36" s="5" t="inlineStr">
        <is>
          <t>オーバーチュア</t>
        </is>
      </c>
      <c r="D36" s="5" t="inlineStr">
        <is>
          <t>Opus One</t>
        </is>
      </c>
      <c r="E36" s="4" t="inlineStr">
        <is>
          <t>NV</t>
        </is>
      </c>
      <c r="F36" s="24" t="inlineStr">
        <is>
          <t>https://search.rakuten.co.jp/search/mall/%E3%82%AA%E3%83%BC%E3%83%90%E3%83%BC%E3%83%81%E3%83%A5%E3%82%A2%20750ml/</t>
        </is>
      </c>
      <c r="G36" s="25" t="n"/>
      <c r="H36" s="26" t="n"/>
      <c r="I36" s="27" t="n"/>
      <c r="J36" s="7" t="n">
        <v>3</v>
      </c>
      <c r="K36" s="8" t="n">
        <v>40000</v>
      </c>
      <c r="L36" s="8">
        <f>IF(G36="","",G36-K36)</f>
        <v/>
      </c>
      <c r="M36" s="6" t="inlineStr">
        <is>
          <t>楽天最安値</t>
        </is>
      </c>
      <c r="N36" s="6" t="inlineStr"/>
    </row>
    <row r="37">
      <c r="A37" s="4" t="inlineStr">
        <is>
          <t>R-8</t>
        </is>
      </c>
      <c r="B37" s="4" t="inlineStr">
        <is>
          <t>赤</t>
        </is>
      </c>
      <c r="C37" s="5" t="inlineStr">
        <is>
          <t>サッシカイア</t>
        </is>
      </c>
      <c r="D37" s="5" t="inlineStr">
        <is>
          <t>Tenuta San Guido</t>
        </is>
      </c>
      <c r="E37" s="4" t="inlineStr">
        <is>
          <t>2022</t>
        </is>
      </c>
      <c r="F37" s="24" t="inlineStr">
        <is>
          <t>https://search.rakuten.co.jp/search/mall/%E3%82%B5%E3%83%83%E3%82%B7%E3%82%AB%E3%82%A4%E3%82%A2%20750ml/</t>
        </is>
      </c>
      <c r="G37" s="25" t="n"/>
      <c r="H37" s="26" t="n"/>
      <c r="I37" s="27" t="n"/>
      <c r="J37" s="7" t="n">
        <v>3</v>
      </c>
      <c r="K37" s="8" t="n">
        <v>45000</v>
      </c>
      <c r="L37" s="8">
        <f>IF(G37="","",G37-K37)</f>
        <v/>
      </c>
      <c r="M37" s="6" t="inlineStr">
        <is>
          <t>楽天最安値</t>
        </is>
      </c>
      <c r="N37" s="6" t="inlineStr"/>
    </row>
    <row r="38">
      <c r="A38" s="4" t="inlineStr">
        <is>
          <t>R-9</t>
        </is>
      </c>
      <c r="B38" s="4" t="inlineStr">
        <is>
          <t>赤</t>
        </is>
      </c>
      <c r="C38" s="5" t="inlineStr">
        <is>
          <t>オルネッライア</t>
        </is>
      </c>
      <c r="D38" s="5" t="inlineStr">
        <is>
          <t>Ornellaia</t>
        </is>
      </c>
      <c r="E38" s="4" t="inlineStr">
        <is>
          <t>2022</t>
        </is>
      </c>
      <c r="F38" s="24" t="inlineStr">
        <is>
          <t>https://search.rakuten.co.jp/search/mall/%E3%82%AA%E3%83%AB%E3%83%8D%E3%83%83%E3%83%A9%E3%82%A4%E3%82%A2%20750ml/</t>
        </is>
      </c>
      <c r="G38" s="25" t="n"/>
      <c r="H38" s="26" t="n"/>
      <c r="I38" s="27" t="n"/>
      <c r="J38" s="7" t="n">
        <v>2</v>
      </c>
      <c r="K38" s="8" t="n">
        <v>45000</v>
      </c>
      <c r="L38" s="8">
        <f>IF(G38="","",G38-K38)</f>
        <v/>
      </c>
      <c r="M38" s="6" t="inlineStr">
        <is>
          <t>楽天最安値</t>
        </is>
      </c>
      <c r="N38" s="6" t="inlineStr"/>
    </row>
    <row r="39">
      <c r="A39" s="4" t="inlineStr">
        <is>
          <t>R-10</t>
        </is>
      </c>
      <c r="B39" s="4" t="inlineStr">
        <is>
          <t>赤</t>
        </is>
      </c>
      <c r="C39" s="5" t="inlineStr">
        <is>
          <t>パヴィヨン ルージュ デュ シャトー マルゴー</t>
        </is>
      </c>
      <c r="D39" s="5" t="inlineStr">
        <is>
          <t>Château Margaux</t>
        </is>
      </c>
      <c r="E39" s="4" t="inlineStr">
        <is>
          <t>2022</t>
        </is>
      </c>
      <c r="F39" s="24" t="inlineStr">
        <is>
          <t>https://search.rakuten.co.jp/search/mall/%E3%83%91%E3%83%B4%E3%82%A3%E3%83%A8%E3%83%B3%20%E3%83%AB%E3%83%BC%E3%82%B8%E3%83%A5%20%E3%83%87%E3%83%A5%20%E3%82%B7%E3%83%A3%E3%83%88%E3%83%BC%20%E3%83%9E%E3%83%AB%E3%82%B4%E3%83%BC%20750ml/</t>
        </is>
      </c>
      <c r="G39" s="25" t="n"/>
      <c r="H39" s="26" t="n"/>
      <c r="I39" s="27" t="n"/>
      <c r="J39" s="7" t="n">
        <v>5</v>
      </c>
      <c r="K39" s="8" t="n">
        <v>55000</v>
      </c>
      <c r="L39" s="8">
        <f>IF(G39="","",G39-K39)</f>
        <v/>
      </c>
      <c r="M39" s="6" t="inlineStr">
        <is>
          <t>楽天最安値</t>
        </is>
      </c>
      <c r="N39" s="6" t="inlineStr"/>
    </row>
    <row r="40">
      <c r="A40" s="4" t="inlineStr">
        <is>
          <t>R-11</t>
        </is>
      </c>
      <c r="B40" s="4" t="inlineStr">
        <is>
          <t>赤</t>
        </is>
      </c>
      <c r="C40" s="5" t="inlineStr">
        <is>
          <t>カリュアド ド ラフィット</t>
        </is>
      </c>
      <c r="D40" s="5" t="inlineStr">
        <is>
          <t>Château Lafite Rothschild</t>
        </is>
      </c>
      <c r="E40" s="4" t="inlineStr">
        <is>
          <t>2022</t>
        </is>
      </c>
      <c r="F40" s="24" t="inlineStr">
        <is>
          <t>https://search.rakuten.co.jp/search/mall/%E3%82%AB%E3%83%AA%E3%83%A5%E3%82%A2%E3%83%89%20%E3%83%89%20%E3%83%A9%E3%83%95%E3%82%A3%E3%83%83%E3%83%88%20750ml/</t>
        </is>
      </c>
      <c r="G40" s="25" t="n"/>
      <c r="H40" s="26" t="n"/>
      <c r="I40" s="27" t="n"/>
      <c r="J40" s="7" t="n">
        <v>4</v>
      </c>
      <c r="K40" s="8" t="n">
        <v>60000</v>
      </c>
      <c r="L40" s="8">
        <f>IF(G40="","",G40-K40)</f>
        <v/>
      </c>
      <c r="M40" s="6" t="inlineStr">
        <is>
          <t>楽天最安値</t>
        </is>
      </c>
      <c r="N40" s="6" t="inlineStr"/>
    </row>
    <row r="41">
      <c r="A41" s="4" t="inlineStr">
        <is>
          <t>R-12</t>
        </is>
      </c>
      <c r="B41" s="4" t="inlineStr">
        <is>
          <t>赤</t>
        </is>
      </c>
      <c r="C41" s="5" t="inlineStr">
        <is>
          <t>ル プティ ムートン</t>
        </is>
      </c>
      <c r="D41" s="5" t="inlineStr">
        <is>
          <t>Château Mouton Rothschild</t>
        </is>
      </c>
      <c r="E41" s="4" t="inlineStr">
        <is>
          <t>2022</t>
        </is>
      </c>
      <c r="F41" s="24" t="inlineStr">
        <is>
          <t>https://search.rakuten.co.jp/search/mall/%E3%83%AB%20%E3%83%97%E3%83%86%E3%82%A3%20%E3%83%A0%E3%83%BC%E3%83%88%E3%83%B3%20750ml/</t>
        </is>
      </c>
      <c r="G41" s="25" t="n"/>
      <c r="H41" s="26" t="n"/>
      <c r="I41" s="27" t="n"/>
      <c r="J41" s="7" t="n">
        <v>3</v>
      </c>
      <c r="K41" s="8" t="n">
        <v>65000</v>
      </c>
      <c r="L41" s="8">
        <f>IF(G41="","",G41-K41)</f>
        <v/>
      </c>
      <c r="M41" s="6" t="inlineStr">
        <is>
          <t>楽天最安値</t>
        </is>
      </c>
      <c r="N41" s="6" t="inlineStr"/>
    </row>
    <row r="42">
      <c r="A42" s="4" t="inlineStr">
        <is>
          <t>R-13</t>
        </is>
      </c>
      <c r="B42" s="4" t="inlineStr">
        <is>
          <t>赤</t>
        </is>
      </c>
      <c r="C42" s="5" t="inlineStr">
        <is>
          <t>シャンボール ミュジニー 1er クリュ</t>
        </is>
      </c>
      <c r="D42" s="5" t="inlineStr">
        <is>
          <t>Joseph Drouhin</t>
        </is>
      </c>
      <c r="E42" s="4" t="inlineStr">
        <is>
          <t>2022</t>
        </is>
      </c>
      <c r="F42" s="24" t="inlineStr">
        <is>
          <t>https://search.rakuten.co.jp/search/mall/%E3%82%B7%E3%83%A3%E3%83%B3%E3%83%9C%E3%83%BC%E3%83%AB%20%E3%83%9F%E3%83%A5%E3%82%B8%E3%83%8B%E3%83%BC%201er%20%E3%82%AF%E3%83%AA%E3%83%A5%20750ml/</t>
        </is>
      </c>
      <c r="G42" s="25" t="n"/>
      <c r="H42" s="26" t="n"/>
      <c r="I42" s="27" t="n"/>
      <c r="J42" s="7" t="n">
        <v>3</v>
      </c>
      <c r="K42" s="8" t="n">
        <v>65000</v>
      </c>
      <c r="L42" s="8">
        <f>IF(G42="","",G42-K42)</f>
        <v/>
      </c>
      <c r="M42" s="6" t="inlineStr">
        <is>
          <t>楽天最安値</t>
        </is>
      </c>
      <c r="N42" s="6" t="inlineStr"/>
    </row>
    <row r="43">
      <c r="A43" s="4" t="inlineStr">
        <is>
          <t>R-14</t>
        </is>
      </c>
      <c r="B43" s="4" t="inlineStr">
        <is>
          <t>赤</t>
        </is>
      </c>
      <c r="C43" s="5" t="inlineStr">
        <is>
          <t>オーパス ワン</t>
        </is>
      </c>
      <c r="D43" s="5" t="inlineStr">
        <is>
          <t>Opus One</t>
        </is>
      </c>
      <c r="E43" s="4" t="inlineStr">
        <is>
          <t>2022</t>
        </is>
      </c>
      <c r="F43" s="24" t="inlineStr">
        <is>
          <t>https://search.rakuten.co.jp/search/mall/%E3%82%AA%E3%83%BC%E3%83%91%E3%82%B9%20%E3%83%AF%E3%83%B3%20750ml/</t>
        </is>
      </c>
      <c r="G43" s="25" t="n"/>
      <c r="H43" s="26" t="n"/>
      <c r="I43" s="27" t="n"/>
      <c r="J43" s="7" t="n">
        <v>6</v>
      </c>
      <c r="K43" s="8" t="n">
        <v>85000</v>
      </c>
      <c r="L43" s="8">
        <f>IF(G43="","",G43-K43)</f>
        <v/>
      </c>
      <c r="M43" s="6" t="inlineStr">
        <is>
          <t>楽天最安値</t>
        </is>
      </c>
      <c r="N43" s="6" t="inlineStr"/>
    </row>
    <row r="44">
      <c r="A44" s="4" t="inlineStr">
        <is>
          <t>R-15</t>
        </is>
      </c>
      <c r="B44" s="4" t="inlineStr">
        <is>
          <t>赤</t>
        </is>
      </c>
      <c r="C44" s="5" t="inlineStr">
        <is>
          <t>シャトー パルメ</t>
        </is>
      </c>
      <c r="D44" s="5" t="inlineStr">
        <is>
          <t>Château Palmer</t>
        </is>
      </c>
      <c r="E44" s="4" t="inlineStr">
        <is>
          <t>2022</t>
        </is>
      </c>
      <c r="F44" s="24" t="inlineStr">
        <is>
          <t>https://search.rakuten.co.jp/search/mall/%E3%82%B7%E3%83%A3%E3%83%88%E3%83%BC%20%E3%83%91%E3%83%AB%E3%83%A1%20750ml/</t>
        </is>
      </c>
      <c r="G44" s="25" t="n"/>
      <c r="H44" s="26" t="n"/>
      <c r="I44" s="27" t="n"/>
      <c r="J44" s="7" t="n">
        <v>2</v>
      </c>
      <c r="K44" s="8" t="n">
        <v>95000</v>
      </c>
      <c r="L44" s="8">
        <f>IF(G44="","",G44-K44)</f>
        <v/>
      </c>
      <c r="M44" s="6" t="inlineStr">
        <is>
          <t>楽天最安値</t>
        </is>
      </c>
      <c r="N44" s="6" t="inlineStr"/>
    </row>
    <row r="45">
      <c r="A45" s="4" t="inlineStr">
        <is>
          <t>R-16</t>
        </is>
      </c>
      <c r="B45" s="4" t="inlineStr">
        <is>
          <t>赤</t>
        </is>
      </c>
      <c r="C45" s="5" t="inlineStr">
        <is>
          <t>ヴォーヌ ロマネ 1er クリュ</t>
        </is>
      </c>
      <c r="D45" s="5" t="inlineStr">
        <is>
          <t>Louis Jadot</t>
        </is>
      </c>
      <c r="E45" s="4" t="inlineStr">
        <is>
          <t>2022</t>
        </is>
      </c>
      <c r="F45" s="24" t="inlineStr">
        <is>
          <t>https://search.rakuten.co.jp/search/mall/%E3%83%B4%E3%82%A9%E3%83%BC%E3%83%8C%20%E3%83%AD%E3%83%9E%E3%83%8D%201er%20%E3%82%AF%E3%83%AA%E3%83%A5%20750ml/</t>
        </is>
      </c>
      <c r="G45" s="25" t="n"/>
      <c r="H45" s="26" t="n"/>
      <c r="I45" s="27" t="n"/>
      <c r="J45" s="7" t="n">
        <v>2</v>
      </c>
      <c r="K45" s="8" t="n">
        <v>95000</v>
      </c>
      <c r="L45" s="8">
        <f>IF(G45="","",G45-K45)</f>
        <v/>
      </c>
      <c r="M45" s="6" t="inlineStr">
        <is>
          <t>楽天最安値</t>
        </is>
      </c>
      <c r="N45" s="6" t="inlineStr"/>
    </row>
    <row r="46">
      <c r="A46" s="4" t="inlineStr">
        <is>
          <t>R-17</t>
        </is>
      </c>
      <c r="B46" s="4" t="inlineStr">
        <is>
          <t>赤</t>
        </is>
      </c>
      <c r="C46" s="5" t="inlineStr">
        <is>
          <t>クロ ド ヴージョ グラン クリュ</t>
        </is>
      </c>
      <c r="D46" s="5" t="inlineStr">
        <is>
          <t>Louis Jadot</t>
        </is>
      </c>
      <c r="E46" s="4" t="inlineStr">
        <is>
          <t>2022</t>
        </is>
      </c>
      <c r="F46" s="24" t="inlineStr">
        <is>
          <t>https://search.rakuten.co.jp/search/mall/%E3%82%AF%E3%83%AD%20%E3%83%89%20%E3%83%B4%E3%83%BC%E3%82%B8%E3%83%A7%20%E3%82%B0%E3%83%A9%E3%83%B3%20%E3%82%AF%E3%83%AA%E3%83%A5%20750ml/</t>
        </is>
      </c>
      <c r="G46" s="25" t="n"/>
      <c r="H46" s="26" t="n"/>
      <c r="I46" s="27" t="n"/>
      <c r="J46" s="7" t="n">
        <v>2</v>
      </c>
      <c r="K46" s="8" t="n">
        <v>95000</v>
      </c>
      <c r="L46" s="8">
        <f>IF(G46="","",G46-K46)</f>
        <v/>
      </c>
      <c r="M46" s="6" t="inlineStr">
        <is>
          <t>楽天最安値</t>
        </is>
      </c>
      <c r="N46" s="6" t="inlineStr"/>
    </row>
    <row r="47">
      <c r="A47" s="4" t="inlineStr">
        <is>
          <t>R-18</t>
        </is>
      </c>
      <c r="B47" s="4" t="inlineStr">
        <is>
          <t>赤</t>
        </is>
      </c>
      <c r="C47" s="5" t="inlineStr">
        <is>
          <t>シャトー ムートン ロートシルト</t>
        </is>
      </c>
      <c r="D47" s="5" t="inlineStr">
        <is>
          <t>Château Mouton Rothschild</t>
        </is>
      </c>
      <c r="E47" s="4" t="inlineStr">
        <is>
          <t>2022</t>
        </is>
      </c>
      <c r="F47" s="24" t="inlineStr">
        <is>
          <t>https://search.rakuten.co.jp/search/mall/%E3%82%B7%E3%83%A3%E3%83%88%E3%83%BC%20%E3%83%A0%E3%83%BC%E3%83%88%E3%83%B3%20%E3%83%AD%E3%83%BC%E3%83%88%E3%82%B7%E3%83%AB%E3%83%88%20750ml/</t>
        </is>
      </c>
      <c r="G47" s="25" t="n"/>
      <c r="H47" s="26" t="n"/>
      <c r="I47" s="27" t="n"/>
      <c r="J47" s="7" t="n">
        <v>1</v>
      </c>
      <c r="K47" s="8" t="n">
        <v>130000</v>
      </c>
      <c r="L47" s="8">
        <f>IF(G47="","",G47-K47)</f>
        <v/>
      </c>
      <c r="M47" s="6" t="inlineStr">
        <is>
          <t>オークション落札実績（トップロット等）</t>
        </is>
      </c>
      <c r="N47" s="6" t="inlineStr"/>
    </row>
    <row r="48">
      <c r="A48" s="4" t="inlineStr">
        <is>
          <t>R-19</t>
        </is>
      </c>
      <c r="B48" s="4" t="inlineStr">
        <is>
          <t>赤</t>
        </is>
      </c>
      <c r="C48" s="5" t="inlineStr">
        <is>
          <t>シャトー オー ブリオン</t>
        </is>
      </c>
      <c r="D48" s="5" t="inlineStr">
        <is>
          <t>Château Haut-Brion</t>
        </is>
      </c>
      <c r="E48" s="4" t="inlineStr">
        <is>
          <t>2022</t>
        </is>
      </c>
      <c r="F48" s="24" t="inlineStr">
        <is>
          <t>https://search.rakuten.co.jp/search/mall/%E3%82%B7%E3%83%A3%E3%83%88%E3%83%BC%20%E3%82%AA%E3%83%BC%20%E3%83%96%E3%83%AA%E3%82%AA%E3%83%B3%20750ml/</t>
        </is>
      </c>
      <c r="G48" s="25" t="n"/>
      <c r="H48" s="26" t="n"/>
      <c r="I48" s="27" t="n"/>
      <c r="J48" s="7" t="n">
        <v>1</v>
      </c>
      <c r="K48" s="8" t="n">
        <v>130000</v>
      </c>
      <c r="L48" s="8">
        <f>IF(G48="","",G48-K48)</f>
        <v/>
      </c>
      <c r="M48" s="6" t="inlineStr">
        <is>
          <t>オークション落札実績（トップロット等）</t>
        </is>
      </c>
      <c r="N48" s="6" t="inlineStr"/>
    </row>
    <row r="49">
      <c r="A49" s="4" t="inlineStr">
        <is>
          <t>R-20</t>
        </is>
      </c>
      <c r="B49" s="4" t="inlineStr">
        <is>
          <t>赤</t>
        </is>
      </c>
      <c r="C49" s="5" t="inlineStr">
        <is>
          <t>シャトー アンジェリュス</t>
        </is>
      </c>
      <c r="D49" s="5" t="inlineStr">
        <is>
          <t>Château Angélus</t>
        </is>
      </c>
      <c r="E49" s="4" t="inlineStr">
        <is>
          <t>2022</t>
        </is>
      </c>
      <c r="F49" s="24" t="inlineStr">
        <is>
          <t>https://search.rakuten.co.jp/search/mall/%E3%82%B7%E3%83%A3%E3%83%88%E3%83%BC%20%E3%82%A2%E3%83%B3%E3%82%B8%E3%82%A7%E3%83%AA%E3%83%A5%E3%82%B9%20750ml/</t>
        </is>
      </c>
      <c r="G49" s="25" t="n"/>
      <c r="H49" s="26" t="n"/>
      <c r="I49" s="27" t="n"/>
      <c r="J49" s="7" t="n">
        <v>2</v>
      </c>
      <c r="K49" s="8" t="n">
        <v>130000</v>
      </c>
      <c r="L49" s="8">
        <f>IF(G49="","",G49-K49)</f>
        <v/>
      </c>
      <c r="M49" s="6" t="inlineStr">
        <is>
          <t>オークション落札実績（トップロット等）</t>
        </is>
      </c>
      <c r="N49" s="6" t="inlineStr"/>
    </row>
    <row r="50">
      <c r="A50" s="4" t="inlineStr">
        <is>
          <t>R-21</t>
        </is>
      </c>
      <c r="B50" s="4" t="inlineStr">
        <is>
          <t>赤</t>
        </is>
      </c>
      <c r="C50" s="5" t="inlineStr">
        <is>
          <t>ガヤ バルバレスコ</t>
        </is>
      </c>
      <c r="D50" s="5" t="inlineStr">
        <is>
          <t>Gaja</t>
        </is>
      </c>
      <c r="E50" s="4" t="inlineStr">
        <is>
          <t>2022</t>
        </is>
      </c>
      <c r="F50" s="24" t="inlineStr">
        <is>
          <t>https://search.rakuten.co.jp/search/mall/%E3%82%AC%E3%83%A4%20%E3%83%90%E3%83%AB%E3%83%90%E3%83%AC%E3%82%B9%E3%82%B3%20750ml/</t>
        </is>
      </c>
      <c r="G50" s="25" t="n"/>
      <c r="H50" s="26" t="n"/>
      <c r="I50" s="27" t="n"/>
      <c r="J50" s="7" t="n">
        <v>2</v>
      </c>
      <c r="K50" s="8" t="n">
        <v>130000</v>
      </c>
      <c r="L50" s="8">
        <f>IF(G50="","",G50-K50)</f>
        <v/>
      </c>
      <c r="M50" s="6" t="inlineStr">
        <is>
          <t>オークション落札実績（トップロット等）</t>
        </is>
      </c>
      <c r="N50" s="6" t="inlineStr"/>
    </row>
    <row r="51">
      <c r="A51" s="4" t="inlineStr">
        <is>
          <t>R-22</t>
        </is>
      </c>
      <c r="B51" s="4" t="inlineStr">
        <is>
          <t>赤</t>
        </is>
      </c>
      <c r="C51" s="5" t="inlineStr">
        <is>
          <t>シャトー マルゴー</t>
        </is>
      </c>
      <c r="D51" s="5" t="inlineStr">
        <is>
          <t>Château Margaux</t>
        </is>
      </c>
      <c r="E51" s="4" t="inlineStr">
        <is>
          <t>2022</t>
        </is>
      </c>
      <c r="F51" s="24" t="inlineStr">
        <is>
          <t>https://search.rakuten.co.jp/search/mall/%E3%82%B7%E3%83%A3%E3%83%88%E3%83%BC%20%E3%83%9E%E3%83%AB%E3%82%B4%E3%83%BC%20750ml/</t>
        </is>
      </c>
      <c r="G51" s="25" t="n"/>
      <c r="H51" s="26" t="n"/>
      <c r="I51" s="27" t="n"/>
      <c r="J51" s="7" t="n">
        <v>1</v>
      </c>
      <c r="K51" s="8" t="n">
        <v>150000</v>
      </c>
      <c r="L51" s="8">
        <f>IF(G51="","",G51-K51)</f>
        <v/>
      </c>
      <c r="M51" s="6" t="inlineStr">
        <is>
          <t>オークション落札実績（トップロット等）</t>
        </is>
      </c>
      <c r="N51" s="6" t="inlineStr"/>
    </row>
    <row r="52">
      <c r="A52" s="4" t="inlineStr">
        <is>
          <t>R-23</t>
        </is>
      </c>
      <c r="B52" s="4" t="inlineStr">
        <is>
          <t>赤</t>
        </is>
      </c>
      <c r="C52" s="5" t="inlineStr">
        <is>
          <t>シャンベルタン クロ ド ベーズ グラン クリュ</t>
        </is>
      </c>
      <c r="D52" s="5" t="inlineStr">
        <is>
          <t>Louis Jadot</t>
        </is>
      </c>
      <c r="E52" s="4" t="inlineStr">
        <is>
          <t>2022</t>
        </is>
      </c>
      <c r="F52" s="24" t="inlineStr">
        <is>
          <t>https://search.rakuten.co.jp/search/mall/%E3%82%B7%E3%83%A3%E3%83%B3%E3%83%99%E3%83%AB%E3%82%BF%E3%83%B3%20%E3%82%AF%E3%83%AD%20%E3%83%89%20%E3%83%99%E3%83%BC%E3%82%BA%20%E3%82%B0%E3%83%A9%E3%83%B3%20%E3%82%AF%E3%83%AA%E3%83%A5%20750ml/</t>
        </is>
      </c>
      <c r="G52" s="25" t="n"/>
      <c r="H52" s="26" t="n"/>
      <c r="I52" s="27" t="n"/>
      <c r="J52" s="7" t="n">
        <v>1</v>
      </c>
      <c r="K52" s="8" t="n">
        <v>150000</v>
      </c>
      <c r="L52" s="8">
        <f>IF(G52="","",G52-K52)</f>
        <v/>
      </c>
      <c r="M52" s="6" t="inlineStr">
        <is>
          <t>オークション落札実績（トップロット等）</t>
        </is>
      </c>
      <c r="N52" s="6" t="inlineStr"/>
    </row>
    <row r="53">
      <c r="A53" s="4" t="inlineStr">
        <is>
          <t>R-24</t>
        </is>
      </c>
      <c r="B53" s="4" t="inlineStr">
        <is>
          <t>赤</t>
        </is>
      </c>
      <c r="C53" s="5" t="inlineStr">
        <is>
          <t>ヴェガ シシリア ウニコ</t>
        </is>
      </c>
      <c r="D53" s="5" t="inlineStr">
        <is>
          <t>Vega Sicilia</t>
        </is>
      </c>
      <c r="E53" s="4" t="inlineStr">
        <is>
          <t>2015</t>
        </is>
      </c>
      <c r="F53" s="24" t="inlineStr">
        <is>
          <t>https://search.rakuten.co.jp/search/mall/%E3%83%B4%E3%82%A7%E3%82%AC%20%E3%82%B7%E3%82%B7%E3%83%AA%E3%82%A2%20%E3%82%A6%E3%83%8B%E3%82%B3%20750ml/</t>
        </is>
      </c>
      <c r="G53" s="25" t="n"/>
      <c r="H53" s="26" t="n"/>
      <c r="I53" s="27" t="n"/>
      <c r="J53" s="7" t="n">
        <v>2</v>
      </c>
      <c r="K53" s="8" t="n">
        <v>150000</v>
      </c>
      <c r="L53" s="8">
        <f>IF(G53="","",G53-K53)</f>
        <v/>
      </c>
      <c r="M53" s="6" t="inlineStr">
        <is>
          <t>オークション落札実績（トップロット等）</t>
        </is>
      </c>
      <c r="N53" s="6" t="inlineStr"/>
    </row>
    <row r="54">
      <c r="A54" s="4" t="inlineStr">
        <is>
          <t>R-25</t>
        </is>
      </c>
      <c r="B54" s="4" t="inlineStr">
        <is>
          <t>赤</t>
        </is>
      </c>
      <c r="C54" s="5" t="inlineStr">
        <is>
          <t>シャトー ラトゥール</t>
        </is>
      </c>
      <c r="D54" s="5" t="inlineStr">
        <is>
          <t>Château Latour</t>
        </is>
      </c>
      <c r="E54" s="4" t="inlineStr">
        <is>
          <t>2018</t>
        </is>
      </c>
      <c r="F54" s="24" t="inlineStr">
        <is>
          <t>https://search.rakuten.co.jp/search/mall/%E3%82%B7%E3%83%A3%E3%83%88%E3%83%BC%20%E3%83%A9%E3%83%88%E3%82%A5%E3%83%BC%E3%83%AB%20750ml/</t>
        </is>
      </c>
      <c r="G54" s="25" t="n"/>
      <c r="H54" s="26" t="n"/>
      <c r="I54" s="27" t="n"/>
      <c r="J54" s="7" t="n">
        <v>1</v>
      </c>
      <c r="K54" s="8" t="n">
        <v>180000</v>
      </c>
      <c r="L54" s="8">
        <f>IF(G54="","",G54-K54)</f>
        <v/>
      </c>
      <c r="M54" s="6" t="inlineStr">
        <is>
          <t>オークション落札実績（トップロット等）</t>
        </is>
      </c>
      <c r="N54" s="6" t="inlineStr"/>
    </row>
    <row r="55">
      <c r="A55" s="4" t="inlineStr">
        <is>
          <t>R-26</t>
        </is>
      </c>
      <c r="B55" s="4" t="inlineStr">
        <is>
          <t>赤</t>
        </is>
      </c>
      <c r="C55" s="5" t="inlineStr">
        <is>
          <t>シャトー ラフィット ロートシルト</t>
        </is>
      </c>
      <c r="D55" s="5" t="inlineStr">
        <is>
          <t>Château Lafite Rothschild</t>
        </is>
      </c>
      <c r="E55" s="4" t="inlineStr">
        <is>
          <t>2022</t>
        </is>
      </c>
      <c r="F55" s="24" t="inlineStr">
        <is>
          <t>https://search.rakuten.co.jp/search/mall/%E3%82%B7%E3%83%A3%E3%83%88%E3%83%BC%20%E3%83%A9%E3%83%95%E3%82%A3%E3%83%83%E3%83%88%20%E3%83%AD%E3%83%BC%E3%83%88%E3%82%B7%E3%83%AB%E3%83%88%20750ml/</t>
        </is>
      </c>
      <c r="G55" s="25" t="n"/>
      <c r="H55" s="26" t="n"/>
      <c r="I55" s="27" t="n"/>
      <c r="J55" s="7" t="n">
        <v>1</v>
      </c>
      <c r="K55" s="8" t="n">
        <v>180000</v>
      </c>
      <c r="L55" s="8">
        <f>IF(G55="","",G55-K55)</f>
        <v/>
      </c>
      <c r="M55" s="6" t="inlineStr">
        <is>
          <t>オークション落札実績（トップロット等）</t>
        </is>
      </c>
      <c r="N55" s="6" t="inlineStr"/>
    </row>
    <row r="56">
      <c r="A56" s="4" t="inlineStr">
        <is>
          <t>R-27</t>
        </is>
      </c>
      <c r="B56" s="4" t="inlineStr">
        <is>
          <t>赤</t>
        </is>
      </c>
      <c r="C56" s="5" t="inlineStr">
        <is>
          <t>シャトー シュヴァル ブラン</t>
        </is>
      </c>
      <c r="D56" s="5" t="inlineStr">
        <is>
          <t>Château Cheval Blanc</t>
        </is>
      </c>
      <c r="E56" s="4" t="inlineStr">
        <is>
          <t>2022</t>
        </is>
      </c>
      <c r="F56" s="24" t="inlineStr">
        <is>
          <t>https://search.rakuten.co.jp/search/mall/%E3%82%B7%E3%83%A3%E3%83%88%E3%83%BC%20%E3%82%B7%E3%83%A5%E3%83%B4%E3%82%A1%E3%83%AB%20%E3%83%96%E3%83%A9%E3%83%B3%20750ml/</t>
        </is>
      </c>
      <c r="G56" s="25" t="n"/>
      <c r="H56" s="26" t="n"/>
      <c r="I56" s="27" t="n"/>
      <c r="J56" s="7" t="n">
        <v>1</v>
      </c>
      <c r="K56" s="8" t="n">
        <v>190000</v>
      </c>
      <c r="L56" s="8">
        <f>IF(G56="","",G56-K56)</f>
        <v/>
      </c>
      <c r="M56" s="6" t="inlineStr">
        <is>
          <t>オークション落札実績（トップロット等）</t>
        </is>
      </c>
      <c r="N56" s="6" t="inlineStr"/>
    </row>
    <row r="57">
      <c r="A57" s="19" t="inlineStr">
        <is>
          <t>合計</t>
        </is>
      </c>
      <c r="B57" s="19" t="n"/>
      <c r="C57" s="19" t="n"/>
      <c r="D57" s="19" t="n"/>
      <c r="E57" s="19" t="n"/>
      <c r="F57" s="19" t="n"/>
      <c r="G57" s="21">
        <f>IF(COUNT(G7:G56)=0,"",SUM(G7:G56))</f>
        <v/>
      </c>
      <c r="H57" s="19" t="n"/>
      <c r="I57" s="19" t="n"/>
      <c r="J57" s="19">
        <f>SUM(J7:J56)</f>
        <v/>
      </c>
      <c r="K57" s="21">
        <f>SUM(K7:K56)</f>
        <v/>
      </c>
      <c r="L57" s="21">
        <f>IF(COUNT(G7:G56)=0,"",SUM(L7:L56))</f>
        <v/>
      </c>
      <c r="M57" s="19" t="inlineStr">
        <is>
          <t>※記入済みSKUのみ集計されます</t>
        </is>
      </c>
      <c r="N57" s="19" t="n"/>
    </row>
    <row r="59">
      <c r="A59" s="12" t="inlineStr">
        <is>
          <t>※ 帯D以上のSKUは流通量が少なく小売価格が実勢から乖離しやすいため、オークション落札実績（トップロット等）を参照値にすることを推奨します。</t>
        </is>
      </c>
    </row>
  </sheetData>
  <mergeCells count="2">
    <mergeCell ref="A2:L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2026-08-09T12:34:30Z</dcterms:created>
  <dcterms:modified xsi:type="dcterms:W3CDTF">2026-08-09T12:34:30Z</dcterms:modified>
</cp:coreProperties>
</file>