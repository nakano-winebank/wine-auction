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売上前提" sheetId="2" state="visible" r:id="rId4"/>
    <sheet name="経費前提" sheetId="3" state="visible" r:id="rId5"/>
    <sheet name="単店PL" sheetId="4" state="visible" r:id="rId6"/>
    <sheet name="投資・CF" sheetId="5" state="visible" r:id="rId7"/>
    <sheet name="感応度分析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<sst xmlns="http://schemas.openxmlformats.org/spreadsheetml/2006/main" count="287" uniqueCount="211">
  <si>
    <r>
      <rPr>
        <b val="true"/>
        <sz val="11"/>
        <color rgb="FFFFFFFF"/>
        <rFont val="Meiryo"/>
        <family val="0"/>
        <charset val="1"/>
      </rPr>
      <t xml:space="preserve">BRASSERIE Thierry Marx</t>
    </r>
    <r>
      <rPr>
        <b val="true"/>
        <sz val="11"/>
        <color rgb="FFFFFFFF"/>
        <rFont val="WenQuanYi Zen Hei"/>
        <family val="2"/>
      </rPr>
      <t xml:space="preserve">　六本木ミッドタウン店　事業収支（</t>
    </r>
    <r>
      <rPr>
        <b val="true"/>
        <sz val="11"/>
        <color rgb="FFFFFFFF"/>
        <rFont val="Meiryo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年</t>
    </r>
    <r>
      <rPr>
        <b val="true"/>
        <sz val="11"/>
        <color rgb="FFFFFFFF"/>
        <rFont val="Meiryo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月改定 </t>
    </r>
    <r>
      <rPr>
        <b val="true"/>
        <sz val="11"/>
        <color rgb="FFFFFFFF"/>
        <rFont val="Meiryo"/>
        <family val="0"/>
        <charset val="1"/>
      </rPr>
      <t xml:space="preserve">rev2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</si>
  <si>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単位：百万円／</t>
    </r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</t>
    </r>
    <r>
      <rPr>
        <sz val="9"/>
        <color rgb="FF7F7F7F"/>
        <rFont val="Meiryo"/>
        <family val="0"/>
        <charset val="1"/>
      </rPr>
      <t xml:space="preserve">(55.5</t>
    </r>
    <r>
      <rPr>
        <sz val="9"/>
        <color rgb="FF7F7F7F"/>
        <rFont val="WenQuanYi Zen Hei"/>
        <family val="2"/>
      </rPr>
      <t xml:space="preserve">坪</t>
    </r>
    <r>
      <rPr>
        <sz val="9"/>
        <color rgb="FF7F7F7F"/>
        <rFont val="Meiryo"/>
        <family val="0"/>
        <charset val="1"/>
      </rPr>
      <t xml:space="preserve">)</t>
    </r>
    <r>
      <rPr>
        <sz val="9"/>
        <color rgb="FF7F7F7F"/>
        <rFont val="WenQuanYi Zen Hei"/>
        <family val="2"/>
      </rPr>
      <t xml:space="preserve">・年</t>
    </r>
    <r>
      <rPr>
        <sz val="9"/>
        <color rgb="FF7F7F7F"/>
        <rFont val="Meiryo"/>
        <family val="0"/>
        <charset val="1"/>
      </rPr>
      <t xml:space="preserve">363</t>
    </r>
    <r>
      <rPr>
        <sz val="9"/>
        <color rgb="FF7F7F7F"/>
        <rFont val="WenQuanYi Zen Hei"/>
        <family val="2"/>
      </rPr>
      <t xml:space="preserve">日営業。水色セルを変えると全体が再計算されます。</t>
    </r>
  </si>
  <si>
    <t xml:space="preserve">■ よく変える前提</t>
  </si>
  <si>
    <r>
      <rPr>
        <sz val="9"/>
        <color rgb="FF7F7F7F"/>
        <rFont val="WenQuanYi Zen Hei"/>
        <family val="2"/>
      </rPr>
      <t xml:space="preserve">詳細は「売上前提」。時間帯</t>
    </r>
    <r>
      <rPr>
        <sz val="9"/>
        <color rgb="FF7F7F7F"/>
        <rFont val="Meiryo"/>
        <family val="0"/>
        <charset val="1"/>
      </rPr>
      <t xml:space="preserve">×</t>
    </r>
    <r>
      <rPr>
        <sz val="9"/>
        <color rgb="FF7F7F7F"/>
        <rFont val="WenQuanYi Zen Hei"/>
        <family val="2"/>
      </rPr>
      <t xml:space="preserve">エリアごとの席効率・回転率・客単価はそちらで個別に設定できます。</t>
    </r>
  </si>
  <si>
    <t xml:space="preserve">総席数（店内＋テラス）</t>
  </si>
  <si>
    <t xml:space="preserve">　店内</t>
  </si>
  <si>
    <t xml:space="preserve">　テラス</t>
  </si>
  <si>
    <t xml:space="preserve">店内 席効率</t>
  </si>
  <si>
    <t xml:space="preserve">ディナー 回転率（店内）</t>
  </si>
  <si>
    <t xml:space="preserve">客単価 ランチ</t>
  </si>
  <si>
    <t xml:space="preserve">客単価 カフェ</t>
  </si>
  <si>
    <t xml:space="preserve">客単価 ディナー（店内）</t>
  </si>
  <si>
    <t xml:space="preserve">客単価 ディナー（テラス）</t>
  </si>
  <si>
    <t xml:space="preserve">営業日数（日／年）</t>
  </si>
  <si>
    <r>
      <rPr>
        <b val="true"/>
        <sz val="10"/>
        <color rgb="FF000000"/>
        <rFont val="WenQuanYi Zen Hei"/>
        <family val="2"/>
      </rPr>
      <t xml:space="preserve">■ 単店</t>
    </r>
    <r>
      <rPr>
        <b val="true"/>
        <sz val="10"/>
        <color rgb="FF000000"/>
        <rFont val="Meiryo"/>
        <family val="0"/>
        <charset val="1"/>
      </rPr>
      <t xml:space="preserve">PL </t>
    </r>
    <r>
      <rPr>
        <b val="true"/>
        <sz val="10"/>
        <color rgb="FF000000"/>
        <rFont val="WenQuanYi Zen Hei"/>
        <family val="2"/>
      </rPr>
      <t xml:space="preserve">サマリー</t>
    </r>
  </si>
  <si>
    <t xml:space="preserve">項　目</t>
  </si>
  <si>
    <t xml:space="preserve">満年度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</si>
  <si>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</si>
  <si>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</si>
  <si>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年目以降</t>
    </r>
  </si>
  <si>
    <t xml:space="preserve">売上高</t>
  </si>
  <si>
    <t xml:space="preserve">部門利益</t>
  </si>
  <si>
    <r>
      <rPr>
        <sz val="10"/>
        <color rgb="FF000000"/>
        <rFont val="Meiryo"/>
        <family val="0"/>
        <charset val="1"/>
      </rPr>
      <t xml:space="preserve">GOP</t>
    </r>
    <r>
      <rPr>
        <sz val="10"/>
        <color rgb="FF000000"/>
        <rFont val="WenQuanYi Zen Hei"/>
        <family val="2"/>
      </rPr>
      <t xml:space="preserve">（店舗営業総利益）</t>
    </r>
  </si>
  <si>
    <t xml:space="preserve">EBITDA</t>
  </si>
  <si>
    <t xml:space="preserve">減価償却費</t>
  </si>
  <si>
    <t xml:space="preserve">営業利益</t>
  </si>
  <si>
    <r>
      <rPr>
        <b val="true"/>
        <sz val="10"/>
        <color rgb="FF000000"/>
        <rFont val="WenQuanYi Zen Hei"/>
        <family val="2"/>
      </rPr>
      <t xml:space="preserve">　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率</t>
    </r>
  </si>
  <si>
    <t xml:space="preserve">　営業利益率</t>
  </si>
  <si>
    <t xml:space="preserve">■ 売上の内訳（満年度）</t>
  </si>
  <si>
    <r>
      <rPr>
        <b val="true"/>
        <sz val="10"/>
        <color rgb="FF000000"/>
        <rFont val="WenQuanYi Zen Hei"/>
        <family val="2"/>
      </rPr>
      <t xml:space="preserve">時間帯 </t>
    </r>
    <r>
      <rPr>
        <b val="true"/>
        <sz val="10"/>
        <color rgb="FF000000"/>
        <rFont val="Meiryo"/>
        <family val="0"/>
        <charset val="1"/>
      </rPr>
      <t xml:space="preserve">× </t>
    </r>
    <r>
      <rPr>
        <b val="true"/>
        <sz val="10"/>
        <color rgb="FF000000"/>
        <rFont val="WenQuanYi Zen Hei"/>
        <family val="2"/>
      </rPr>
      <t xml:space="preserve">エリア</t>
    </r>
  </si>
  <si>
    <t xml:space="preserve">年間売上</t>
  </si>
  <si>
    <t xml:space="preserve">構成比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</si>
  <si>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日客数</t>
    </r>
  </si>
  <si>
    <t xml:space="preserve">合　計</t>
  </si>
  <si>
    <t xml:space="preserve">■ 投資回収</t>
  </si>
  <si>
    <t xml:space="preserve">初期投資 合計</t>
  </si>
  <si>
    <t xml:space="preserve">　うち 償却対象資産</t>
  </si>
  <si>
    <t xml:space="preserve">　うち ワイン＋美術品（非償却）</t>
  </si>
  <si>
    <t xml:space="preserve">開業時 現金支出（分割払い活用後）</t>
  </si>
  <si>
    <r>
      <rPr>
        <sz val="10"/>
        <color rgb="FF000000"/>
        <rFont val="WenQuanYi Zen Hei"/>
        <family val="2"/>
      </rPr>
      <t xml:space="preserve">定常期の年間</t>
    </r>
    <r>
      <rPr>
        <sz val="10"/>
        <color rgb="FF000000"/>
        <rFont val="Meiryo"/>
        <family val="0"/>
        <charset val="1"/>
      </rPr>
      <t xml:space="preserve">FCF</t>
    </r>
  </si>
  <si>
    <r>
      <rPr>
        <sz val="10"/>
        <color rgb="FF000000"/>
        <rFont val="WenQuanYi Zen Hei"/>
        <family val="2"/>
      </rPr>
      <t xml:space="preserve">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の黒字転換</t>
    </r>
  </si>
  <si>
    <t xml:space="preserve">投資回収年数（年）</t>
  </si>
  <si>
    <r>
      <rPr>
        <b val="true"/>
        <sz val="11"/>
        <color rgb="FFFFFFFF"/>
        <rFont val="WenQuanYi Zen Hei"/>
        <family val="2"/>
      </rPr>
      <t xml:space="preserve">売上前提　／　席数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回転率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客単価 からの積上げ</t>
    </r>
  </si>
  <si>
    <t xml:space="preserve">水色セル＝入力値。ここを変えると全シートが自動再計算されます。単位：売上は百万円、客単価は円。</t>
  </si>
  <si>
    <t xml:space="preserve">■ 基本条件</t>
  </si>
  <si>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363</t>
    </r>
    <r>
      <rPr>
        <sz val="9"/>
        <color rgb="FF7F7F7F"/>
        <rFont val="WenQuanYi Zen Hei"/>
        <family val="2"/>
      </rPr>
      <t xml:space="preserve">日営業（提出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準拠）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</si>
  <si>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</t>
    </r>
  </si>
  <si>
    <r>
      <rPr>
        <sz val="9"/>
        <color rgb="FF7F7F7F"/>
        <rFont val="WenQuanYi Zen Hei"/>
        <family val="2"/>
      </rPr>
      <t xml:space="preserve">新店初年度は保守的に</t>
    </r>
    <r>
      <rPr>
        <sz val="9"/>
        <color rgb="FF7F7F7F"/>
        <rFont val="Meiryo"/>
        <family val="0"/>
        <charset val="1"/>
      </rPr>
      <t xml:space="preserve">90%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</si>
  <si>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年目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</si>
  <si>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年目以降（成熟）</t>
    </r>
  </si>
  <si>
    <t xml:space="preserve">満年度＝この水準</t>
  </si>
  <si>
    <t xml:space="preserve">■ 席数（席）</t>
  </si>
  <si>
    <t xml:space="preserve">カウンター</t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</si>
  <si>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月改定：ダイニング</t>
    </r>
    <r>
      <rPr>
        <sz val="9"/>
        <color rgb="FF7F7F7F"/>
        <rFont val="Meiryo"/>
        <family val="0"/>
        <charset val="1"/>
      </rPr>
      <t xml:space="preserve">30→24</t>
    </r>
    <r>
      <rPr>
        <sz val="9"/>
        <color rgb="FF7F7F7F"/>
        <rFont val="WenQuanYi Zen Hei"/>
        <family val="2"/>
      </rPr>
      <t xml:space="preserve">、個室</t>
    </r>
    <r>
      <rPr>
        <sz val="9"/>
        <color rgb="FF7F7F7F"/>
        <rFont val="Meiryo"/>
        <family val="0"/>
        <charset val="1"/>
      </rPr>
      <t xml:space="preserve">27→25</t>
    </r>
    <r>
      <rPr>
        <sz val="9"/>
        <color rgb="FF7F7F7F"/>
        <rFont val="WenQuanYi Zen Hei"/>
        <family val="2"/>
      </rPr>
      <t xml:space="preserve">（店内</t>
    </r>
    <r>
      <rPr>
        <sz val="9"/>
        <color rgb="FF7F7F7F"/>
        <rFont val="Meiryo"/>
        <family val="0"/>
        <charset val="1"/>
      </rPr>
      <t xml:space="preserve">71→63</t>
    </r>
    <r>
      <rPr>
        <sz val="9"/>
        <color rgb="FF7F7F7F"/>
        <rFont val="WenQuanYi Zen Hei"/>
        <family val="2"/>
      </rPr>
      <t xml:space="preserve">席／合計</t>
    </r>
    <r>
      <rPr>
        <sz val="9"/>
        <color rgb="FF7F7F7F"/>
        <rFont val="Meiryo"/>
        <family val="0"/>
        <charset val="1"/>
      </rPr>
      <t xml:space="preserve">123→115</t>
    </r>
    <r>
      <rPr>
        <sz val="9"/>
        <color rgb="FF7F7F7F"/>
        <rFont val="WenQuanYi Zen Hei"/>
        <family val="2"/>
      </rPr>
      <t xml:space="preserve">席）。面積は</t>
    </r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坪で変更なし</t>
    </r>
  </si>
  <si>
    <t xml:space="preserve">ダイニング</t>
  </si>
  <si>
    <t xml:space="preserve">個室</t>
  </si>
  <si>
    <t xml:space="preserve">店内　小計</t>
  </si>
  <si>
    <t xml:space="preserve">テラス</t>
  </si>
  <si>
    <r>
      <rPr>
        <b val="true"/>
        <sz val="10"/>
        <color rgb="FF000000"/>
        <rFont val="WenQuanYi Zen Hei"/>
        <family val="2"/>
      </rPr>
      <t xml:space="preserve">■ 時間帯 </t>
    </r>
    <r>
      <rPr>
        <b val="true"/>
        <sz val="10"/>
        <color rgb="FF000000"/>
        <rFont val="Meiryo"/>
        <family val="0"/>
        <charset val="1"/>
      </rPr>
      <t xml:space="preserve">× </t>
    </r>
    <r>
      <rPr>
        <b val="true"/>
        <sz val="10"/>
        <color rgb="FF000000"/>
        <rFont val="WenQuanYi Zen Hei"/>
        <family val="2"/>
      </rPr>
      <t xml:space="preserve">エリア 別の売上前提</t>
    </r>
  </si>
  <si>
    <t xml:space="preserve">時間帯</t>
  </si>
  <si>
    <t xml:space="preserve">エリア</t>
  </si>
  <si>
    <t xml:space="preserve">席数</t>
  </si>
  <si>
    <t xml:space="preserve">席効率</t>
  </si>
  <si>
    <r>
      <rPr>
        <b val="true"/>
        <sz val="9"/>
        <color rgb="FF000000"/>
        <rFont val="WenQuanYi Zen Hei"/>
        <family val="2"/>
      </rPr>
      <t xml:space="preserve">回転率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回</t>
    </r>
    <r>
      <rPr>
        <b val="true"/>
        <sz val="9"/>
        <color rgb="FF000000"/>
        <rFont val="Meiryo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日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</si>
  <si>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料理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</si>
  <si>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飲料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</si>
  <si>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計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</si>
  <si>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日
客数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人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</si>
  <si>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日商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</si>
  <si>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年間売上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百万円</t>
    </r>
    <r>
      <rPr>
        <b val="true"/>
        <sz val="9"/>
        <color rgb="FF000000"/>
        <rFont val="Meiryo"/>
        <family val="0"/>
        <charset val="1"/>
      </rPr>
      <t xml:space="preserve">)</t>
    </r>
  </si>
  <si>
    <t xml:space="preserve">ランチ</t>
  </si>
  <si>
    <t xml:space="preserve">店内</t>
  </si>
  <si>
    <r>
      <rPr>
        <sz val="9"/>
        <color rgb="FF7F7F7F"/>
        <rFont val="WenQuanYi Zen Hei"/>
        <family val="2"/>
      </rPr>
      <t xml:space="preserve">店内席効率は</t>
    </r>
    <r>
      <rPr>
        <sz val="9"/>
        <color rgb="FF7F7F7F"/>
        <rFont val="Meiryo"/>
        <family val="0"/>
        <charset val="1"/>
      </rPr>
      <t xml:space="preserve">80%→75%</t>
    </r>
    <r>
      <rPr>
        <sz val="9"/>
        <color rgb="FF7F7F7F"/>
        <rFont val="WenQuanYi Zen Hei"/>
        <family val="2"/>
      </rPr>
      <t xml:space="preserve">に変更。ディナー店内回転率</t>
    </r>
    <r>
      <rPr>
        <sz val="9"/>
        <color rgb="FF7F7F7F"/>
        <rFont val="Meiryo"/>
        <family val="0"/>
        <charset val="1"/>
      </rPr>
      <t xml:space="preserve">0.80→0.90</t>
    </r>
  </si>
  <si>
    <t xml:space="preserve">カフェ（アイドルタイム）</t>
  </si>
  <si>
    <r>
      <rPr>
        <sz val="9"/>
        <color rgb="FF7F7F7F"/>
        <rFont val="WenQuanYi Zen Hei"/>
        <family val="2"/>
      </rPr>
      <t xml:space="preserve">カフェ客単価</t>
    </r>
    <r>
      <rPr>
        <sz val="9"/>
        <color rgb="FF7F7F7F"/>
        <rFont val="Meiryo"/>
        <family val="0"/>
        <charset val="1"/>
      </rPr>
      <t xml:space="preserve">2,500</t>
    </r>
    <r>
      <rPr>
        <sz val="9"/>
        <color rgb="FF7F7F7F"/>
        <rFont val="WenQuanYi Zen Hei"/>
        <family val="2"/>
      </rPr>
      <t xml:space="preserve">円（料理</t>
    </r>
    <r>
      <rPr>
        <sz val="9"/>
        <color rgb="FF7F7F7F"/>
        <rFont val="Meiryo"/>
        <family val="0"/>
        <charset val="1"/>
      </rPr>
      <t xml:space="preserve">1,500</t>
    </r>
    <r>
      <rPr>
        <sz val="9"/>
        <color rgb="FF7F7F7F"/>
        <rFont val="WenQuanYi Zen Hei"/>
        <family val="2"/>
      </rPr>
      <t xml:space="preserve">＋飲料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）に変更</t>
    </r>
  </si>
  <si>
    <t xml:space="preserve">ディナー</t>
  </si>
  <si>
    <r>
      <rPr>
        <sz val="9"/>
        <color rgb="FF7F7F7F"/>
        <rFont val="WenQuanYi Zen Hei"/>
        <family val="2"/>
      </rPr>
      <t xml:space="preserve">テラスのディナーは客単価</t>
    </r>
    <r>
      <rPr>
        <sz val="9"/>
        <color rgb="FF7F7F7F"/>
        <rFont val="Meiryo"/>
        <family val="0"/>
        <charset val="1"/>
      </rPr>
      <t xml:space="preserve">10,000</t>
    </r>
    <r>
      <rPr>
        <sz val="9"/>
        <color rgb="FF7F7F7F"/>
        <rFont val="WenQuanYi Zen Hei"/>
        <family val="2"/>
      </rPr>
      <t xml:space="preserve">円（店内</t>
    </r>
    <r>
      <rPr>
        <sz val="9"/>
        <color rgb="FF7F7F7F"/>
        <rFont val="Meiryo"/>
        <family val="0"/>
        <charset val="1"/>
      </rPr>
      <t xml:space="preserve">15,000</t>
    </r>
    <r>
      <rPr>
        <sz val="9"/>
        <color rgb="FF7F7F7F"/>
        <rFont val="WenQuanYi Zen Hei"/>
        <family val="2"/>
      </rPr>
      <t xml:space="preserve">円）・回転率</t>
    </r>
    <r>
      <rPr>
        <sz val="9"/>
        <color rgb="FF7F7F7F"/>
        <rFont val="Meiryo"/>
        <family val="0"/>
        <charset val="1"/>
      </rPr>
      <t xml:space="preserve">0.50</t>
    </r>
    <r>
      <rPr>
        <sz val="9"/>
        <color rgb="FF7F7F7F"/>
        <rFont val="WenQuanYi Zen Hei"/>
        <family val="2"/>
      </rPr>
      <t xml:space="preserve">に変更</t>
    </r>
  </si>
  <si>
    <t xml:space="preserve">■ 料理・飲料別の年間売上（原価計算用）</t>
  </si>
  <si>
    <t xml:space="preserve">料理売上</t>
  </si>
  <si>
    <t xml:space="preserve">飲料売上</t>
  </si>
  <si>
    <t xml:space="preserve">料理 構成比</t>
  </si>
  <si>
    <t xml:space="preserve">飲料 構成比</t>
  </si>
  <si>
    <t xml:space="preserve">■ 参考指標</t>
  </si>
  <si>
    <t xml:space="preserve">日商（円）</t>
  </si>
  <si>
    <t xml:space="preserve">月商（百万円）</t>
  </si>
  <si>
    <t xml:space="preserve">年商（百万円・満年度）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</si>
  <si>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：</t>
    </r>
    <r>
      <rPr>
        <sz val="9"/>
        <color rgb="FF7F7F7F"/>
        <rFont val="Meiryo"/>
        <family val="0"/>
        <charset val="1"/>
      </rPr>
      <t xml:space="preserve">4.60</t>
    </r>
    <r>
      <rPr>
        <sz val="9"/>
        <color rgb="FF7F7F7F"/>
        <rFont val="WenQuanYi Zen Hei"/>
        <family val="2"/>
      </rPr>
      <t xml:space="preserve">億円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</si>
  <si>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日あたり総客数（人）</t>
    </r>
  </si>
  <si>
    <t xml:space="preserve">平均客単価（円）</t>
  </si>
  <si>
    <r>
      <rPr>
        <sz val="10"/>
        <color rgb="FF000000"/>
        <rFont val="WenQuanYi Zen Hei"/>
        <family val="2"/>
      </rPr>
      <t xml:space="preserve">延べ席回転率（回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日）</t>
    </r>
  </si>
  <si>
    <r>
      <rPr>
        <sz val="9"/>
        <color rgb="FF7F7F7F"/>
        <rFont val="WenQuanYi Zen Hei"/>
        <family val="2"/>
      </rPr>
      <t xml:space="preserve">総客数 </t>
    </r>
    <r>
      <rPr>
        <sz val="9"/>
        <color rgb="FF7F7F7F"/>
        <rFont val="Meiryo"/>
        <family val="0"/>
        <charset val="1"/>
      </rPr>
      <t xml:space="preserve">÷ </t>
    </r>
    <r>
      <rPr>
        <sz val="9"/>
        <color rgb="FF7F7F7F"/>
        <rFont val="WenQuanYi Zen Hei"/>
        <family val="2"/>
      </rPr>
      <t xml:space="preserve">総席数</t>
    </r>
  </si>
  <si>
    <t xml:space="preserve">坪数（坪）</t>
  </si>
  <si>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</t>
    </r>
  </si>
  <si>
    <r>
      <rPr>
        <sz val="10"/>
        <color rgb="FF000000"/>
        <rFont val="WenQuanYi Zen Hei"/>
        <family val="2"/>
      </rPr>
      <t xml:space="preserve">坪売上（百万円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坪・年）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</si>
  <si>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席あたり年間売上（百万円）</t>
    </r>
  </si>
  <si>
    <t xml:space="preserve">席数変更の効果を見る指標</t>
  </si>
  <si>
    <t xml:space="preserve">■ 立上りを織り込んだ年間売上（百万円）</t>
  </si>
  <si>
    <t xml:space="preserve">立上り率</t>
  </si>
  <si>
    <t xml:space="preserve">年間売上高</t>
  </si>
  <si>
    <t xml:space="preserve">経費前提（水色セル＝入力値）</t>
  </si>
  <si>
    <r>
      <rPr>
        <sz val="9"/>
        <color rgb="FF7F7F7F"/>
        <rFont val="WenQuanYi Zen Hei"/>
        <family val="2"/>
      </rPr>
      <t xml:space="preserve">経費率は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準拠。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月改定で売上原価は料理・飲料別（各</t>
    </r>
    <r>
      <rPr>
        <sz val="9"/>
        <color rgb="FF7F7F7F"/>
        <rFont val="Meiryo"/>
        <family val="0"/>
        <charset val="1"/>
      </rPr>
      <t xml:space="preserve">30.0%</t>
    </r>
    <r>
      <rPr>
        <sz val="9"/>
        <color rgb="FF7F7F7F"/>
        <rFont val="WenQuanYi Zen Hei"/>
        <family val="2"/>
      </rPr>
      <t xml:space="preserve">）に変更。</t>
    </r>
  </si>
  <si>
    <t xml:space="preserve">■ 売上原価の計算方法</t>
  </si>
  <si>
    <r>
      <rPr>
        <sz val="10"/>
        <color rgb="FF000000"/>
        <rFont val="WenQuanYi Zen Hei"/>
        <family val="2"/>
      </rPr>
      <t xml:space="preserve">計算方法（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＝売上比一括／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＝料理・飲料別）</t>
    </r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</si>
  <si>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月改定で方法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を選択。下の変動費計・感応度分析もこの選択に連動します。</t>
    </r>
  </si>
  <si>
    <t xml:space="preserve">■ 経費率（対売上高）</t>
  </si>
  <si>
    <t xml:space="preserve">費　目</t>
  </si>
  <si>
    <r>
      <rPr>
        <b val="true"/>
        <sz val="9"/>
        <color rgb="FF000000"/>
        <rFont val="WenQuanYi Zen Hei"/>
        <family val="2"/>
      </rPr>
      <t xml:space="preserve">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
（満年度・</t>
    </r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年目）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</si>
  <si>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年目</t>
    </r>
  </si>
  <si>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年目以降</t>
    </r>
  </si>
  <si>
    <r>
      <rPr>
        <sz val="10"/>
        <color rgb="FF000000"/>
        <rFont val="WenQuanYi Zen Hei"/>
        <family val="2"/>
      </rPr>
      <t xml:space="preserve">売上原価（方法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：売上比一括）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</si>
  <si>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を選んだ場合のみ使用</t>
    </r>
  </si>
  <si>
    <r>
      <rPr>
        <sz val="9"/>
        <color rgb="FF7F7F7F"/>
        <rFont val="WenQuanYi Zen Hei"/>
        <family val="2"/>
      </rPr>
      <t xml:space="preserve">　料理原価率（方法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</si>
  <si>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月改定：全年度</t>
    </r>
    <r>
      <rPr>
        <sz val="9"/>
        <color rgb="FF7F7F7F"/>
        <rFont val="Meiryo"/>
        <family val="0"/>
        <charset val="1"/>
      </rPr>
      <t xml:space="preserve">30.0%</t>
    </r>
    <r>
      <rPr>
        <sz val="9"/>
        <color rgb="FF7F7F7F"/>
        <rFont val="WenQuanYi Zen Hei"/>
        <family val="2"/>
      </rPr>
      <t xml:space="preserve">で固定</t>
    </r>
  </si>
  <si>
    <r>
      <rPr>
        <sz val="9"/>
        <color rgb="FF7F7F7F"/>
        <rFont val="WenQuanYi Zen Hei"/>
        <family val="2"/>
      </rPr>
      <t xml:space="preserve">　飲料原価率（方法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</si>
  <si>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t xml:space="preserve">同上。直輸入ワインによる低減は織り込んでいない</t>
  </si>
  <si>
    <t xml:space="preserve">人件費</t>
  </si>
  <si>
    <r>
      <rPr>
        <sz val="9"/>
        <color rgb="FF7F7F7F"/>
        <rFont val="WenQuanYi Zen Hei"/>
        <family val="2"/>
      </rPr>
      <t xml:space="preserve">本部集中化・多能工化。人員</t>
    </r>
    <r>
      <rPr>
        <sz val="9"/>
        <color rgb="FF7F7F7F"/>
        <rFont val="Meiryo"/>
        <family val="0"/>
        <charset val="1"/>
      </rPr>
      <t xml:space="preserve">26</t>
    </r>
    <r>
      <rPr>
        <sz val="9"/>
        <color rgb="FF7F7F7F"/>
        <rFont val="WenQuanYi Zen Hei"/>
        <family val="2"/>
      </rPr>
      <t xml:space="preserve">名</t>
    </r>
  </si>
  <si>
    <t xml:space="preserve">業務委託費・消耗品他</t>
  </si>
  <si>
    <t xml:space="preserve">本部集中購買・規格統一</t>
  </si>
  <si>
    <t xml:space="preserve">広告宣伝費・販売促進費</t>
  </si>
  <si>
    <t xml:space="preserve">据置</t>
  </si>
  <si>
    <t xml:space="preserve">その他経費</t>
  </si>
  <si>
    <t xml:space="preserve">水道光熱費</t>
  </si>
  <si>
    <t xml:space="preserve">高効率厨房機器・営業時間最適化</t>
  </si>
  <si>
    <t xml:space="preserve">ロイヤリティ</t>
  </si>
  <si>
    <r>
      <rPr>
        <sz val="9"/>
        <color rgb="FF7F7F7F"/>
        <rFont val="WenQuanYi Zen Hei"/>
        <family val="2"/>
      </rPr>
      <t xml:space="preserve">契約条件（ブラッスリー</t>
    </r>
    <r>
      <rPr>
        <sz val="9"/>
        <color rgb="FF7F7F7F"/>
        <rFont val="Meiryo"/>
        <family val="0"/>
        <charset val="1"/>
      </rPr>
      <t xml:space="preserve">4.0%</t>
    </r>
    <r>
      <rPr>
        <sz val="9"/>
        <color rgb="FF7F7F7F"/>
        <rFont val="WenQuanYi Zen Hei"/>
        <family val="2"/>
      </rPr>
      <t xml:space="preserve">）</t>
    </r>
  </si>
  <si>
    <t xml:space="preserve">保険・租税公課</t>
  </si>
  <si>
    <r>
      <rPr>
        <sz val="10"/>
        <color rgb="FF000000"/>
        <rFont val="WenQuanYi Zen Hei"/>
        <family val="2"/>
      </rPr>
      <t xml:space="preserve">修繕維持費（</t>
    </r>
    <r>
      <rPr>
        <sz val="10"/>
        <color rgb="FF000000"/>
        <rFont val="Meiryo"/>
        <family val="0"/>
        <charset val="1"/>
      </rPr>
      <t xml:space="preserve">FFE</t>
    </r>
    <r>
      <rPr>
        <sz val="10"/>
        <color rgb="FF000000"/>
        <rFont val="WenQuanYi Zen Hei"/>
        <family val="2"/>
      </rPr>
      <t xml:space="preserve">）</t>
    </r>
  </si>
  <si>
    <t xml:space="preserve">変動費計（選択中の原価方法ベース）</t>
  </si>
  <si>
    <r>
      <rPr>
        <sz val="9"/>
        <color rgb="FFC00000"/>
        <rFont val="WenQuanYi Zen Hei"/>
        <family val="2"/>
      </rPr>
      <t xml:space="preserve">原価の計算方法（</t>
    </r>
    <r>
      <rPr>
        <sz val="9"/>
        <color rgb="FFC00000"/>
        <rFont val="Meiryo"/>
        <family val="0"/>
        <charset val="1"/>
      </rPr>
      <t xml:space="preserve">B5</t>
    </r>
    <r>
      <rPr>
        <sz val="9"/>
        <color rgb="FFC00000"/>
        <rFont val="WenQuanYi Zen Hei"/>
        <family val="2"/>
      </rPr>
      <t xml:space="preserve">）に連動。感応度分析シートもこの値を参照します。</t>
    </r>
  </si>
  <si>
    <t xml:space="preserve">■ 固定費・家賃条件</t>
  </si>
  <si>
    <t xml:space="preserve">地代家賃（固定）月額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</si>
  <si>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222</t>
    </r>
    <r>
      <rPr>
        <sz val="9"/>
        <color rgb="FF7F7F7F"/>
        <rFont val="WenQuanYi Zen Hei"/>
        <family val="2"/>
      </rPr>
      <t xml:space="preserve">万円（提出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）。席数を変えても面積は同じため不変</t>
    </r>
  </si>
  <si>
    <t xml:space="preserve">地代家賃（固定）年額</t>
  </si>
  <si>
    <r>
      <rPr>
        <sz val="9"/>
        <color rgb="FF7F7F7F"/>
        <rFont val="WenQuanYi Zen Hei"/>
        <family val="2"/>
      </rPr>
      <t xml:space="preserve">＝月額</t>
    </r>
    <r>
      <rPr>
        <sz val="9"/>
        <color rgb="FF7F7F7F"/>
        <rFont val="Meiryo"/>
        <family val="0"/>
        <charset val="1"/>
      </rPr>
      <t xml:space="preserve">×12</t>
    </r>
  </si>
  <si>
    <t xml:space="preserve">歩合家賃率</t>
  </si>
  <si>
    <r>
      <rPr>
        <sz val="9"/>
        <color rgb="FF7F7F7F"/>
        <rFont val="WenQuanYi Zen Hei"/>
        <family val="2"/>
      </rPr>
      <t xml:space="preserve">閾値超過分に対して</t>
    </r>
    <r>
      <rPr>
        <sz val="9"/>
        <color rgb="FF7F7F7F"/>
        <rFont val="Meiryo"/>
        <family val="0"/>
        <charset val="1"/>
      </rPr>
      <t xml:space="preserve">7%</t>
    </r>
  </si>
  <si>
    <t xml:space="preserve">歩合家賃 閾値（年商）</t>
  </si>
  <si>
    <r>
      <rPr>
        <sz val="9"/>
        <color rgb="FF7F7F7F"/>
        <rFont val="WenQuanYi Zen Hei"/>
        <family val="2"/>
      </rPr>
      <t xml:space="preserve">満年度の歩合家賃</t>
    </r>
    <r>
      <rPr>
        <sz val="9"/>
        <color rgb="FF7F7F7F"/>
        <rFont val="Meiryo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百万円から逆算（提出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時点）</t>
    </r>
  </si>
  <si>
    <t xml:space="preserve">人員数（名・参考）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</si>
  <si>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。人件費は売上比で計算</t>
    </r>
  </si>
  <si>
    <t xml:space="preserve">■ 初期投資・減価償却（百万円）</t>
  </si>
  <si>
    <t xml:space="preserve">契約金</t>
  </si>
  <si>
    <r>
      <rPr>
        <sz val="9"/>
        <color rgb="FF7F7F7F"/>
        <rFont val="WenQuanYi Zen Hei"/>
        <family val="2"/>
      </rPr>
      <t xml:space="preserve">契約金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万円</t>
    </r>
    <r>
      <rPr>
        <sz val="9"/>
        <color rgb="FF7F7F7F"/>
        <rFont val="Meiryo"/>
        <family val="0"/>
        <charset val="1"/>
      </rPr>
      <t xml:space="preserve">÷3</t>
    </r>
    <r>
      <rPr>
        <sz val="9"/>
        <color rgb="FF7F7F7F"/>
        <rFont val="WenQuanYi Zen Hei"/>
        <family val="2"/>
      </rPr>
      <t xml:space="preserve">店舗</t>
    </r>
  </si>
  <si>
    <r>
      <rPr>
        <sz val="10"/>
        <color rgb="FF000000"/>
        <rFont val="WenQuanYi Zen Hei"/>
        <family val="2"/>
      </rPr>
      <t xml:space="preserve">事業費（設計・内装施工・</t>
    </r>
    <r>
      <rPr>
        <sz val="10"/>
        <color rgb="FF000000"/>
        <rFont val="Meiryo"/>
        <family val="0"/>
        <charset val="1"/>
      </rPr>
      <t xml:space="preserve">OSE/FF&amp;E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</si>
  <si>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  <r>
      <rPr>
        <sz val="9"/>
        <color rgb="FF7F7F7F"/>
        <rFont val="Meiryo"/>
        <family val="0"/>
        <charset val="1"/>
      </rPr>
      <t xml:space="preserve">×350</t>
    </r>
    <r>
      <rPr>
        <sz val="9"/>
        <color rgb="FF7F7F7F"/>
        <rFont val="WenQuanYi Zen Hei"/>
        <family val="2"/>
      </rPr>
      <t xml:space="preserve">万</t>
    </r>
  </si>
  <si>
    <t xml:space="preserve">開業準備金（広告・採用等）</t>
  </si>
  <si>
    <t xml:space="preserve">保証金</t>
  </si>
  <si>
    <t xml:space="preserve">非償却・退去時返還対象</t>
  </si>
  <si>
    <t xml:space="preserve">ワイン＋美術品</t>
  </si>
  <si>
    <t xml:space="preserve">美術品は数百万前半。非償却（下記参照）</t>
  </si>
  <si>
    <t xml:space="preserve">初期投資　合計</t>
  </si>
  <si>
    <r>
      <rPr>
        <b val="true"/>
        <sz val="10"/>
        <color rgb="FF000000"/>
        <rFont val="WenQuanYi Zen Hei"/>
        <family val="2"/>
      </rPr>
      <t xml:space="preserve">償却対象資産（＝合計－保証金－ワイン</t>
    </r>
    <r>
      <rPr>
        <b val="true"/>
        <sz val="10"/>
        <color rgb="FF000000"/>
        <rFont val="Meiryo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美術品）</t>
    </r>
  </si>
  <si>
    <r>
      <rPr>
        <sz val="9"/>
        <color rgb="FFC00000"/>
        <rFont val="WenQuanYi Zen Hei"/>
        <family val="2"/>
      </rPr>
      <t xml:space="preserve">ワイン在庫は棚卸資産、美術品は取得価額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万円以上なら原則非償却のため除外（</t>
    </r>
    <r>
      <rPr>
        <sz val="9"/>
        <color rgb="FFC00000"/>
        <rFont val="Meiryo"/>
        <family val="0"/>
        <charset val="1"/>
      </rPr>
      <t xml:space="preserve">2026</t>
    </r>
    <r>
      <rPr>
        <sz val="9"/>
        <color rgb="FFC00000"/>
        <rFont val="WenQuanYi Zen Hei"/>
        <family val="2"/>
      </rPr>
      <t xml:space="preserve">年</t>
    </r>
    <r>
      <rPr>
        <sz val="9"/>
        <color rgb="FFC00000"/>
        <rFont val="Meiryo"/>
        <family val="0"/>
        <charset val="1"/>
      </rPr>
      <t xml:space="preserve">10</t>
    </r>
    <r>
      <rPr>
        <sz val="9"/>
        <color rgb="FFC00000"/>
        <rFont val="WenQuanYi Zen Hei"/>
        <family val="2"/>
      </rPr>
      <t xml:space="preserve">月修正）</t>
    </r>
  </si>
  <si>
    <t xml:space="preserve">償却年数（年）</t>
  </si>
  <si>
    <t xml:space="preserve">年間減価償却費</t>
  </si>
  <si>
    <r>
      <rPr>
        <sz val="9"/>
        <color rgb="FF7F7F7F"/>
        <rFont val="WenQuanYi Zen Hei"/>
        <family val="2"/>
      </rPr>
      <t xml:space="preserve">美術品のうち</t>
    </r>
    <r>
      <rPr>
        <sz val="9"/>
        <color rgb="FF7F7F7F"/>
        <rFont val="Meiryo"/>
        <family val="0"/>
        <charset val="1"/>
      </rPr>
      <t xml:space="preserve">100</t>
    </r>
    <r>
      <rPr>
        <sz val="9"/>
        <color rgb="FF7F7F7F"/>
        <rFont val="WenQuanYi Zen Hei"/>
        <family val="2"/>
      </rPr>
      <t xml:space="preserve">万円未満で償却したい分があれば、その金額を</t>
    </r>
    <r>
      <rPr>
        <sz val="9"/>
        <color rgb="FF7F7F7F"/>
        <rFont val="Meiryo"/>
        <family val="0"/>
        <charset val="1"/>
      </rPr>
      <t xml:space="preserve">B34</t>
    </r>
    <r>
      <rPr>
        <sz val="9"/>
        <color rgb="FF7F7F7F"/>
        <rFont val="WenQuanYi Zen Hei"/>
        <family val="2"/>
      </rPr>
      <t xml:space="preserve">から事業費（</t>
    </r>
    <r>
      <rPr>
        <sz val="9"/>
        <color rgb="FF7F7F7F"/>
        <rFont val="Meiryo"/>
        <family val="0"/>
        <charset val="1"/>
      </rPr>
      <t xml:space="preserve">B31</t>
    </r>
    <r>
      <rPr>
        <sz val="9"/>
        <color rgb="FF7F7F7F"/>
        <rFont val="WenQuanYi Zen Hei"/>
        <family val="2"/>
      </rPr>
      <t xml:space="preserve">）へ移してください</t>
    </r>
  </si>
  <si>
    <t xml:space="preserve">■ 分割払いスキーム（百万円）</t>
  </si>
  <si>
    <t xml:space="preserve">分割対象：内装工事費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</si>
  <si>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 </t>
    </r>
    <r>
      <rPr>
        <sz val="9"/>
        <color rgb="FF7F7F7F"/>
        <rFont val="Meiryo"/>
        <family val="0"/>
        <charset val="1"/>
      </rPr>
      <t xml:space="preserve">× 120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年）</t>
    </r>
  </si>
  <si>
    <t xml:space="preserve">分割対象：保証金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</si>
  <si>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463</t>
    </r>
    <r>
      <rPr>
        <sz val="9"/>
        <color rgb="FF7F7F7F"/>
        <rFont val="WenQuanYi Zen Hei"/>
        <family val="2"/>
      </rPr>
      <t xml:space="preserve">千円 </t>
    </r>
    <r>
      <rPr>
        <sz val="9"/>
        <color rgb="FF7F7F7F"/>
        <rFont val="Meiryo"/>
        <family val="0"/>
        <charset val="1"/>
      </rPr>
      <t xml:space="preserve">× 84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年）</t>
    </r>
  </si>
  <si>
    <t xml:space="preserve">分割対象額　計</t>
  </si>
  <si>
    <t xml:space="preserve">開業時 現金支出</t>
  </si>
  <si>
    <t xml:space="preserve">＝初期投資合計 － 分割対象額</t>
  </si>
  <si>
    <t xml:space="preserve">年間分割弁済額</t>
  </si>
  <si>
    <r>
      <rPr>
        <sz val="9"/>
        <color rgb="FF7F7F7F"/>
        <rFont val="WenQuanYi Zen Hei"/>
        <family val="2"/>
      </rPr>
      <t xml:space="preserve">月額合計</t>
    </r>
    <r>
      <rPr>
        <sz val="9"/>
        <color rgb="FF7F7F7F"/>
        <rFont val="Meiryo"/>
        <family val="0"/>
        <charset val="1"/>
      </rPr>
      <t xml:space="preserve">1,296</t>
    </r>
    <r>
      <rPr>
        <sz val="9"/>
        <color rgb="FF7F7F7F"/>
        <rFont val="WenQuanYi Zen Hei"/>
        <family val="2"/>
      </rPr>
      <t xml:space="preserve">千円 </t>
    </r>
    <r>
      <rPr>
        <sz val="9"/>
        <color rgb="FF7F7F7F"/>
        <rFont val="Meiryo"/>
        <family val="0"/>
        <charset val="1"/>
      </rPr>
      <t xml:space="preserve">× 12</t>
    </r>
    <r>
      <rPr>
        <sz val="9"/>
        <color rgb="FF7F7F7F"/>
        <rFont val="WenQuanYi Zen Hei"/>
        <family val="2"/>
      </rPr>
      <t xml:space="preserve">か月</t>
    </r>
  </si>
  <si>
    <r>
      <rPr>
        <b val="true"/>
        <sz val="11"/>
        <color rgb="FFFFFFFF"/>
        <rFont val="WenQuanYi Zen Hei"/>
        <family val="2"/>
      </rPr>
      <t xml:space="preserve">六本木ミッドタウン店　単店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</si>
  <si>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r>
      <rPr>
        <sz val="9"/>
        <color rgb="FF7F7F7F"/>
        <rFont val="WenQuanYi Zen Hei"/>
        <family val="2"/>
      </rPr>
      <t xml:space="preserve">科目は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のまま。売上は「売上前提」、経費率は「経費前提」に連動。金利・税金は含まない。</t>
    </r>
  </si>
  <si>
    <t xml:space="preserve">科　目</t>
  </si>
  <si>
    <r>
      <rPr>
        <b val="true"/>
        <sz val="9"/>
        <color rgb="FF000000"/>
        <rFont val="WenQuanYi Zen Hei"/>
        <family val="2"/>
      </rPr>
      <t xml:space="preserve">満年度
（提出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</si>
  <si>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</t>
    </r>
  </si>
  <si>
    <t xml:space="preserve">　うち 料理売上</t>
  </si>
  <si>
    <t xml:space="preserve">　うち 飲料売上</t>
  </si>
  <si>
    <t xml:space="preserve">売上原価</t>
  </si>
  <si>
    <r>
      <rPr>
        <b val="true"/>
        <sz val="10"/>
        <color rgb="FF000000"/>
        <rFont val="Meiryo"/>
        <family val="0"/>
        <charset val="1"/>
      </rPr>
      <t xml:space="preserve">GOP</t>
    </r>
    <r>
      <rPr>
        <b val="true"/>
        <sz val="10"/>
        <color rgb="FF000000"/>
        <rFont val="WenQuanYi Zen Hei"/>
        <family val="2"/>
      </rPr>
      <t xml:space="preserve">（店舗営業総利益）</t>
    </r>
  </si>
  <si>
    <t xml:space="preserve">地代家賃（固定）</t>
  </si>
  <si>
    <t xml:space="preserve">歩合家賃</t>
  </si>
  <si>
    <r>
      <rPr>
        <b val="true"/>
        <sz val="9"/>
        <color rgb="FFC00000"/>
        <rFont val="WenQuanYi Zen Hei"/>
        <family val="2"/>
      </rPr>
      <t xml:space="preserve">提出</t>
    </r>
    <r>
      <rPr>
        <b val="true"/>
        <sz val="9"/>
        <color rgb="FFC00000"/>
        <rFont val="Meiryo"/>
        <family val="0"/>
        <charset val="1"/>
      </rPr>
      <t xml:space="preserve">P&amp;L</t>
    </r>
    <r>
      <rPr>
        <b val="true"/>
        <sz val="9"/>
        <color rgb="FFC00000"/>
        <rFont val="WenQuanYi Zen Hei"/>
        <family val="2"/>
      </rPr>
      <t xml:space="preserve">（旧前提）：満年度</t>
    </r>
    <r>
      <rPr>
        <b val="true"/>
        <sz val="9"/>
        <color rgb="FFC00000"/>
        <rFont val="Meiryo"/>
        <family val="0"/>
        <charset val="1"/>
      </rPr>
      <t xml:space="preserve">EBITDA 59</t>
    </r>
    <r>
      <rPr>
        <b val="true"/>
        <sz val="9"/>
        <color rgb="FFC00000"/>
        <rFont val="WenQuanYi Zen Hei"/>
        <family val="2"/>
      </rPr>
      <t xml:space="preserve">百万円</t>
    </r>
  </si>
  <si>
    <r>
      <rPr>
        <b val="true"/>
        <sz val="9"/>
        <color rgb="FFC00000"/>
        <rFont val="WenQuanYi Zen Hei"/>
        <family val="2"/>
      </rPr>
      <t xml:space="preserve">提出</t>
    </r>
    <r>
      <rPr>
        <b val="true"/>
        <sz val="9"/>
        <color rgb="FFC00000"/>
        <rFont val="Meiryo"/>
        <family val="0"/>
        <charset val="1"/>
      </rPr>
      <t xml:space="preserve">P&amp;L</t>
    </r>
    <r>
      <rPr>
        <b val="true"/>
        <sz val="9"/>
        <color rgb="FFC00000"/>
        <rFont val="WenQuanYi Zen Hei"/>
        <family val="2"/>
      </rPr>
      <t xml:space="preserve">（旧前提）：満年度 営業利益 </t>
    </r>
    <r>
      <rPr>
        <b val="true"/>
        <sz val="9"/>
        <color rgb="FFC00000"/>
        <rFont val="Meiryo"/>
        <family val="0"/>
        <charset val="1"/>
      </rPr>
      <t xml:space="preserve">38</t>
    </r>
    <r>
      <rPr>
        <b val="true"/>
        <sz val="9"/>
        <color rgb="FFC00000"/>
        <rFont val="WenQuanYi Zen Hei"/>
        <family val="2"/>
      </rPr>
      <t xml:space="preserve">百万円</t>
    </r>
  </si>
  <si>
    <t xml:space="preserve">■ 対売上比</t>
  </si>
  <si>
    <t xml:space="preserve">初期投資・キャッシュフロー（百万円）</t>
  </si>
  <si>
    <t xml:space="preserve">分割払いスキーム活用後の開業時現金支出と、単店の投資回収を自動計算します。</t>
  </si>
  <si>
    <t xml:space="preserve">■ 初期投資</t>
  </si>
  <si>
    <r>
      <rPr>
        <sz val="9"/>
        <color rgb="FFC00000"/>
        <rFont val="Meiryo"/>
        <family val="0"/>
        <charset val="1"/>
      </rPr>
      <t xml:space="preserve">2026</t>
    </r>
    <r>
      <rPr>
        <sz val="9"/>
        <color rgb="FFC00000"/>
        <rFont val="WenQuanYi Zen Hei"/>
        <family val="2"/>
      </rPr>
      <t xml:space="preserve">年</t>
    </r>
    <r>
      <rPr>
        <sz val="9"/>
        <color rgb="FFC00000"/>
        <rFont val="Meiryo"/>
        <family val="0"/>
        <charset val="1"/>
      </rPr>
      <t xml:space="preserve">10</t>
    </r>
    <r>
      <rPr>
        <sz val="9"/>
        <color rgb="FFC00000"/>
        <rFont val="WenQuanYi Zen Hei"/>
        <family val="2"/>
      </rPr>
      <t xml:space="preserve">月追加。減価償却の対象外（経費前提</t>
    </r>
    <r>
      <rPr>
        <sz val="9"/>
        <color rgb="FFC00000"/>
        <rFont val="Meiryo"/>
        <family val="0"/>
        <charset val="1"/>
      </rPr>
      <t xml:space="preserve">F36</t>
    </r>
    <r>
      <rPr>
        <sz val="9"/>
        <color rgb="FFC00000"/>
        <rFont val="WenQuanYi Zen Hei"/>
        <family val="2"/>
      </rPr>
      <t xml:space="preserve">参照）</t>
    </r>
  </si>
  <si>
    <t xml:space="preserve">うち 償却対象資産</t>
  </si>
  <si>
    <t xml:space="preserve">分割対象額</t>
  </si>
  <si>
    <t xml:space="preserve">（検算）内訳合計と一致するか</t>
  </si>
  <si>
    <r>
      <rPr>
        <sz val="9"/>
        <color rgb="FF7F7F7F"/>
        <rFont val="Meiryo"/>
        <family val="0"/>
        <charset val="1"/>
      </rPr>
      <t xml:space="preserve">0</t>
    </r>
    <r>
      <rPr>
        <sz val="9"/>
        <color rgb="FF7F7F7F"/>
        <rFont val="WenQuanYi Zen Hei"/>
        <family val="2"/>
      </rPr>
      <t xml:space="preserve">なら内訳と合計が一致</t>
    </r>
  </si>
  <si>
    <t xml:space="preserve">■ 単店キャッシュフロー推移</t>
  </si>
  <si>
    <t xml:space="preserve">開業時</t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</si>
  <si>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</si>
  <si>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</si>
  <si>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年目</t>
    </r>
  </si>
  <si>
    <t xml:space="preserve">分割弁済</t>
  </si>
  <si>
    <r>
      <rPr>
        <b val="true"/>
        <sz val="10"/>
        <color rgb="FF000000"/>
        <rFont val="WenQuanYi Zen Hei"/>
        <family val="2"/>
      </rPr>
      <t xml:space="preserve">単店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</si>
  <si>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</si>
  <si>
    <t xml:space="preserve">■ 投資回収（自動計算）</t>
  </si>
  <si>
    <r>
      <rPr>
        <sz val="10"/>
        <color rgb="FF000000"/>
        <rFont val="WenQuanYi Zen Hei"/>
        <family val="2"/>
      </rPr>
      <t xml:space="preserve">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が赤字の年数</t>
    </r>
  </si>
  <si>
    <t xml:space="preserve">固定文ではなく計算結果です。前提を変えると自動で更新されます。</t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</si>
  <si>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  <r>
      <rPr>
        <b val="true"/>
        <sz val="10"/>
        <color rgb="FF000000"/>
        <rFont val="WenQuanYi Zen Hei"/>
        <family val="2"/>
      </rPr>
      <t xml:space="preserve">の黒字転換</t>
    </r>
  </si>
  <si>
    <t xml:space="preserve">※ 税金・運転資本の増減・借入返済・分割払いに係る金利相当は含まない簡易ベース。</t>
  </si>
  <si>
    <r>
      <rPr>
        <sz val="9"/>
        <color rgb="FF7F7F7F"/>
        <rFont val="WenQuanYi Zen Hei"/>
        <family val="2"/>
      </rPr>
      <t xml:space="preserve">※ 保証金</t>
    </r>
    <r>
      <rPr>
        <sz val="9"/>
        <color rgb="FF7F7F7F"/>
        <rFont val="Meiryo"/>
        <family val="0"/>
        <charset val="1"/>
      </rPr>
      <t xml:space="preserve">39</t>
    </r>
    <r>
      <rPr>
        <sz val="9"/>
        <color rgb="FF7F7F7F"/>
        <rFont val="WenQuanYi Zen Hei"/>
        <family val="2"/>
      </rPr>
      <t xml:space="preserve">百万円は退去時返還対象。ワイン在庫も換価可能なため、実質的な回収はさらに短期。</t>
    </r>
  </si>
  <si>
    <r>
      <rPr>
        <b val="true"/>
        <sz val="11"/>
        <color rgb="FFFFFFFF"/>
        <rFont val="WenQuanYi Zen Hei"/>
        <family val="2"/>
      </rPr>
      <t xml:space="preserve">感応度分析　店内席効率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ディナー店内回転率</t>
    </r>
  </si>
  <si>
    <r>
      <rPr>
        <sz val="9"/>
        <color rgb="FF7F7F7F"/>
        <rFont val="WenQuanYi Zen Hei"/>
        <family val="2"/>
      </rPr>
      <t xml:space="preserve">満年度・提出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水準。原価は「経費前提」で選択中の方法に連動。軸の値（水色）は自由に変更できます。</t>
    </r>
  </si>
  <si>
    <t xml:space="preserve">■ 年間売上高（百万円）</t>
  </si>
  <si>
    <t xml:space="preserve">店内席効率 ＼ ディナー回転率</t>
  </si>
  <si>
    <t xml:space="preserve">■ 営業利益（百万円）</t>
  </si>
  <si>
    <t xml:space="preserve">■ 営業利益率</t>
  </si>
  <si>
    <t xml:space="preserve">薄黄色＝現在の前提に一致するセル（席効率・回転率を変えると自動で移動します）。</t>
  </si>
  <si>
    <t xml:space="preserve">※ 料理・飲料の構成比は基準ケースの比率を用いた近似。地代家賃と減価償却は売上非連動のため、売上増で利益率が加速的に改善します。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</si>
</sst>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;\(0.00\);\-"/>
    <numFmt numFmtId="168" formatCode="#,##0.0;\(#,##0.0\);\-"/>
    <numFmt numFmtId="169" formatCode="0.00%;\(0.00%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sz val="10"/>
      <color rgb="FF000000"/>
      <name val="Meiryo"/>
      <family val="0"/>
      <charset val="1"/>
    </font>
    <font>
      <b val="true"/>
      <sz val="10"/>
      <color rgb="FF008000"/>
      <name val="Meiryo"/>
      <family val="0"/>
      <charset val="1"/>
    </font>
    <font>
      <sz val="9"/>
      <color rgb="FF000000"/>
      <name val="WenQuanYi Zen Hei"/>
      <family val="2"/>
    </font>
    <font>
      <b val="true"/>
      <sz val="10"/>
      <color rgb="FFC00000"/>
      <name val="WenQuanYi Zen Hei"/>
      <family val="2"/>
    </font>
    <font>
      <sz val="10"/>
      <color rgb="FF0000FF"/>
      <name val="Meiryo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Meiryo"/>
      <family val="0"/>
      <charset val="1"/>
    </font>
    <font>
      <sz val="9"/>
      <color rgb="FFC00000"/>
      <name val="WenQuanYi Zen Hei"/>
      <family val="2"/>
    </font>
    <font>
      <sz val="9"/>
      <color rgb="FFC00000"/>
      <name val="Meiryo"/>
      <family val="0"/>
      <charset val="1"/>
    </font>
    <font>
      <b val="true"/>
      <sz val="9"/>
      <color rgb="FFC00000"/>
      <name val="WenQuanYi Zen Hei"/>
      <family val="2"/>
    </font>
    <font>
      <b val="true"/>
      <sz val="9"/>
      <color rgb="FFC00000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rgb="FF0000FF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F2F2F2"/>
        <bgColor rgb="FFEAF1FB"/>
      </patternFill>
    </fill>
    <fill>
      <patternFill patternType="solid">
        <fgColor rgb="FFFFFF00"/>
        <bgColor rgb="FFFFFF00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5"/>
    <col collapsed="false" customWidth="true" hidden="false" outlineLevel="0" max="6" min="6" style="0" width="3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4" t="s">
        <v>4</v>
      </c>
      <c r="B6" s="5" t="n">
        <f aca="false">売上前提!$B$16</f>
        <v>115</v>
      </c>
    </row>
    <row r="7" customFormat="false" ht="15" hidden="false" customHeight="false" outlineLevel="0" collapsed="false">
      <c r="A7" s="6" t="s">
        <v>5</v>
      </c>
      <c r="B7" s="5" t="n">
        <f aca="false">売上前提!$B$14</f>
        <v>63</v>
      </c>
    </row>
    <row r="8" customFormat="false" ht="15" hidden="false" customHeight="false" outlineLevel="0" collapsed="false">
      <c r="A8" s="6" t="s">
        <v>6</v>
      </c>
      <c r="B8" s="5" t="n">
        <f aca="false">売上前提!$B$15</f>
        <v>52</v>
      </c>
    </row>
    <row r="9" customFormat="false" ht="15" hidden="false" customHeight="false" outlineLevel="0" collapsed="false">
      <c r="A9" s="4" t="s">
        <v>7</v>
      </c>
      <c r="B9" s="7" t="n">
        <f aca="false">売上前提!$D$20</f>
        <v>0.75</v>
      </c>
    </row>
    <row r="10" customFormat="false" ht="15" hidden="false" customHeight="false" outlineLevel="0" collapsed="false">
      <c r="A10" s="4" t="s">
        <v>8</v>
      </c>
      <c r="B10" s="8" t="n">
        <f aca="false">売上前提!$E$24</f>
        <v>0.9</v>
      </c>
    </row>
    <row r="11" customFormat="false" ht="15" hidden="false" customHeight="false" outlineLevel="0" collapsed="false">
      <c r="A11" s="4" t="s">
        <v>9</v>
      </c>
      <c r="B11" s="5" t="n">
        <f aca="false">売上前提!$H$20</f>
        <v>4000</v>
      </c>
    </row>
    <row r="12" customFormat="false" ht="15" hidden="false" customHeight="false" outlineLevel="0" collapsed="false">
      <c r="A12" s="4" t="s">
        <v>10</v>
      </c>
      <c r="B12" s="5" t="n">
        <f aca="false">売上前提!$H$22</f>
        <v>2500</v>
      </c>
    </row>
    <row r="13" customFormat="false" ht="15" hidden="false" customHeight="false" outlineLevel="0" collapsed="false">
      <c r="A13" s="4" t="s">
        <v>11</v>
      </c>
      <c r="B13" s="5" t="n">
        <f aca="false">売上前提!$H$24</f>
        <v>15000</v>
      </c>
    </row>
    <row r="14" customFormat="false" ht="15" hidden="false" customHeight="false" outlineLevel="0" collapsed="false">
      <c r="A14" s="4" t="s">
        <v>12</v>
      </c>
      <c r="B14" s="5" t="n">
        <f aca="false">売上前提!$H$25</f>
        <v>10000</v>
      </c>
    </row>
    <row r="15" customFormat="false" ht="15" hidden="false" customHeight="false" outlineLevel="0" collapsed="false">
      <c r="A15" s="4" t="s">
        <v>13</v>
      </c>
      <c r="B15" s="9" t="n">
        <f aca="false">売上前提!$B$5</f>
        <v>363</v>
      </c>
    </row>
    <row r="17" customFormat="false" ht="15" hidden="false" customHeight="false" outlineLevel="0" collapsed="false">
      <c r="A17" s="3" t="s">
        <v>14</v>
      </c>
      <c r="B17" s="3"/>
      <c r="C17" s="3"/>
      <c r="D17" s="3"/>
      <c r="E17" s="3"/>
    </row>
    <row r="18" customFormat="false" ht="15" hidden="false" customHeight="false" outlineLevel="0" collapsed="false">
      <c r="A18" s="10" t="s">
        <v>15</v>
      </c>
      <c r="B18" s="11" t="s">
        <v>16</v>
      </c>
      <c r="C18" s="12" t="s">
        <v>17</v>
      </c>
      <c r="D18" s="12" t="s">
        <v>18</v>
      </c>
      <c r="E18" s="12" t="s">
        <v>19</v>
      </c>
    </row>
    <row r="19" customFormat="false" ht="15" hidden="false" customHeight="false" outlineLevel="0" collapsed="false">
      <c r="A19" s="4" t="s">
        <v>20</v>
      </c>
      <c r="B19" s="9" t="n">
        <f aca="false">単店PL!B6</f>
        <v>428.6258625</v>
      </c>
      <c r="C19" s="9" t="n">
        <f aca="false">単店PL!C6</f>
        <v>385.76327625</v>
      </c>
      <c r="D19" s="9" t="n">
        <f aca="false">単店PL!D6</f>
        <v>420.05334525</v>
      </c>
      <c r="E19" s="9" t="n">
        <f aca="false">単店PL!E6</f>
        <v>428.6258625</v>
      </c>
    </row>
    <row r="20" customFormat="false" ht="15" hidden="false" customHeight="false" outlineLevel="0" collapsed="false">
      <c r="A20" s="4" t="s">
        <v>21</v>
      </c>
      <c r="B20" s="9" t="n">
        <f aca="false">単店PL!B12</f>
        <v>141.8751604875</v>
      </c>
      <c r="C20" s="9" t="n">
        <f aca="false">単店PL!C12</f>
        <v>127.68764443875</v>
      </c>
      <c r="D20" s="9" t="n">
        <f aca="false">単店PL!D12</f>
        <v>144.07829742075</v>
      </c>
      <c r="E20" s="9" t="n">
        <f aca="false">単店PL!E12</f>
        <v>152.1621811875</v>
      </c>
    </row>
    <row r="21" customFormat="false" ht="15" hidden="false" customHeight="false" outlineLevel="0" collapsed="false">
      <c r="A21" s="13" t="s">
        <v>22</v>
      </c>
      <c r="B21" s="9" t="n">
        <f aca="false">単店PL!B16</f>
        <v>116.5862346</v>
      </c>
      <c r="C21" s="9" t="n">
        <f aca="false">単店PL!C16</f>
        <v>104.92761114</v>
      </c>
      <c r="D21" s="9" t="n">
        <f aca="false">単店PL!D16</f>
        <v>120.1352567415</v>
      </c>
      <c r="E21" s="9" t="n">
        <f aca="false">単店PL!E16</f>
        <v>128.58775875</v>
      </c>
    </row>
    <row r="22" customFormat="false" ht="15" hidden="false" customHeight="false" outlineLevel="0" collapsed="false">
      <c r="A22" s="14" t="s">
        <v>23</v>
      </c>
      <c r="B22" s="15" t="n">
        <f aca="false">単店PL!B22</f>
        <v>52.279362125</v>
      </c>
      <c r="C22" s="15" t="n">
        <f aca="false">単店PL!C22</f>
        <v>46.7072259125</v>
      </c>
      <c r="D22" s="15" t="n">
        <f aca="false">単店PL!D22</f>
        <v>57.045681716</v>
      </c>
      <c r="E22" s="15" t="n">
        <f aca="false">単店PL!E22</f>
        <v>64.280886275</v>
      </c>
    </row>
    <row r="23" customFormat="false" ht="15" hidden="false" customHeight="false" outlineLevel="0" collapsed="false">
      <c r="A23" s="4" t="s">
        <v>24</v>
      </c>
      <c r="B23" s="9" t="n">
        <f aca="false">単店PL!B23</f>
        <v>20.825</v>
      </c>
      <c r="C23" s="9" t="n">
        <f aca="false">単店PL!C23</f>
        <v>20.825</v>
      </c>
      <c r="D23" s="9" t="n">
        <f aca="false">単店PL!D23</f>
        <v>20.825</v>
      </c>
      <c r="E23" s="9" t="n">
        <f aca="false">単店PL!E23</f>
        <v>20.825</v>
      </c>
    </row>
    <row r="24" customFormat="false" ht="15" hidden="false" customHeight="false" outlineLevel="0" collapsed="false">
      <c r="A24" s="16" t="s">
        <v>25</v>
      </c>
      <c r="B24" s="15" t="n">
        <f aca="false">単店PL!B24</f>
        <v>31.454362125</v>
      </c>
      <c r="C24" s="15" t="n">
        <f aca="false">単店PL!C24</f>
        <v>25.8822259125</v>
      </c>
      <c r="D24" s="15" t="n">
        <f aca="false">単店PL!D24</f>
        <v>36.220681716</v>
      </c>
      <c r="E24" s="15" t="n">
        <f aca="false">単店PL!E24</f>
        <v>43.455886275</v>
      </c>
    </row>
    <row r="25" customFormat="false" ht="15" hidden="false" customHeight="false" outlineLevel="0" collapsed="false">
      <c r="A25" s="16" t="s">
        <v>26</v>
      </c>
      <c r="B25" s="17" t="n">
        <f aca="false">IF(単店PL!B6=0,0,単店PL!B22/単店PL!B6)</f>
        <v>0.121969686616845</v>
      </c>
      <c r="C25" s="17" t="n">
        <f aca="false">IF(単店PL!C6=0,0,単店PL!C22/単店PL!C6)</f>
        <v>0.121077429574273</v>
      </c>
      <c r="D25" s="17" t="n">
        <f aca="false">IF(単店PL!D6=0,0,単店PL!D22/単店PL!D6)</f>
        <v>0.13580580267025</v>
      </c>
      <c r="E25" s="17" t="n">
        <f aca="false">IF(単店PL!E6=0,0,単店PL!E22/単店PL!E6)</f>
        <v>0.149969686616845</v>
      </c>
    </row>
    <row r="26" customFormat="false" ht="15" hidden="false" customHeight="false" outlineLevel="0" collapsed="false">
      <c r="A26" s="16" t="s">
        <v>27</v>
      </c>
      <c r="B26" s="17" t="n">
        <f aca="false">IF(単店PL!B6=0,0,単店PL!B24/単店PL!B6)</f>
        <v>0.0733841909154513</v>
      </c>
      <c r="C26" s="17" t="n">
        <f aca="false">IF(単店PL!C6=0,0,単店PL!C24/単店PL!C6)</f>
        <v>0.0670935454616127</v>
      </c>
      <c r="D26" s="17" t="n">
        <f aca="false">IF(単店PL!D6=0,0,単店PL!D24/単店PL!D6)</f>
        <v>0.0862287662402565</v>
      </c>
      <c r="E26" s="17" t="n">
        <f aca="false">IF(単店PL!E6=0,0,単店PL!E24/単店PL!E6)</f>
        <v>0.101384190915451</v>
      </c>
    </row>
    <row r="28" customFormat="false" ht="15" hidden="false" customHeight="false" outlineLevel="0" collapsed="false">
      <c r="A28" s="3" t="s">
        <v>28</v>
      </c>
      <c r="B28" s="3"/>
      <c r="C28" s="3"/>
      <c r="D28" s="3"/>
      <c r="E28" s="3"/>
    </row>
    <row r="29" customFormat="false" ht="15" hidden="false" customHeight="false" outlineLevel="0" collapsed="false">
      <c r="A29" s="10" t="s">
        <v>29</v>
      </c>
      <c r="B29" s="11" t="s">
        <v>30</v>
      </c>
      <c r="C29" s="11" t="s">
        <v>31</v>
      </c>
      <c r="D29" s="12" t="s">
        <v>32</v>
      </c>
    </row>
    <row r="30" customFormat="false" ht="15" hidden="false" customHeight="false" outlineLevel="0" collapsed="false">
      <c r="A30" s="18" t="str">
        <f aca="false">売上前提!A20&amp;"　"&amp;売上前提!B20</f>
        <v>ランチ　店内</v>
      </c>
      <c r="B30" s="9" t="n">
        <f aca="false">売上前提!K20</f>
        <v>78.89805</v>
      </c>
      <c r="C30" s="19" t="n">
        <f aca="false">売上前提!L20</f>
        <v>0.18407207054614</v>
      </c>
      <c r="D30" s="20" t="n">
        <f aca="false">売上前提!I20</f>
        <v>54.3375</v>
      </c>
    </row>
    <row r="31" customFormat="false" ht="15" hidden="false" customHeight="false" outlineLevel="0" collapsed="false">
      <c r="A31" s="18" t="str">
        <f aca="false">売上前提!A21&amp;"　"&amp;売上前提!B21</f>
        <v>ランチ　テラス</v>
      </c>
      <c r="B31" s="9" t="n">
        <f aca="false">売上前提!K21</f>
        <v>37.752</v>
      </c>
      <c r="C31" s="19" t="n">
        <f aca="false">売上前提!L21</f>
        <v>0.0880768131437706</v>
      </c>
      <c r="D31" s="20" t="n">
        <f aca="false">売上前提!I21</f>
        <v>26</v>
      </c>
    </row>
    <row r="32" customFormat="false" ht="15" hidden="false" customHeight="false" outlineLevel="0" collapsed="false">
      <c r="A32" s="18" t="str">
        <f aca="false">売上前提!A22&amp;"　"&amp;売上前提!B22</f>
        <v>カフェ（アイドルタイム）　店内</v>
      </c>
      <c r="B32" s="9" t="n">
        <f aca="false">売上前提!K22</f>
        <v>21.4396875</v>
      </c>
      <c r="C32" s="19" t="n">
        <f aca="false">売上前提!L22</f>
        <v>0.050019584387538</v>
      </c>
      <c r="D32" s="20" t="n">
        <f aca="false">売上前提!I22</f>
        <v>23.625</v>
      </c>
    </row>
    <row r="33" customFormat="false" ht="15" hidden="false" customHeight="false" outlineLevel="0" collapsed="false">
      <c r="A33" s="18" t="str">
        <f aca="false">売上前提!A23&amp;"　"&amp;売上前提!B23</f>
        <v>カフェ（アイドルタイム）　テラス</v>
      </c>
      <c r="B33" s="9" t="n">
        <f aca="false">売上前提!K23</f>
        <v>11.7975</v>
      </c>
      <c r="C33" s="19" t="n">
        <f aca="false">売上前提!L23</f>
        <v>0.0275240041074283</v>
      </c>
      <c r="D33" s="20" t="n">
        <f aca="false">売上前提!I23</f>
        <v>13</v>
      </c>
    </row>
    <row r="34" customFormat="false" ht="15" hidden="false" customHeight="false" outlineLevel="0" collapsed="false">
      <c r="A34" s="18" t="str">
        <f aca="false">売上前提!A24&amp;"　"&amp;売上前提!B24</f>
        <v>ディナー　店内</v>
      </c>
      <c r="B34" s="9" t="n">
        <f aca="false">売上前提!K24</f>
        <v>231.548625</v>
      </c>
      <c r="C34" s="19" t="n">
        <f aca="false">売上前提!L24</f>
        <v>0.54021151138541</v>
      </c>
      <c r="D34" s="20" t="n">
        <f aca="false">売上前提!I24</f>
        <v>42.525</v>
      </c>
    </row>
    <row r="35" customFormat="false" ht="15" hidden="false" customHeight="false" outlineLevel="0" collapsed="false">
      <c r="A35" s="18" t="str">
        <f aca="false">売上前提!A25&amp;"　"&amp;売上前提!B25</f>
        <v>ディナー　テラス</v>
      </c>
      <c r="B35" s="9" t="n">
        <f aca="false">売上前提!K25</f>
        <v>47.19</v>
      </c>
      <c r="C35" s="19" t="n">
        <f aca="false">売上前提!L25</f>
        <v>0.110096016429713</v>
      </c>
      <c r="D35" s="20" t="n">
        <f aca="false">売上前提!I25</f>
        <v>13</v>
      </c>
    </row>
    <row r="36" customFormat="false" ht="15" hidden="false" customHeight="false" outlineLevel="0" collapsed="false">
      <c r="A36" s="16" t="s">
        <v>33</v>
      </c>
      <c r="B36" s="15" t="n">
        <f aca="false">売上前提!K26</f>
        <v>428.6258625</v>
      </c>
      <c r="C36" s="21" t="n">
        <f aca="false">売上前提!L26</f>
        <v>1</v>
      </c>
      <c r="D36" s="22" t="n">
        <f aca="false">売上前提!I26</f>
        <v>172.4875</v>
      </c>
    </row>
    <row r="38" customFormat="false" ht="15" hidden="false" customHeight="false" outlineLevel="0" collapsed="false">
      <c r="A38" s="3" t="s">
        <v>34</v>
      </c>
      <c r="B38" s="3"/>
      <c r="C38" s="3"/>
      <c r="D38" s="3"/>
      <c r="E38" s="3"/>
    </row>
    <row r="39" customFormat="false" ht="15" hidden="false" customHeight="false" outlineLevel="0" collapsed="false">
      <c r="A39" s="4" t="s">
        <v>35</v>
      </c>
      <c r="B39" s="9" t="n">
        <f aca="false">経費前提!$B$35</f>
        <v>297.25</v>
      </c>
    </row>
    <row r="40" customFormat="false" ht="15" hidden="false" customHeight="false" outlineLevel="0" collapsed="false">
      <c r="A40" s="6" t="s">
        <v>36</v>
      </c>
      <c r="B40" s="9" t="n">
        <f aca="false">経費前提!$B$36</f>
        <v>208.25</v>
      </c>
    </row>
    <row r="41" customFormat="false" ht="15" hidden="false" customHeight="false" outlineLevel="0" collapsed="false">
      <c r="A41" s="6" t="s">
        <v>37</v>
      </c>
      <c r="B41" s="9" t="n">
        <f aca="false">経費前提!$B$34</f>
        <v>50</v>
      </c>
    </row>
    <row r="42" customFormat="false" ht="15" hidden="false" customHeight="false" outlineLevel="0" collapsed="false">
      <c r="A42" s="4" t="s">
        <v>38</v>
      </c>
      <c r="B42" s="9" t="n">
        <f aca="false">経費前提!$B$44</f>
        <v>158.35</v>
      </c>
    </row>
    <row r="43" customFormat="false" ht="15" hidden="false" customHeight="false" outlineLevel="0" collapsed="false">
      <c r="A43" s="4" t="s">
        <v>39</v>
      </c>
      <c r="B43" s="9" t="n">
        <f aca="false">投資・CF!B29</f>
        <v>48.680886275</v>
      </c>
    </row>
    <row r="44" customFormat="false" ht="15" hidden="false" customHeight="false" outlineLevel="0" collapsed="false">
      <c r="A44" s="4" t="s">
        <v>40</v>
      </c>
      <c r="B44" s="23" t="str">
        <f aca="false">投資・CF!B27</f>
        <v>4年目</v>
      </c>
    </row>
    <row r="45" customFormat="false" ht="15" hidden="false" customHeight="false" outlineLevel="0" collapsed="false">
      <c r="A45" s="4" t="s">
        <v>41</v>
      </c>
      <c r="B45" s="24" t="n">
        <f aca="false">投資・CF!B28</f>
        <v>3.76243899683398</v>
      </c>
    </row>
    <row r="47" customFormat="false" ht="15" hidden="false" customHeight="false" outlineLevel="0" collapsed="false">
      <c r="A47" s="25" t="str">
        <f aca="false">"→ 開業"&amp;投資・CF!B27&amp;"に累計FCFが黒字転換（投資回収 約"&amp;TEXT(投資・CF!B28,"0.0")&amp;"年）。"</f>
        <v>→ 開業4年目に累計FCFが黒字転換（投資回収 約3.8年）。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2" min="3" style="0" width="12"/>
    <col collapsed="false" customWidth="true" hidden="false" outlineLevel="0" max="13" min="13" style="0" width="3"/>
    <col collapsed="false" customWidth="true" hidden="false" outlineLevel="0" max="14" min="14" style="0" width="48"/>
  </cols>
  <sheetData>
    <row r="1" customFormat="false" ht="15" hidden="false" customHeight="false" outlineLevel="0" collapsed="false">
      <c r="A1" s="26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27" t="s">
        <v>13</v>
      </c>
      <c r="B5" s="28" t="n">
        <v>363</v>
      </c>
      <c r="N5" s="2" t="s">
        <v>45</v>
      </c>
    </row>
    <row r="6" customFormat="false" ht="15" hidden="false" customHeight="false" outlineLevel="0" collapsed="false">
      <c r="A6" s="27" t="s">
        <v>46</v>
      </c>
      <c r="B6" s="29" t="n">
        <v>0.9</v>
      </c>
      <c r="N6" s="2" t="s">
        <v>47</v>
      </c>
    </row>
    <row r="7" customFormat="false" ht="15" hidden="false" customHeight="false" outlineLevel="0" collapsed="false">
      <c r="A7" s="27" t="s">
        <v>48</v>
      </c>
      <c r="B7" s="29" t="n">
        <v>0.98</v>
      </c>
      <c r="N7" s="2"/>
    </row>
    <row r="8" customFormat="false" ht="15" hidden="false" customHeight="false" outlineLevel="0" collapsed="false">
      <c r="A8" s="27" t="s">
        <v>49</v>
      </c>
      <c r="B8" s="29" t="n">
        <v>1</v>
      </c>
      <c r="N8" s="2" t="s">
        <v>50</v>
      </c>
    </row>
    <row r="10" customFormat="false" ht="15" hidden="false" customHeight="false" outlineLevel="0" collapsed="false">
      <c r="A10" s="3" t="s">
        <v>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27" t="s">
        <v>52</v>
      </c>
      <c r="B11" s="30" t="n">
        <v>14</v>
      </c>
      <c r="N11" s="31" t="s">
        <v>53</v>
      </c>
    </row>
    <row r="12" customFormat="false" ht="15" hidden="false" customHeight="false" outlineLevel="0" collapsed="false">
      <c r="A12" s="27" t="s">
        <v>54</v>
      </c>
      <c r="B12" s="30" t="n">
        <v>24</v>
      </c>
    </row>
    <row r="13" customFormat="false" ht="15" hidden="false" customHeight="false" outlineLevel="0" collapsed="false">
      <c r="A13" s="27" t="s">
        <v>55</v>
      </c>
      <c r="B13" s="30" t="n">
        <v>25</v>
      </c>
    </row>
    <row r="14" customFormat="false" ht="15" hidden="false" customHeight="false" outlineLevel="0" collapsed="false">
      <c r="A14" s="32" t="s">
        <v>56</v>
      </c>
      <c r="B14" s="33" t="n">
        <f aca="false">SUM(B11:B13)</f>
        <v>63</v>
      </c>
    </row>
    <row r="15" customFormat="false" ht="15" hidden="false" customHeight="false" outlineLevel="0" collapsed="false">
      <c r="A15" s="27" t="s">
        <v>57</v>
      </c>
      <c r="B15" s="30" t="n">
        <v>52</v>
      </c>
    </row>
    <row r="16" customFormat="false" ht="15" hidden="false" customHeight="false" outlineLevel="0" collapsed="false">
      <c r="A16" s="32" t="s">
        <v>33</v>
      </c>
      <c r="B16" s="34" t="n">
        <f aca="false">B14+B15</f>
        <v>115</v>
      </c>
    </row>
    <row r="18" customFormat="false" ht="15" hidden="false" customHeight="false" outlineLevel="0" collapsed="false">
      <c r="A18" s="3" t="s">
        <v>58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33.75" hidden="false" customHeight="true" outlineLevel="0" collapsed="false">
      <c r="A19" s="35" t="s">
        <v>59</v>
      </c>
      <c r="B19" s="35" t="s">
        <v>60</v>
      </c>
      <c r="C19" s="35" t="s">
        <v>61</v>
      </c>
      <c r="D19" s="35" t="s">
        <v>62</v>
      </c>
      <c r="E19" s="35" t="s">
        <v>63</v>
      </c>
      <c r="F19" s="35" t="s">
        <v>64</v>
      </c>
      <c r="G19" s="35" t="s">
        <v>65</v>
      </c>
      <c r="H19" s="35" t="s">
        <v>66</v>
      </c>
      <c r="I19" s="36" t="s">
        <v>67</v>
      </c>
      <c r="J19" s="35" t="s">
        <v>68</v>
      </c>
      <c r="K19" s="35" t="s">
        <v>69</v>
      </c>
      <c r="L19" s="35" t="s">
        <v>31</v>
      </c>
    </row>
    <row r="20" customFormat="false" ht="15" hidden="false" customHeight="false" outlineLevel="0" collapsed="false">
      <c r="A20" s="18" t="s">
        <v>70</v>
      </c>
      <c r="B20" s="37" t="s">
        <v>71</v>
      </c>
      <c r="C20" s="5" t="n">
        <f aca="false">$B$14</f>
        <v>63</v>
      </c>
      <c r="D20" s="29" t="n">
        <v>0.75</v>
      </c>
      <c r="E20" s="38" t="n">
        <v>1.15</v>
      </c>
      <c r="F20" s="30" t="n">
        <v>3000</v>
      </c>
      <c r="G20" s="30" t="n">
        <v>1000</v>
      </c>
      <c r="H20" s="39" t="n">
        <f aca="false">F20+G20</f>
        <v>4000</v>
      </c>
      <c r="I20" s="20" t="n">
        <f aca="false">C20*D20*E20</f>
        <v>54.3375</v>
      </c>
      <c r="J20" s="40" t="n">
        <f aca="false">I20*H20</f>
        <v>217350</v>
      </c>
      <c r="K20" s="41" t="n">
        <f aca="false">J20*$B$5/1000000</f>
        <v>78.89805</v>
      </c>
      <c r="L20" s="19" t="n">
        <f aca="false">IF($K$26=0,0,K20/$K$26)</f>
        <v>0.18407207054614</v>
      </c>
      <c r="N20" s="2" t="s">
        <v>72</v>
      </c>
    </row>
    <row r="21" customFormat="false" ht="15" hidden="false" customHeight="false" outlineLevel="0" collapsed="false">
      <c r="A21" s="18" t="s">
        <v>70</v>
      </c>
      <c r="B21" s="37" t="s">
        <v>57</v>
      </c>
      <c r="C21" s="5" t="n">
        <f aca="false">$B$15</f>
        <v>52</v>
      </c>
      <c r="D21" s="29" t="n">
        <v>0.5</v>
      </c>
      <c r="E21" s="38" t="n">
        <v>1</v>
      </c>
      <c r="F21" s="30" t="n">
        <v>3000</v>
      </c>
      <c r="G21" s="30" t="n">
        <v>1000</v>
      </c>
      <c r="H21" s="39" t="n">
        <f aca="false">F21+G21</f>
        <v>4000</v>
      </c>
      <c r="I21" s="20" t="n">
        <f aca="false">C21*D21*E21</f>
        <v>26</v>
      </c>
      <c r="J21" s="40" t="n">
        <f aca="false">I21*H21</f>
        <v>104000</v>
      </c>
      <c r="K21" s="41" t="n">
        <f aca="false">J21*$B$5/1000000</f>
        <v>37.752</v>
      </c>
      <c r="L21" s="19" t="n">
        <f aca="false">IF($K$26=0,0,K21/$K$26)</f>
        <v>0.0880768131437706</v>
      </c>
    </row>
    <row r="22" customFormat="false" ht="15" hidden="false" customHeight="false" outlineLevel="0" collapsed="false">
      <c r="A22" s="18" t="s">
        <v>73</v>
      </c>
      <c r="B22" s="37" t="s">
        <v>71</v>
      </c>
      <c r="C22" s="5" t="n">
        <f aca="false">$B$14</f>
        <v>63</v>
      </c>
      <c r="D22" s="29" t="n">
        <v>0.75</v>
      </c>
      <c r="E22" s="38" t="n">
        <v>0.5</v>
      </c>
      <c r="F22" s="30" t="n">
        <v>1500</v>
      </c>
      <c r="G22" s="30" t="n">
        <v>1000</v>
      </c>
      <c r="H22" s="39" t="n">
        <f aca="false">F22+G22</f>
        <v>2500</v>
      </c>
      <c r="I22" s="20" t="n">
        <f aca="false">C22*D22*E22</f>
        <v>23.625</v>
      </c>
      <c r="J22" s="40" t="n">
        <f aca="false">I22*H22</f>
        <v>59062.5</v>
      </c>
      <c r="K22" s="41" t="n">
        <f aca="false">J22*$B$5/1000000</f>
        <v>21.4396875</v>
      </c>
      <c r="L22" s="19" t="n">
        <f aca="false">IF($K$26=0,0,K22/$K$26)</f>
        <v>0.050019584387538</v>
      </c>
      <c r="N22" s="2" t="s">
        <v>74</v>
      </c>
    </row>
    <row r="23" customFormat="false" ht="15" hidden="false" customHeight="false" outlineLevel="0" collapsed="false">
      <c r="A23" s="18" t="s">
        <v>73</v>
      </c>
      <c r="B23" s="37" t="s">
        <v>57</v>
      </c>
      <c r="C23" s="5" t="n">
        <f aca="false">$B$15</f>
        <v>52</v>
      </c>
      <c r="D23" s="29" t="n">
        <v>0.5</v>
      </c>
      <c r="E23" s="38" t="n">
        <v>0.5</v>
      </c>
      <c r="F23" s="30" t="n">
        <v>1500</v>
      </c>
      <c r="G23" s="30" t="n">
        <v>1000</v>
      </c>
      <c r="H23" s="39" t="n">
        <f aca="false">F23+G23</f>
        <v>2500</v>
      </c>
      <c r="I23" s="20" t="n">
        <f aca="false">C23*D23*E23</f>
        <v>13</v>
      </c>
      <c r="J23" s="40" t="n">
        <f aca="false">I23*H23</f>
        <v>32500</v>
      </c>
      <c r="K23" s="41" t="n">
        <f aca="false">J23*$B$5/1000000</f>
        <v>11.7975</v>
      </c>
      <c r="L23" s="19" t="n">
        <f aca="false">IF($K$26=0,0,K23/$K$26)</f>
        <v>0.0275240041074283</v>
      </c>
    </row>
    <row r="24" customFormat="false" ht="15" hidden="false" customHeight="false" outlineLevel="0" collapsed="false">
      <c r="A24" s="18" t="s">
        <v>75</v>
      </c>
      <c r="B24" s="37" t="s">
        <v>71</v>
      </c>
      <c r="C24" s="5" t="n">
        <f aca="false">$B$14</f>
        <v>63</v>
      </c>
      <c r="D24" s="29" t="n">
        <v>0.75</v>
      </c>
      <c r="E24" s="38" t="n">
        <v>0.9</v>
      </c>
      <c r="F24" s="30" t="n">
        <v>9000</v>
      </c>
      <c r="G24" s="30" t="n">
        <v>6000</v>
      </c>
      <c r="H24" s="39" t="n">
        <f aca="false">F24+G24</f>
        <v>15000</v>
      </c>
      <c r="I24" s="20" t="n">
        <f aca="false">C24*D24*E24</f>
        <v>42.525</v>
      </c>
      <c r="J24" s="40" t="n">
        <f aca="false">I24*H24</f>
        <v>637875</v>
      </c>
      <c r="K24" s="41" t="n">
        <f aca="false">J24*$B$5/1000000</f>
        <v>231.548625</v>
      </c>
      <c r="L24" s="19" t="n">
        <f aca="false">IF($K$26=0,0,K24/$K$26)</f>
        <v>0.54021151138541</v>
      </c>
    </row>
    <row r="25" customFormat="false" ht="15" hidden="false" customHeight="false" outlineLevel="0" collapsed="false">
      <c r="A25" s="18" t="s">
        <v>75</v>
      </c>
      <c r="B25" s="37" t="s">
        <v>57</v>
      </c>
      <c r="C25" s="5" t="n">
        <f aca="false">$B$15</f>
        <v>52</v>
      </c>
      <c r="D25" s="29" t="n">
        <v>0.5</v>
      </c>
      <c r="E25" s="38" t="n">
        <v>0.5</v>
      </c>
      <c r="F25" s="30" t="n">
        <v>5000</v>
      </c>
      <c r="G25" s="30" t="n">
        <v>5000</v>
      </c>
      <c r="H25" s="39" t="n">
        <f aca="false">F25+G25</f>
        <v>10000</v>
      </c>
      <c r="I25" s="20" t="n">
        <f aca="false">C25*D25*E25</f>
        <v>13</v>
      </c>
      <c r="J25" s="40" t="n">
        <f aca="false">I25*H25</f>
        <v>130000</v>
      </c>
      <c r="K25" s="41" t="n">
        <f aca="false">J25*$B$5/1000000</f>
        <v>47.19</v>
      </c>
      <c r="L25" s="19" t="n">
        <f aca="false">IF($K$26=0,0,K25/$K$26)</f>
        <v>0.110096016429713</v>
      </c>
      <c r="N25" s="2" t="s">
        <v>76</v>
      </c>
    </row>
    <row r="26" customFormat="false" ht="15" hidden="false" customHeight="false" outlineLevel="0" collapsed="false">
      <c r="A26" s="16" t="s">
        <v>33</v>
      </c>
      <c r="B26" s="42"/>
      <c r="C26" s="42"/>
      <c r="D26" s="42"/>
      <c r="E26" s="42"/>
      <c r="F26" s="42"/>
      <c r="G26" s="42"/>
      <c r="H26" s="42"/>
      <c r="I26" s="22" t="n">
        <f aca="false">SUM(I20:I25)</f>
        <v>172.4875</v>
      </c>
      <c r="J26" s="43" t="n">
        <f aca="false">SUM(J20:J25)</f>
        <v>1180787.5</v>
      </c>
      <c r="K26" s="44" t="n">
        <f aca="false">SUM(K20:K25)</f>
        <v>428.6258625</v>
      </c>
      <c r="L26" s="21" t="n">
        <f aca="false">SUM(L20:L25)</f>
        <v>1</v>
      </c>
    </row>
    <row r="28" customFormat="false" ht="15" hidden="false" customHeight="false" outlineLevel="0" collapsed="false">
      <c r="A28" s="3" t="s">
        <v>77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27" t="s">
        <v>78</v>
      </c>
      <c r="B29" s="20" t="n">
        <f aca="false">SUMPRODUCT(I20:I25,F20:F25)*$B$5/1000000</f>
        <v>269.954025</v>
      </c>
    </row>
    <row r="30" customFormat="false" ht="15" hidden="false" customHeight="false" outlineLevel="0" collapsed="false">
      <c r="A30" s="27" t="s">
        <v>79</v>
      </c>
      <c r="B30" s="20" t="n">
        <f aca="false">SUMPRODUCT(I20:I25,G20:G25)*$B$5/1000000</f>
        <v>158.6718375</v>
      </c>
    </row>
    <row r="31" customFormat="false" ht="15" hidden="false" customHeight="false" outlineLevel="0" collapsed="false">
      <c r="A31" s="32" t="s">
        <v>33</v>
      </c>
      <c r="B31" s="22" t="n">
        <f aca="false">B29+B30</f>
        <v>428.6258625</v>
      </c>
    </row>
    <row r="32" customFormat="false" ht="15" hidden="false" customHeight="false" outlineLevel="0" collapsed="false">
      <c r="A32" s="27" t="s">
        <v>80</v>
      </c>
      <c r="B32" s="19" t="n">
        <f aca="false">IF($B$31=0,0,B29/$B$31)</f>
        <v>0.629812730910515</v>
      </c>
    </row>
    <row r="33" customFormat="false" ht="15" hidden="false" customHeight="false" outlineLevel="0" collapsed="false">
      <c r="A33" s="27" t="s">
        <v>81</v>
      </c>
      <c r="B33" s="19" t="n">
        <f aca="false">IF($B$31=0,0,B30/$B$31)</f>
        <v>0.370187269089485</v>
      </c>
    </row>
    <row r="35" customFormat="false" ht="15" hidden="false" customHeight="false" outlineLevel="0" collapsed="false">
      <c r="A35" s="3" t="s">
        <v>82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27" t="s">
        <v>83</v>
      </c>
      <c r="B36" s="39" t="n">
        <f aca="false">J26</f>
        <v>1180787.5</v>
      </c>
      <c r="N36" s="2"/>
    </row>
    <row r="37" customFormat="false" ht="15" hidden="false" customHeight="false" outlineLevel="0" collapsed="false">
      <c r="A37" s="27" t="s">
        <v>84</v>
      </c>
      <c r="B37" s="20" t="n">
        <f aca="false">K26/12</f>
        <v>35.718821875</v>
      </c>
      <c r="N37" s="2"/>
    </row>
    <row r="38" customFormat="false" ht="15" hidden="false" customHeight="false" outlineLevel="0" collapsed="false">
      <c r="A38" s="27" t="s">
        <v>85</v>
      </c>
      <c r="B38" s="20" t="n">
        <f aca="false">K26</f>
        <v>428.6258625</v>
      </c>
      <c r="N38" s="2" t="s">
        <v>86</v>
      </c>
    </row>
    <row r="39" customFormat="false" ht="15" hidden="false" customHeight="false" outlineLevel="0" collapsed="false">
      <c r="A39" s="45" t="s">
        <v>87</v>
      </c>
      <c r="B39" s="20" t="n">
        <f aca="false">I26</f>
        <v>172.4875</v>
      </c>
      <c r="N39" s="2"/>
    </row>
    <row r="40" customFormat="false" ht="15" hidden="false" customHeight="false" outlineLevel="0" collapsed="false">
      <c r="A40" s="27" t="s">
        <v>88</v>
      </c>
      <c r="B40" s="39" t="n">
        <f aca="false">IF(I26=0,0,J26/I26)</f>
        <v>6845.64098847743</v>
      </c>
      <c r="N40" s="2"/>
    </row>
    <row r="41" customFormat="false" ht="15" hidden="false" customHeight="false" outlineLevel="0" collapsed="false">
      <c r="A41" s="27" t="s">
        <v>89</v>
      </c>
      <c r="B41" s="46" t="n">
        <f aca="false">IF($B$16=0,0,I26/$B$16)</f>
        <v>1.49989130434783</v>
      </c>
      <c r="N41" s="2" t="s">
        <v>90</v>
      </c>
    </row>
    <row r="42" customFormat="false" ht="15" hidden="false" customHeight="false" outlineLevel="0" collapsed="false">
      <c r="A42" s="27" t="s">
        <v>91</v>
      </c>
      <c r="B42" s="28" t="n">
        <v>55.5</v>
      </c>
      <c r="N42" s="31" t="s">
        <v>92</v>
      </c>
    </row>
    <row r="43" customFormat="false" ht="15" hidden="false" customHeight="false" outlineLevel="0" collapsed="false">
      <c r="A43" s="27" t="s">
        <v>93</v>
      </c>
      <c r="B43" s="20" t="n">
        <f aca="false">IF(B42=0,0,K26/B42)</f>
        <v>7.72298851351351</v>
      </c>
      <c r="N43" s="2"/>
    </row>
    <row r="44" customFormat="false" ht="15" hidden="false" customHeight="false" outlineLevel="0" collapsed="false">
      <c r="A44" s="45" t="s">
        <v>94</v>
      </c>
      <c r="B44" s="20" t="n">
        <f aca="false">IF($B$16=0,0,K26/$B$16)</f>
        <v>3.72718141304348</v>
      </c>
      <c r="N44" s="2" t="s">
        <v>95</v>
      </c>
    </row>
    <row r="46" customFormat="false" ht="15" hidden="false" customHeight="false" outlineLevel="0" collapsed="false">
      <c r="A46" s="3" t="s">
        <v>96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false" outlineLevel="0" collapsed="false">
      <c r="A47" s="10" t="s">
        <v>15</v>
      </c>
      <c r="B47" s="11" t="s">
        <v>16</v>
      </c>
      <c r="C47" s="12" t="s">
        <v>17</v>
      </c>
      <c r="D47" s="12" t="s">
        <v>18</v>
      </c>
      <c r="E47" s="12" t="s">
        <v>19</v>
      </c>
    </row>
    <row r="48" customFormat="false" ht="15" hidden="false" customHeight="false" outlineLevel="0" collapsed="false">
      <c r="A48" s="27" t="s">
        <v>97</v>
      </c>
      <c r="B48" s="19" t="n">
        <f aca="false">$B$8</f>
        <v>1</v>
      </c>
      <c r="C48" s="19" t="n">
        <f aca="false">$B$6</f>
        <v>0.9</v>
      </c>
      <c r="D48" s="19" t="n">
        <f aca="false">$B$7</f>
        <v>0.98</v>
      </c>
      <c r="E48" s="19" t="n">
        <f aca="false">$B$8</f>
        <v>1</v>
      </c>
    </row>
    <row r="49" customFormat="false" ht="15" hidden="false" customHeight="false" outlineLevel="0" collapsed="false">
      <c r="A49" s="32" t="s">
        <v>98</v>
      </c>
      <c r="B49" s="44" t="n">
        <f aca="false">$K$26*B48</f>
        <v>428.6258625</v>
      </c>
      <c r="C49" s="44" t="n">
        <f aca="false">$K$26*C48</f>
        <v>385.76327625</v>
      </c>
      <c r="D49" s="44" t="n">
        <f aca="false">$K$26*D48</f>
        <v>420.05334525</v>
      </c>
      <c r="E49" s="44" t="n">
        <f aca="false">$K$26*E48</f>
        <v>428.6258625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3"/>
    <col collapsed="false" customWidth="true" hidden="false" outlineLevel="0" max="6" min="6" style="0" width="58"/>
  </cols>
  <sheetData>
    <row r="1" customFormat="false" ht="15" hidden="false" customHeight="false" outlineLevel="0" collapsed="false">
      <c r="A1" s="26" t="s">
        <v>99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3" t="s">
        <v>101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27" t="s">
        <v>102</v>
      </c>
      <c r="B5" s="30" t="n">
        <v>2</v>
      </c>
      <c r="F5" s="31" t="s">
        <v>103</v>
      </c>
    </row>
    <row r="7" customFormat="false" ht="15" hidden="false" customHeight="false" outlineLevel="0" collapsed="false">
      <c r="A7" s="3" t="s">
        <v>104</v>
      </c>
      <c r="B7" s="3"/>
      <c r="C7" s="3"/>
      <c r="D7" s="3"/>
      <c r="E7" s="3"/>
      <c r="F7" s="3"/>
    </row>
    <row r="8" customFormat="false" ht="31.5" hidden="false" customHeight="true" outlineLevel="0" collapsed="false">
      <c r="A8" s="35" t="s">
        <v>105</v>
      </c>
      <c r="B8" s="35" t="s">
        <v>106</v>
      </c>
      <c r="C8" s="36" t="s">
        <v>107</v>
      </c>
      <c r="D8" s="36" t="s">
        <v>108</v>
      </c>
    </row>
    <row r="9" customFormat="false" ht="15" hidden="false" customHeight="false" outlineLevel="0" collapsed="false">
      <c r="A9" s="4" t="s">
        <v>109</v>
      </c>
      <c r="B9" s="29" t="n">
        <v>0.295</v>
      </c>
      <c r="C9" s="29" t="n">
        <v>0.29</v>
      </c>
      <c r="D9" s="29" t="n">
        <v>0.285</v>
      </c>
      <c r="F9" s="2" t="s">
        <v>110</v>
      </c>
    </row>
    <row r="10" customFormat="false" ht="15" hidden="false" customHeight="false" outlineLevel="0" collapsed="false">
      <c r="A10" s="6" t="s">
        <v>111</v>
      </c>
      <c r="B10" s="47" t="n">
        <v>0.3</v>
      </c>
      <c r="C10" s="47" t="n">
        <v>0.3</v>
      </c>
      <c r="D10" s="47" t="n">
        <v>0.3</v>
      </c>
      <c r="F10" s="31" t="s">
        <v>112</v>
      </c>
    </row>
    <row r="11" customFormat="false" ht="15" hidden="false" customHeight="false" outlineLevel="0" collapsed="false">
      <c r="A11" s="6" t="s">
        <v>113</v>
      </c>
      <c r="B11" s="47" t="n">
        <v>0.3</v>
      </c>
      <c r="C11" s="47" t="n">
        <v>0.3</v>
      </c>
      <c r="D11" s="47" t="n">
        <v>0.3</v>
      </c>
      <c r="F11" s="2" t="s">
        <v>114</v>
      </c>
    </row>
    <row r="12" customFormat="false" ht="15" hidden="false" customHeight="false" outlineLevel="0" collapsed="false">
      <c r="A12" s="4" t="s">
        <v>115</v>
      </c>
      <c r="B12" s="29" t="n">
        <v>0.345</v>
      </c>
      <c r="C12" s="29" t="n">
        <v>0.335</v>
      </c>
      <c r="D12" s="29" t="n">
        <v>0.325</v>
      </c>
      <c r="F12" s="2" t="s">
        <v>116</v>
      </c>
    </row>
    <row r="13" customFormat="false" ht="15" hidden="false" customHeight="false" outlineLevel="0" collapsed="false">
      <c r="A13" s="4" t="s">
        <v>117</v>
      </c>
      <c r="B13" s="29" t="n">
        <v>0.024</v>
      </c>
      <c r="C13" s="29" t="n">
        <v>0.022</v>
      </c>
      <c r="D13" s="29" t="n">
        <v>0.02</v>
      </c>
      <c r="F13" s="2" t="s">
        <v>118</v>
      </c>
    </row>
    <row r="14" customFormat="false" ht="15" hidden="false" customHeight="false" outlineLevel="0" collapsed="false">
      <c r="A14" s="4" t="s">
        <v>119</v>
      </c>
      <c r="B14" s="29" t="n">
        <v>0.014</v>
      </c>
      <c r="C14" s="29" t="n">
        <v>0.014</v>
      </c>
      <c r="D14" s="29" t="n">
        <v>0.014</v>
      </c>
      <c r="F14" s="2" t="s">
        <v>120</v>
      </c>
    </row>
    <row r="15" customFormat="false" ht="15" hidden="false" customHeight="false" outlineLevel="0" collapsed="false">
      <c r="A15" s="4" t="s">
        <v>121</v>
      </c>
      <c r="B15" s="29" t="n">
        <v>0.005</v>
      </c>
      <c r="C15" s="29" t="n">
        <v>0.005</v>
      </c>
      <c r="D15" s="29" t="n">
        <v>0.005</v>
      </c>
      <c r="F15" s="2" t="s">
        <v>120</v>
      </c>
    </row>
    <row r="16" customFormat="false" ht="15" hidden="false" customHeight="false" outlineLevel="0" collapsed="false">
      <c r="A16" s="4" t="s">
        <v>122</v>
      </c>
      <c r="B16" s="29" t="n">
        <v>0.04</v>
      </c>
      <c r="C16" s="29" t="n">
        <v>0.038</v>
      </c>
      <c r="D16" s="29" t="n">
        <v>0.036</v>
      </c>
      <c r="F16" s="2" t="s">
        <v>123</v>
      </c>
    </row>
    <row r="17" customFormat="false" ht="15" hidden="false" customHeight="false" outlineLevel="0" collapsed="false">
      <c r="A17" s="4" t="s">
        <v>124</v>
      </c>
      <c r="B17" s="29" t="n">
        <v>0.04</v>
      </c>
      <c r="C17" s="29" t="n">
        <v>0.04</v>
      </c>
      <c r="D17" s="29" t="n">
        <v>0.04</v>
      </c>
      <c r="F17" s="2" t="s">
        <v>125</v>
      </c>
    </row>
    <row r="18" customFormat="false" ht="15" hidden="false" customHeight="false" outlineLevel="0" collapsed="false">
      <c r="A18" s="4" t="s">
        <v>126</v>
      </c>
      <c r="B18" s="29" t="n">
        <v>0.007</v>
      </c>
      <c r="C18" s="29" t="n">
        <v>0.007</v>
      </c>
      <c r="D18" s="29" t="n">
        <v>0.007</v>
      </c>
      <c r="F18" s="2" t="s">
        <v>120</v>
      </c>
    </row>
    <row r="19" customFormat="false" ht="15" hidden="false" customHeight="false" outlineLevel="0" collapsed="false">
      <c r="A19" s="4" t="s">
        <v>127</v>
      </c>
      <c r="B19" s="29" t="n">
        <v>0.025</v>
      </c>
      <c r="C19" s="29" t="n">
        <v>0.025</v>
      </c>
      <c r="D19" s="29" t="n">
        <v>0.025</v>
      </c>
      <c r="F19" s="2" t="s">
        <v>120</v>
      </c>
    </row>
    <row r="20" customFormat="false" ht="15" hidden="false" customHeight="false" outlineLevel="0" collapsed="false">
      <c r="A20" s="16" t="s">
        <v>128</v>
      </c>
      <c r="B20" s="21" t="n">
        <f aca="false">IF($B$5=1,B9,売上前提!$B$32*B10+売上前提!$B$33*B11)+SUM(B12:B19)</f>
        <v>0.8</v>
      </c>
      <c r="C20" s="21" t="n">
        <f aca="false">IF($B$5=1,C9,売上前提!$B$32*C10+売上前提!$B$33*C11)+SUM(C12:C19)</f>
        <v>0.786</v>
      </c>
      <c r="D20" s="21" t="n">
        <f aca="false">IF($B$5=1,D9,売上前提!$B$32*D10+売上前提!$B$33*D11)+SUM(D12:D19)</f>
        <v>0.772</v>
      </c>
      <c r="F20" s="48" t="s">
        <v>129</v>
      </c>
    </row>
    <row r="22" customFormat="false" ht="15" hidden="false" customHeight="false" outlineLevel="0" collapsed="false">
      <c r="A22" s="3" t="s">
        <v>130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27" t="s">
        <v>131</v>
      </c>
      <c r="B23" s="28" t="n">
        <v>2.22</v>
      </c>
      <c r="F23" s="2" t="s">
        <v>132</v>
      </c>
    </row>
    <row r="24" customFormat="false" ht="15" hidden="false" customHeight="false" outlineLevel="0" collapsed="false">
      <c r="A24" s="27" t="s">
        <v>133</v>
      </c>
      <c r="B24" s="20" t="n">
        <f aca="false">B23*12</f>
        <v>26.64</v>
      </c>
      <c r="F24" s="2" t="s">
        <v>134</v>
      </c>
    </row>
    <row r="25" customFormat="false" ht="15" hidden="false" customHeight="false" outlineLevel="0" collapsed="false">
      <c r="A25" s="27" t="s">
        <v>135</v>
      </c>
      <c r="B25" s="29" t="n">
        <v>0.07</v>
      </c>
      <c r="F25" s="2" t="s">
        <v>136</v>
      </c>
    </row>
    <row r="26" customFormat="false" ht="15" hidden="false" customHeight="false" outlineLevel="0" collapsed="false">
      <c r="A26" s="27" t="s">
        <v>137</v>
      </c>
      <c r="B26" s="28" t="n">
        <v>331.4</v>
      </c>
      <c r="F26" s="2" t="s">
        <v>138</v>
      </c>
    </row>
    <row r="27" customFormat="false" ht="15" hidden="false" customHeight="false" outlineLevel="0" collapsed="false">
      <c r="A27" s="27" t="s">
        <v>139</v>
      </c>
      <c r="B27" s="30" t="n">
        <v>26</v>
      </c>
      <c r="F27" s="2" t="s">
        <v>140</v>
      </c>
    </row>
    <row r="29" customFormat="false" ht="15" hidden="false" customHeight="false" outlineLevel="0" collapsed="false">
      <c r="A29" s="3" t="s">
        <v>141</v>
      </c>
      <c r="B29" s="3"/>
      <c r="C29" s="3"/>
      <c r="D29" s="3"/>
      <c r="E29" s="3"/>
      <c r="F29" s="3"/>
    </row>
    <row r="30" customFormat="false" ht="15" hidden="false" customHeight="false" outlineLevel="0" collapsed="false">
      <c r="A30" s="27" t="s">
        <v>142</v>
      </c>
      <c r="B30" s="28" t="n">
        <v>10</v>
      </c>
      <c r="F30" s="2" t="s">
        <v>143</v>
      </c>
    </row>
    <row r="31" customFormat="false" ht="15" hidden="false" customHeight="false" outlineLevel="0" collapsed="false">
      <c r="A31" s="27" t="s">
        <v>144</v>
      </c>
      <c r="B31" s="28" t="n">
        <f aca="false">55.5*3.5</f>
        <v>194.25</v>
      </c>
      <c r="F31" s="31" t="s">
        <v>145</v>
      </c>
    </row>
    <row r="32" customFormat="false" ht="15" hidden="false" customHeight="false" outlineLevel="0" collapsed="false">
      <c r="A32" s="27" t="s">
        <v>146</v>
      </c>
      <c r="B32" s="28" t="n">
        <v>4</v>
      </c>
      <c r="F32" s="2"/>
    </row>
    <row r="33" customFormat="false" ht="15" hidden="false" customHeight="false" outlineLevel="0" collapsed="false">
      <c r="A33" s="27" t="s">
        <v>147</v>
      </c>
      <c r="B33" s="28" t="n">
        <v>39</v>
      </c>
      <c r="F33" s="2" t="s">
        <v>148</v>
      </c>
    </row>
    <row r="34" customFormat="false" ht="15" hidden="false" customHeight="false" outlineLevel="0" collapsed="false">
      <c r="A34" s="27" t="s">
        <v>149</v>
      </c>
      <c r="B34" s="28" t="n">
        <v>50</v>
      </c>
      <c r="F34" s="2" t="s">
        <v>150</v>
      </c>
    </row>
    <row r="35" customFormat="false" ht="15" hidden="false" customHeight="false" outlineLevel="0" collapsed="false">
      <c r="A35" s="32" t="s">
        <v>151</v>
      </c>
      <c r="B35" s="44" t="n">
        <f aca="false">SUM(B30:B34)</f>
        <v>297.25</v>
      </c>
    </row>
    <row r="36" customFormat="false" ht="15" hidden="false" customHeight="false" outlineLevel="0" collapsed="false">
      <c r="A36" s="32" t="s">
        <v>152</v>
      </c>
      <c r="B36" s="22" t="n">
        <f aca="false">B35-B33-B34</f>
        <v>208.25</v>
      </c>
      <c r="F36" s="48" t="s">
        <v>153</v>
      </c>
    </row>
    <row r="37" customFormat="false" ht="15" hidden="false" customHeight="false" outlineLevel="0" collapsed="false">
      <c r="A37" s="27" t="s">
        <v>154</v>
      </c>
      <c r="B37" s="28" t="n">
        <v>10</v>
      </c>
    </row>
    <row r="38" customFormat="false" ht="15" hidden="false" customHeight="false" outlineLevel="0" collapsed="false">
      <c r="A38" s="32" t="s">
        <v>155</v>
      </c>
      <c r="B38" s="22" t="n">
        <f aca="false">B36/B37</f>
        <v>20.825</v>
      </c>
      <c r="F38" s="2" t="s">
        <v>156</v>
      </c>
    </row>
    <row r="40" customFormat="false" ht="15" hidden="false" customHeight="false" outlineLevel="0" collapsed="false">
      <c r="A40" s="3" t="s">
        <v>157</v>
      </c>
      <c r="B40" s="3"/>
      <c r="C40" s="3"/>
      <c r="D40" s="3"/>
      <c r="E40" s="3"/>
      <c r="F40" s="3"/>
    </row>
    <row r="41" customFormat="false" ht="15" hidden="false" customHeight="false" outlineLevel="0" collapsed="false">
      <c r="A41" s="27" t="s">
        <v>158</v>
      </c>
      <c r="B41" s="28" t="n">
        <v>100</v>
      </c>
      <c r="F41" s="2" t="s">
        <v>159</v>
      </c>
    </row>
    <row r="42" customFormat="false" ht="15" hidden="false" customHeight="false" outlineLevel="0" collapsed="false">
      <c r="A42" s="27" t="s">
        <v>160</v>
      </c>
      <c r="B42" s="28" t="n">
        <v>38.9</v>
      </c>
      <c r="F42" s="2" t="s">
        <v>161</v>
      </c>
    </row>
    <row r="43" customFormat="false" ht="15" hidden="false" customHeight="false" outlineLevel="0" collapsed="false">
      <c r="A43" s="32" t="s">
        <v>162</v>
      </c>
      <c r="B43" s="22" t="n">
        <f aca="false">B41+B42</f>
        <v>138.9</v>
      </c>
      <c r="F43" s="2"/>
    </row>
    <row r="44" customFormat="false" ht="15" hidden="false" customHeight="false" outlineLevel="0" collapsed="false">
      <c r="A44" s="32" t="s">
        <v>163</v>
      </c>
      <c r="B44" s="22" t="n">
        <f aca="false">B35-B43</f>
        <v>158.35</v>
      </c>
      <c r="F44" s="2" t="s">
        <v>164</v>
      </c>
    </row>
    <row r="45" customFormat="false" ht="15" hidden="false" customHeight="false" outlineLevel="0" collapsed="false">
      <c r="A45" s="27" t="s">
        <v>165</v>
      </c>
      <c r="B45" s="28" t="n">
        <v>15.6</v>
      </c>
      <c r="F45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26" t="s">
        <v>167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168</v>
      </c>
    </row>
    <row r="4" customFormat="false" ht="30" hidden="false" customHeight="true" outlineLevel="0" collapsed="false">
      <c r="A4" s="10" t="s">
        <v>169</v>
      </c>
      <c r="B4" s="35" t="s">
        <v>170</v>
      </c>
      <c r="C4" s="36" t="s">
        <v>171</v>
      </c>
      <c r="D4" s="36" t="s">
        <v>107</v>
      </c>
      <c r="E4" s="36" t="s">
        <v>108</v>
      </c>
    </row>
    <row r="5" customFormat="false" ht="15" hidden="false" customHeight="false" outlineLevel="0" collapsed="false">
      <c r="A5" s="27" t="s">
        <v>97</v>
      </c>
      <c r="B5" s="7" t="n">
        <f aca="false">売上前提!B48</f>
        <v>1</v>
      </c>
      <c r="C5" s="7" t="n">
        <f aca="false">売上前提!C48</f>
        <v>0.9</v>
      </c>
      <c r="D5" s="7" t="n">
        <f aca="false">売上前提!D48</f>
        <v>0.98</v>
      </c>
      <c r="E5" s="7" t="n">
        <f aca="false">売上前提!E48</f>
        <v>1</v>
      </c>
    </row>
    <row r="6" customFormat="false" ht="15" hidden="false" customHeight="false" outlineLevel="0" collapsed="false">
      <c r="A6" s="16" t="s">
        <v>20</v>
      </c>
      <c r="B6" s="49" t="n">
        <f aca="false">売上前提!B$49</f>
        <v>428.6258625</v>
      </c>
      <c r="C6" s="49" t="n">
        <f aca="false">売上前提!C$49</f>
        <v>385.76327625</v>
      </c>
      <c r="D6" s="49" t="n">
        <f aca="false">売上前提!D$49</f>
        <v>420.05334525</v>
      </c>
      <c r="E6" s="49" t="n">
        <f aca="false">売上前提!E$49</f>
        <v>428.6258625</v>
      </c>
    </row>
    <row r="7" customFormat="false" ht="15" hidden="false" customHeight="false" outlineLevel="0" collapsed="false">
      <c r="A7" s="6" t="s">
        <v>172</v>
      </c>
      <c r="B7" s="50" t="n">
        <f aca="false">B$6*売上前提!$B$32</f>
        <v>269.954025</v>
      </c>
      <c r="C7" s="50" t="n">
        <f aca="false">C$6*売上前提!$B$32</f>
        <v>242.9586225</v>
      </c>
      <c r="D7" s="50" t="n">
        <f aca="false">D$6*売上前提!$B$32</f>
        <v>264.5549445</v>
      </c>
      <c r="E7" s="50" t="n">
        <f aca="false">E$6*売上前提!$B$32</f>
        <v>269.954025</v>
      </c>
    </row>
    <row r="8" customFormat="false" ht="15" hidden="false" customHeight="false" outlineLevel="0" collapsed="false">
      <c r="A8" s="6" t="s">
        <v>173</v>
      </c>
      <c r="B8" s="50" t="n">
        <f aca="false">B$6*売上前提!$B$33</f>
        <v>158.6718375</v>
      </c>
      <c r="C8" s="50" t="n">
        <f aca="false">C$6*売上前提!$B$33</f>
        <v>142.80465375</v>
      </c>
      <c r="D8" s="50" t="n">
        <f aca="false">D$6*売上前提!$B$33</f>
        <v>155.49840075</v>
      </c>
      <c r="E8" s="50" t="n">
        <f aca="false">E$6*売上前提!$B$33</f>
        <v>158.6718375</v>
      </c>
    </row>
    <row r="9" customFormat="false" ht="15" hidden="false" customHeight="false" outlineLevel="0" collapsed="false">
      <c r="A9" s="4" t="s">
        <v>174</v>
      </c>
      <c r="B9" s="41" t="n">
        <f aca="false">IF(経費前提!$B$5=1,B$6*経費前提!$B$9,B$7*経費前提!$B$10+B$8*経費前提!$B$11)</f>
        <v>128.58775875</v>
      </c>
      <c r="C9" s="41" t="n">
        <f aca="false">IF(経費前提!$B$5=1,C$6*経費前提!$B$9,C$7*経費前提!$B$10+C$8*経費前提!$B$11)</f>
        <v>115.728982875</v>
      </c>
      <c r="D9" s="41" t="n">
        <f aca="false">IF(経費前提!$B$5=1,D$6*経費前提!$C$9,D$7*経費前提!$C$10+D$8*経費前提!$C$11)</f>
        <v>126.016003575</v>
      </c>
      <c r="E9" s="41" t="n">
        <f aca="false">IF(経費前提!$B$5=1,E$6*経費前提!$D$9,E$7*経費前提!$D$10+E$8*経費前提!$D$11)</f>
        <v>128.58775875</v>
      </c>
    </row>
    <row r="10" customFormat="false" ht="15" hidden="false" customHeight="false" outlineLevel="0" collapsed="false">
      <c r="A10" s="4" t="s">
        <v>115</v>
      </c>
      <c r="B10" s="41" t="n">
        <f aca="false">B$6*経費前提!$B$12</f>
        <v>147.8759225625</v>
      </c>
      <c r="C10" s="41" t="n">
        <f aca="false">C$6*経費前提!$B$12</f>
        <v>133.08833030625</v>
      </c>
      <c r="D10" s="41" t="n">
        <f aca="false">D$6*経費前提!$C$12</f>
        <v>140.71787065875</v>
      </c>
      <c r="E10" s="41" t="n">
        <f aca="false">E$6*経費前提!$D$12</f>
        <v>139.3034053125</v>
      </c>
    </row>
    <row r="11" customFormat="false" ht="15" hidden="false" customHeight="false" outlineLevel="0" collapsed="false">
      <c r="A11" s="4" t="s">
        <v>117</v>
      </c>
      <c r="B11" s="41" t="n">
        <f aca="false">B$6*経費前提!$B$13</f>
        <v>10.2870207</v>
      </c>
      <c r="C11" s="41" t="n">
        <f aca="false">C$6*経費前提!$B$13</f>
        <v>9.25831863</v>
      </c>
      <c r="D11" s="41" t="n">
        <f aca="false">D$6*経費前提!$C$13</f>
        <v>9.2411735955</v>
      </c>
      <c r="E11" s="41" t="n">
        <f aca="false">E$6*経費前提!$D$13</f>
        <v>8.57251725</v>
      </c>
    </row>
    <row r="12" customFormat="false" ht="15" hidden="false" customHeight="false" outlineLevel="0" collapsed="false">
      <c r="A12" s="16" t="s">
        <v>21</v>
      </c>
      <c r="B12" s="51" t="n">
        <f aca="false">B6-B9-B10-B11</f>
        <v>141.8751604875</v>
      </c>
      <c r="C12" s="51" t="n">
        <f aca="false">C6-C9-C10-C11</f>
        <v>127.68764443875</v>
      </c>
      <c r="D12" s="51" t="n">
        <f aca="false">D6-D9-D10-D11</f>
        <v>144.07829742075</v>
      </c>
      <c r="E12" s="51" t="n">
        <f aca="false">E6-E9-E10-E11</f>
        <v>152.1621811875</v>
      </c>
    </row>
    <row r="13" customFormat="false" ht="15" hidden="false" customHeight="false" outlineLevel="0" collapsed="false">
      <c r="A13" s="4" t="s">
        <v>119</v>
      </c>
      <c r="B13" s="41" t="n">
        <f aca="false">B$6*経費前提!$B$14</f>
        <v>6.000762075</v>
      </c>
      <c r="C13" s="41" t="n">
        <f aca="false">C$6*経費前提!$B$14</f>
        <v>5.4006858675</v>
      </c>
      <c r="D13" s="41" t="n">
        <f aca="false">D$6*経費前提!$C$14</f>
        <v>5.8807468335</v>
      </c>
      <c r="E13" s="41" t="n">
        <f aca="false">E$6*経費前提!$D$14</f>
        <v>6.000762075</v>
      </c>
    </row>
    <row r="14" customFormat="false" ht="15" hidden="false" customHeight="false" outlineLevel="0" collapsed="false">
      <c r="A14" s="4" t="s">
        <v>121</v>
      </c>
      <c r="B14" s="41" t="n">
        <f aca="false">B$6*経費前提!$B$15</f>
        <v>2.1431293125</v>
      </c>
      <c r="C14" s="41" t="n">
        <f aca="false">C$6*経費前提!$B$15</f>
        <v>1.92881638125</v>
      </c>
      <c r="D14" s="41" t="n">
        <f aca="false">D$6*経費前提!$C$15</f>
        <v>2.10026672625</v>
      </c>
      <c r="E14" s="41" t="n">
        <f aca="false">E$6*経費前提!$D$15</f>
        <v>2.1431293125</v>
      </c>
    </row>
    <row r="15" customFormat="false" ht="15" hidden="false" customHeight="false" outlineLevel="0" collapsed="false">
      <c r="A15" s="4" t="s">
        <v>122</v>
      </c>
      <c r="B15" s="41" t="n">
        <f aca="false">B$6*経費前提!$B$16</f>
        <v>17.1450345</v>
      </c>
      <c r="C15" s="41" t="n">
        <f aca="false">C$6*経費前提!$B$16</f>
        <v>15.43053105</v>
      </c>
      <c r="D15" s="41" t="n">
        <f aca="false">D$6*経費前提!$C$16</f>
        <v>15.9620271195</v>
      </c>
      <c r="E15" s="41" t="n">
        <f aca="false">E$6*経費前提!$D$16</f>
        <v>15.43053105</v>
      </c>
    </row>
    <row r="16" customFormat="false" ht="15" hidden="false" customHeight="false" outlineLevel="0" collapsed="false">
      <c r="A16" s="14" t="s">
        <v>175</v>
      </c>
      <c r="B16" s="51" t="n">
        <f aca="false">B12-B13-B14-B15</f>
        <v>116.5862346</v>
      </c>
      <c r="C16" s="51" t="n">
        <f aca="false">C12-C13-C14-C15</f>
        <v>104.92761114</v>
      </c>
      <c r="D16" s="51" t="n">
        <f aca="false">D12-D13-D14-D15</f>
        <v>120.1352567415</v>
      </c>
      <c r="E16" s="51" t="n">
        <f aca="false">E12-E13-E14-E15</f>
        <v>128.58775875</v>
      </c>
    </row>
    <row r="17" customFormat="false" ht="15" hidden="false" customHeight="false" outlineLevel="0" collapsed="false">
      <c r="A17" s="4" t="s">
        <v>124</v>
      </c>
      <c r="B17" s="41" t="n">
        <f aca="false">B$6*経費前提!$B$17</f>
        <v>17.1450345</v>
      </c>
      <c r="C17" s="41" t="n">
        <f aca="false">C$6*経費前提!$B$17</f>
        <v>15.43053105</v>
      </c>
      <c r="D17" s="41" t="n">
        <f aca="false">D$6*経費前提!$C$17</f>
        <v>16.80213381</v>
      </c>
      <c r="E17" s="41" t="n">
        <f aca="false">E$6*経費前提!$D$17</f>
        <v>17.1450345</v>
      </c>
    </row>
    <row r="18" customFormat="false" ht="15" hidden="false" customHeight="false" outlineLevel="0" collapsed="false">
      <c r="A18" s="4" t="s">
        <v>126</v>
      </c>
      <c r="B18" s="41" t="n">
        <f aca="false">B$6*経費前提!$B$18</f>
        <v>3.0003810375</v>
      </c>
      <c r="C18" s="41" t="n">
        <f aca="false">C$6*経費前提!$B$18</f>
        <v>2.70034293375</v>
      </c>
      <c r="D18" s="41" t="n">
        <f aca="false">D$6*経費前提!$C$18</f>
        <v>2.94037341675</v>
      </c>
      <c r="E18" s="41" t="n">
        <f aca="false">E$6*経費前提!$D$18</f>
        <v>3.0003810375</v>
      </c>
    </row>
    <row r="19" customFormat="false" ht="15" hidden="false" customHeight="false" outlineLevel="0" collapsed="false">
      <c r="A19" s="4" t="s">
        <v>176</v>
      </c>
      <c r="B19" s="52" t="n">
        <f aca="false">経費前提!$B$24</f>
        <v>26.64</v>
      </c>
      <c r="C19" s="52" t="n">
        <f aca="false">経費前提!$B$24</f>
        <v>26.64</v>
      </c>
      <c r="D19" s="52" t="n">
        <f aca="false">経費前提!$B$24</f>
        <v>26.64</v>
      </c>
      <c r="E19" s="52" t="n">
        <f aca="false">経費前提!$B$24</f>
        <v>26.64</v>
      </c>
    </row>
    <row r="20" customFormat="false" ht="15" hidden="false" customHeight="false" outlineLevel="0" collapsed="false">
      <c r="A20" s="4" t="s">
        <v>177</v>
      </c>
      <c r="B20" s="41" t="n">
        <f aca="false">MAX(0,B6-経費前提!$B$26)*経費前提!$B$25</f>
        <v>6.805810375</v>
      </c>
      <c r="C20" s="41" t="n">
        <f aca="false">MAX(0,C6-経費前提!$B$26)*経費前提!$B$25</f>
        <v>3.8054293375</v>
      </c>
      <c r="D20" s="41" t="n">
        <f aca="false">MAX(0,D6-経費前提!$B$26)*経費前提!$B$25</f>
        <v>6.2057341675</v>
      </c>
      <c r="E20" s="41" t="n">
        <f aca="false">MAX(0,E6-経費前提!$B$26)*経費前提!$B$25</f>
        <v>6.805810375</v>
      </c>
    </row>
    <row r="21" customFormat="false" ht="15" hidden="false" customHeight="false" outlineLevel="0" collapsed="false">
      <c r="A21" s="4" t="s">
        <v>127</v>
      </c>
      <c r="B21" s="41" t="n">
        <f aca="false">B$6*経費前提!$B$19</f>
        <v>10.7156465625</v>
      </c>
      <c r="C21" s="41" t="n">
        <f aca="false">C$6*経費前提!$B$19</f>
        <v>9.64408190625</v>
      </c>
      <c r="D21" s="41" t="n">
        <f aca="false">D$6*経費前提!$C$19</f>
        <v>10.50133363125</v>
      </c>
      <c r="E21" s="41" t="n">
        <f aca="false">E$6*経費前提!$D$19</f>
        <v>10.7156465625</v>
      </c>
    </row>
    <row r="22" customFormat="false" ht="15" hidden="false" customHeight="false" outlineLevel="0" collapsed="false">
      <c r="A22" s="14" t="s">
        <v>23</v>
      </c>
      <c r="B22" s="53" t="n">
        <f aca="false">B16-B17-B18-B19-B20-B21</f>
        <v>52.279362125</v>
      </c>
      <c r="C22" s="53" t="n">
        <f aca="false">C16-C17-C18-C19-C20-C21</f>
        <v>46.7072259125</v>
      </c>
      <c r="D22" s="53" t="n">
        <f aca="false">D16-D17-D18-D19-D20-D21</f>
        <v>57.045681716</v>
      </c>
      <c r="E22" s="53" t="n">
        <f aca="false">E16-E17-E18-E19-E20-E21</f>
        <v>64.280886275</v>
      </c>
      <c r="G22" s="54" t="s">
        <v>178</v>
      </c>
    </row>
    <row r="23" customFormat="false" ht="15" hidden="false" customHeight="false" outlineLevel="0" collapsed="false">
      <c r="A23" s="4" t="s">
        <v>24</v>
      </c>
      <c r="B23" s="52" t="n">
        <f aca="false">経費前提!$B$38</f>
        <v>20.825</v>
      </c>
      <c r="C23" s="52" t="n">
        <f aca="false">経費前提!$B$38</f>
        <v>20.825</v>
      </c>
      <c r="D23" s="52" t="n">
        <f aca="false">経費前提!$B$38</f>
        <v>20.825</v>
      </c>
      <c r="E23" s="52" t="n">
        <f aca="false">経費前提!$B$38</f>
        <v>20.825</v>
      </c>
    </row>
    <row r="24" customFormat="false" ht="15" hidden="false" customHeight="false" outlineLevel="0" collapsed="false">
      <c r="A24" s="16" t="s">
        <v>25</v>
      </c>
      <c r="B24" s="53" t="n">
        <f aca="false">B22-B23</f>
        <v>31.454362125</v>
      </c>
      <c r="C24" s="53" t="n">
        <f aca="false">C22-C23</f>
        <v>25.8822259125</v>
      </c>
      <c r="D24" s="53" t="n">
        <f aca="false">D22-D23</f>
        <v>36.220681716</v>
      </c>
      <c r="E24" s="53" t="n">
        <f aca="false">E22-E23</f>
        <v>43.455886275</v>
      </c>
      <c r="G24" s="54" t="s">
        <v>179</v>
      </c>
    </row>
    <row r="26" customFormat="false" ht="15" hidden="false" customHeight="false" outlineLevel="0" collapsed="false">
      <c r="A26" s="3" t="s">
        <v>180</v>
      </c>
      <c r="B26" s="3"/>
      <c r="C26" s="3"/>
      <c r="D26" s="3"/>
      <c r="E26" s="3"/>
    </row>
    <row r="27" customFormat="false" ht="15" hidden="false" customHeight="false" outlineLevel="0" collapsed="false">
      <c r="A27" s="10" t="s">
        <v>169</v>
      </c>
      <c r="B27" s="11" t="s">
        <v>16</v>
      </c>
      <c r="C27" s="12" t="s">
        <v>17</v>
      </c>
      <c r="D27" s="12" t="s">
        <v>18</v>
      </c>
      <c r="E27" s="12" t="s">
        <v>19</v>
      </c>
    </row>
    <row r="28" customFormat="false" ht="15" hidden="false" customHeight="false" outlineLevel="0" collapsed="false">
      <c r="A28" s="4" t="s">
        <v>20</v>
      </c>
      <c r="B28" s="19" t="n">
        <f aca="false">IF(B$6=0,0,B6/B$6)</f>
        <v>1</v>
      </c>
      <c r="C28" s="19" t="n">
        <f aca="false">IF(C$6=0,0,C6/C$6)</f>
        <v>1</v>
      </c>
      <c r="D28" s="19" t="n">
        <f aca="false">IF(D$6=0,0,D6/D$6)</f>
        <v>1</v>
      </c>
      <c r="E28" s="19" t="n">
        <f aca="false">IF(E$6=0,0,E6/E$6)</f>
        <v>1</v>
      </c>
    </row>
    <row r="29" customFormat="false" ht="15" hidden="false" customHeight="false" outlineLevel="0" collapsed="false">
      <c r="A29" s="4" t="s">
        <v>174</v>
      </c>
      <c r="B29" s="19" t="n">
        <f aca="false">IF(B$6=0,0,B9/B$6)</f>
        <v>0.3</v>
      </c>
      <c r="C29" s="19" t="n">
        <f aca="false">IF(C$6=0,0,C9/C$6)</f>
        <v>0.3</v>
      </c>
      <c r="D29" s="19" t="n">
        <f aca="false">IF(D$6=0,0,D9/D$6)</f>
        <v>0.3</v>
      </c>
      <c r="E29" s="19" t="n">
        <f aca="false">IF(E$6=0,0,E9/E$6)</f>
        <v>0.3</v>
      </c>
    </row>
    <row r="30" customFormat="false" ht="15" hidden="false" customHeight="false" outlineLevel="0" collapsed="false">
      <c r="A30" s="4" t="s">
        <v>115</v>
      </c>
      <c r="B30" s="19" t="n">
        <f aca="false">IF(B$6=0,0,B10/B$6)</f>
        <v>0.345</v>
      </c>
      <c r="C30" s="19" t="n">
        <f aca="false">IF(C$6=0,0,C10/C$6)</f>
        <v>0.345</v>
      </c>
      <c r="D30" s="19" t="n">
        <f aca="false">IF(D$6=0,0,D10/D$6)</f>
        <v>0.335</v>
      </c>
      <c r="E30" s="19" t="n">
        <f aca="false">IF(E$6=0,0,E10/E$6)</f>
        <v>0.325</v>
      </c>
    </row>
    <row r="31" customFormat="false" ht="15" hidden="false" customHeight="false" outlineLevel="0" collapsed="false">
      <c r="A31" s="4" t="s">
        <v>117</v>
      </c>
      <c r="B31" s="19" t="n">
        <f aca="false">IF(B$6=0,0,B11/B$6)</f>
        <v>0.024</v>
      </c>
      <c r="C31" s="19" t="n">
        <f aca="false">IF(C$6=0,0,C11/C$6)</f>
        <v>0.024</v>
      </c>
      <c r="D31" s="19" t="n">
        <f aca="false">IF(D$6=0,0,D11/D$6)</f>
        <v>0.022</v>
      </c>
      <c r="E31" s="19" t="n">
        <f aca="false">IF(E$6=0,0,E11/E$6)</f>
        <v>0.02</v>
      </c>
    </row>
    <row r="32" customFormat="false" ht="15" hidden="false" customHeight="false" outlineLevel="0" collapsed="false">
      <c r="A32" s="16" t="s">
        <v>21</v>
      </c>
      <c r="B32" s="21" t="n">
        <f aca="false">IF(B$6=0,0,B12/B$6)</f>
        <v>0.331</v>
      </c>
      <c r="C32" s="21" t="n">
        <f aca="false">IF(C$6=0,0,C12/C$6)</f>
        <v>0.331</v>
      </c>
      <c r="D32" s="21" t="n">
        <f aca="false">IF(D$6=0,0,D12/D$6)</f>
        <v>0.343</v>
      </c>
      <c r="E32" s="21" t="n">
        <f aca="false">IF(E$6=0,0,E12/E$6)</f>
        <v>0.355</v>
      </c>
    </row>
    <row r="33" customFormat="false" ht="15" hidden="false" customHeight="false" outlineLevel="0" collapsed="false">
      <c r="A33" s="4" t="s">
        <v>119</v>
      </c>
      <c r="B33" s="19" t="n">
        <f aca="false">IF(B$6=0,0,B13/B$6)</f>
        <v>0.014</v>
      </c>
      <c r="C33" s="19" t="n">
        <f aca="false">IF(C$6=0,0,C13/C$6)</f>
        <v>0.014</v>
      </c>
      <c r="D33" s="19" t="n">
        <f aca="false">IF(D$6=0,0,D13/D$6)</f>
        <v>0.014</v>
      </c>
      <c r="E33" s="19" t="n">
        <f aca="false">IF(E$6=0,0,E13/E$6)</f>
        <v>0.014</v>
      </c>
    </row>
    <row r="34" customFormat="false" ht="15" hidden="false" customHeight="false" outlineLevel="0" collapsed="false">
      <c r="A34" s="4" t="s">
        <v>121</v>
      </c>
      <c r="B34" s="19" t="n">
        <f aca="false">IF(B$6=0,0,B14/B$6)</f>
        <v>0.005</v>
      </c>
      <c r="C34" s="19" t="n">
        <f aca="false">IF(C$6=0,0,C14/C$6)</f>
        <v>0.005</v>
      </c>
      <c r="D34" s="19" t="n">
        <f aca="false">IF(D$6=0,0,D14/D$6)</f>
        <v>0.005</v>
      </c>
      <c r="E34" s="19" t="n">
        <f aca="false">IF(E$6=0,0,E14/E$6)</f>
        <v>0.005</v>
      </c>
    </row>
    <row r="35" customFormat="false" ht="15" hidden="false" customHeight="false" outlineLevel="0" collapsed="false">
      <c r="A35" s="4" t="s">
        <v>122</v>
      </c>
      <c r="B35" s="19" t="n">
        <f aca="false">IF(B$6=0,0,B15/B$6)</f>
        <v>0.04</v>
      </c>
      <c r="C35" s="19" t="n">
        <f aca="false">IF(C$6=0,0,C15/C$6)</f>
        <v>0.04</v>
      </c>
      <c r="D35" s="19" t="n">
        <f aca="false">IF(D$6=0,0,D15/D$6)</f>
        <v>0.038</v>
      </c>
      <c r="E35" s="19" t="n">
        <f aca="false">IF(E$6=0,0,E15/E$6)</f>
        <v>0.036</v>
      </c>
    </row>
    <row r="36" customFormat="false" ht="15" hidden="false" customHeight="false" outlineLevel="0" collapsed="false">
      <c r="A36" s="14" t="s">
        <v>175</v>
      </c>
      <c r="B36" s="21" t="n">
        <f aca="false">IF(B$6=0,0,B16/B$6)</f>
        <v>0.272</v>
      </c>
      <c r="C36" s="21" t="n">
        <f aca="false">IF(C$6=0,0,C16/C$6)</f>
        <v>0.272</v>
      </c>
      <c r="D36" s="21" t="n">
        <f aca="false">IF(D$6=0,0,D16/D$6)</f>
        <v>0.286</v>
      </c>
      <c r="E36" s="21" t="n">
        <f aca="false">IF(E$6=0,0,E16/E$6)</f>
        <v>0.3</v>
      </c>
    </row>
    <row r="37" customFormat="false" ht="15" hidden="false" customHeight="false" outlineLevel="0" collapsed="false">
      <c r="A37" s="4" t="s">
        <v>124</v>
      </c>
      <c r="B37" s="19" t="n">
        <f aca="false">IF(B$6=0,0,B17/B$6)</f>
        <v>0.04</v>
      </c>
      <c r="C37" s="19" t="n">
        <f aca="false">IF(C$6=0,0,C17/C$6)</f>
        <v>0.04</v>
      </c>
      <c r="D37" s="19" t="n">
        <f aca="false">IF(D$6=0,0,D17/D$6)</f>
        <v>0.04</v>
      </c>
      <c r="E37" s="19" t="n">
        <f aca="false">IF(E$6=0,0,E17/E$6)</f>
        <v>0.04</v>
      </c>
    </row>
    <row r="38" customFormat="false" ht="15" hidden="false" customHeight="false" outlineLevel="0" collapsed="false">
      <c r="A38" s="4" t="s">
        <v>126</v>
      </c>
      <c r="B38" s="19" t="n">
        <f aca="false">IF(B$6=0,0,B18/B$6)</f>
        <v>0.007</v>
      </c>
      <c r="C38" s="19" t="n">
        <f aca="false">IF(C$6=0,0,C18/C$6)</f>
        <v>0.007</v>
      </c>
      <c r="D38" s="19" t="n">
        <f aca="false">IF(D$6=0,0,D18/D$6)</f>
        <v>0.007</v>
      </c>
      <c r="E38" s="19" t="n">
        <f aca="false">IF(E$6=0,0,E18/E$6)</f>
        <v>0.007</v>
      </c>
    </row>
    <row r="39" customFormat="false" ht="15" hidden="false" customHeight="false" outlineLevel="0" collapsed="false">
      <c r="A39" s="4" t="s">
        <v>176</v>
      </c>
      <c r="B39" s="19" t="n">
        <f aca="false">IF(B$6=0,0,B19/B$6)</f>
        <v>0.0621521059056487</v>
      </c>
      <c r="C39" s="19" t="n">
        <f aca="false">IF(C$6=0,0,C19/C$6)</f>
        <v>0.0690578954507207</v>
      </c>
      <c r="D39" s="19" t="n">
        <f aca="false">IF(D$6=0,0,D19/D$6)</f>
        <v>0.0634205162302537</v>
      </c>
      <c r="E39" s="19" t="n">
        <f aca="false">IF(E$6=0,0,E19/E$6)</f>
        <v>0.0621521059056487</v>
      </c>
    </row>
    <row r="40" customFormat="false" ht="15" hidden="false" customHeight="false" outlineLevel="0" collapsed="false">
      <c r="A40" s="4" t="s">
        <v>177</v>
      </c>
      <c r="B40" s="19" t="n">
        <f aca="false">IF(B$6=0,0,B20/B$6)</f>
        <v>0.0158782074775061</v>
      </c>
      <c r="C40" s="19" t="n">
        <f aca="false">IF(C$6=0,0,C20/C$6)</f>
        <v>0.00986467497500678</v>
      </c>
      <c r="D40" s="19" t="n">
        <f aca="false">IF(D$6=0,0,D20/D$6)</f>
        <v>0.014773681099496</v>
      </c>
      <c r="E40" s="19" t="n">
        <f aca="false">IF(E$6=0,0,E20/E$6)</f>
        <v>0.0158782074775061</v>
      </c>
    </row>
    <row r="41" customFormat="false" ht="15" hidden="false" customHeight="false" outlineLevel="0" collapsed="false">
      <c r="A41" s="4" t="s">
        <v>127</v>
      </c>
      <c r="B41" s="19" t="n">
        <f aca="false">IF(B$6=0,0,B21/B$6)</f>
        <v>0.025</v>
      </c>
      <c r="C41" s="19" t="n">
        <f aca="false">IF(C$6=0,0,C21/C$6)</f>
        <v>0.025</v>
      </c>
      <c r="D41" s="19" t="n">
        <f aca="false">IF(D$6=0,0,D21/D$6)</f>
        <v>0.025</v>
      </c>
      <c r="E41" s="19" t="n">
        <f aca="false">IF(E$6=0,0,E21/E$6)</f>
        <v>0.025</v>
      </c>
    </row>
    <row r="42" customFormat="false" ht="15" hidden="false" customHeight="false" outlineLevel="0" collapsed="false">
      <c r="A42" s="14" t="s">
        <v>23</v>
      </c>
      <c r="B42" s="17" t="n">
        <f aca="false">IF(B$6=0,0,B22/B$6)</f>
        <v>0.121969686616845</v>
      </c>
      <c r="C42" s="17" t="n">
        <f aca="false">IF(C$6=0,0,C22/C$6)</f>
        <v>0.121077429574273</v>
      </c>
      <c r="D42" s="17" t="n">
        <f aca="false">IF(D$6=0,0,D22/D$6)</f>
        <v>0.13580580267025</v>
      </c>
      <c r="E42" s="17" t="n">
        <f aca="false">IF(E$6=0,0,E22/E$6)</f>
        <v>0.149969686616845</v>
      </c>
    </row>
    <row r="43" customFormat="false" ht="15" hidden="false" customHeight="false" outlineLevel="0" collapsed="false">
      <c r="A43" s="4" t="s">
        <v>24</v>
      </c>
      <c r="B43" s="19" t="n">
        <f aca="false">IF(B$6=0,0,B23/B$6)</f>
        <v>0.0485854957013939</v>
      </c>
      <c r="C43" s="19" t="n">
        <f aca="false">IF(C$6=0,0,C23/C$6)</f>
        <v>0.0539838841126599</v>
      </c>
      <c r="D43" s="19" t="n">
        <f aca="false">IF(D$6=0,0,D23/D$6)</f>
        <v>0.0495770364299938</v>
      </c>
      <c r="E43" s="19" t="n">
        <f aca="false">IF(E$6=0,0,E23/E$6)</f>
        <v>0.0485854957013939</v>
      </c>
    </row>
    <row r="44" customFormat="false" ht="15" hidden="false" customHeight="false" outlineLevel="0" collapsed="false">
      <c r="A44" s="16" t="s">
        <v>25</v>
      </c>
      <c r="B44" s="17" t="n">
        <f aca="false">IF(B$6=0,0,B24/B$6)</f>
        <v>0.0733841909154513</v>
      </c>
      <c r="C44" s="17" t="n">
        <f aca="false">IF(C$6=0,0,C24/C$6)</f>
        <v>0.0670935454616127</v>
      </c>
      <c r="D44" s="17" t="n">
        <f aca="false">IF(D$6=0,0,D24/D$6)</f>
        <v>0.0862287662402565</v>
      </c>
      <c r="E44" s="17" t="n">
        <f aca="false">IF(E$6=0,0,E24/E$6)</f>
        <v>0.101384190915451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52"/>
  </cols>
  <sheetData>
    <row r="1" customFormat="false" ht="15" hidden="false" customHeight="false" outlineLevel="0" collapsed="false">
      <c r="A1" s="26" t="s">
        <v>181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182</v>
      </c>
    </row>
    <row r="4" customFormat="false" ht="15" hidden="false" customHeight="false" outlineLevel="0" collapsed="false">
      <c r="A4" s="3" t="s">
        <v>183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142</v>
      </c>
      <c r="B5" s="9" t="n">
        <f aca="false">経費前提!$B$30</f>
        <v>10</v>
      </c>
    </row>
    <row r="6" customFormat="false" ht="15" hidden="false" customHeight="false" outlineLevel="0" collapsed="false">
      <c r="A6" s="4" t="s">
        <v>144</v>
      </c>
      <c r="B6" s="9" t="n">
        <f aca="false">経費前提!$B$31</f>
        <v>194.25</v>
      </c>
    </row>
    <row r="7" customFormat="false" ht="15" hidden="false" customHeight="false" outlineLevel="0" collapsed="false">
      <c r="A7" s="4" t="s">
        <v>146</v>
      </c>
      <c r="B7" s="9" t="n">
        <f aca="false">経費前提!$B$32</f>
        <v>4</v>
      </c>
    </row>
    <row r="8" customFormat="false" ht="15" hidden="false" customHeight="false" outlineLevel="0" collapsed="false">
      <c r="A8" s="4" t="s">
        <v>147</v>
      </c>
      <c r="B8" s="9" t="n">
        <f aca="false">経費前提!$B$33</f>
        <v>39</v>
      </c>
    </row>
    <row r="9" customFormat="false" ht="15" hidden="false" customHeight="false" outlineLevel="0" collapsed="false">
      <c r="A9" s="4" t="s">
        <v>149</v>
      </c>
      <c r="B9" s="9" t="n">
        <f aca="false">経費前提!$B$34</f>
        <v>50</v>
      </c>
      <c r="I9" s="55" t="s">
        <v>184</v>
      </c>
    </row>
    <row r="10" customFormat="false" ht="15" hidden="false" customHeight="false" outlineLevel="0" collapsed="false">
      <c r="A10" s="16" t="s">
        <v>151</v>
      </c>
      <c r="B10" s="15" t="n">
        <f aca="false">経費前提!$B$35</f>
        <v>297.25</v>
      </c>
    </row>
    <row r="11" customFormat="false" ht="15" hidden="false" customHeight="false" outlineLevel="0" collapsed="false">
      <c r="A11" s="4" t="s">
        <v>185</v>
      </c>
      <c r="B11" s="9" t="n">
        <f aca="false">経費前提!$B$36</f>
        <v>208.25</v>
      </c>
    </row>
    <row r="12" customFormat="false" ht="15" hidden="false" customHeight="false" outlineLevel="0" collapsed="false">
      <c r="A12" s="4" t="s">
        <v>186</v>
      </c>
      <c r="B12" s="9" t="n">
        <f aca="false">経費前提!$B$43</f>
        <v>138.9</v>
      </c>
    </row>
    <row r="13" customFormat="false" ht="15" hidden="false" customHeight="false" outlineLevel="0" collapsed="false">
      <c r="A13" s="16" t="s">
        <v>163</v>
      </c>
      <c r="B13" s="15" t="n">
        <f aca="false">経費前提!$B$44</f>
        <v>158.35</v>
      </c>
    </row>
    <row r="14" customFormat="false" ht="15" hidden="false" customHeight="false" outlineLevel="0" collapsed="false">
      <c r="A14" s="4" t="s">
        <v>165</v>
      </c>
      <c r="B14" s="9" t="n">
        <f aca="false">経費前提!$B$45</f>
        <v>15.6</v>
      </c>
    </row>
    <row r="15" customFormat="false" ht="15" hidden="false" customHeight="false" outlineLevel="0" collapsed="false">
      <c r="A15" s="18" t="s">
        <v>187</v>
      </c>
      <c r="B15" s="56" t="n">
        <f aca="false">SUM(B5:B9)-B10</f>
        <v>0</v>
      </c>
      <c r="I15" s="31" t="s">
        <v>188</v>
      </c>
    </row>
    <row r="17" customFormat="false" ht="15" hidden="false" customHeight="false" outlineLevel="0" collapsed="false">
      <c r="A17" s="3" t="s">
        <v>189</v>
      </c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10" t="s">
        <v>15</v>
      </c>
      <c r="B18" s="11" t="s">
        <v>190</v>
      </c>
      <c r="C18" s="12" t="s">
        <v>17</v>
      </c>
      <c r="D18" s="12" t="s">
        <v>18</v>
      </c>
      <c r="E18" s="12" t="s">
        <v>191</v>
      </c>
      <c r="F18" s="12" t="s">
        <v>192</v>
      </c>
      <c r="G18" s="12" t="s">
        <v>193</v>
      </c>
    </row>
    <row r="19" customFormat="false" ht="15" hidden="false" customHeight="false" outlineLevel="0" collapsed="false">
      <c r="A19" s="13" t="s">
        <v>23</v>
      </c>
      <c r="B19" s="20" t="n">
        <v>0</v>
      </c>
      <c r="C19" s="9" t="n">
        <f aca="false">単店PL!C22</f>
        <v>46.7072259125</v>
      </c>
      <c r="D19" s="9" t="n">
        <f aca="false">単店PL!D22</f>
        <v>57.045681716</v>
      </c>
      <c r="E19" s="9" t="n">
        <f aca="false">単店PL!E22</f>
        <v>64.280886275</v>
      </c>
      <c r="F19" s="9" t="n">
        <f aca="false">単店PL!E22</f>
        <v>64.280886275</v>
      </c>
      <c r="G19" s="9" t="n">
        <f aca="false">単店PL!E22</f>
        <v>64.280886275</v>
      </c>
    </row>
    <row r="20" customFormat="false" ht="15" hidden="false" customHeight="false" outlineLevel="0" collapsed="false">
      <c r="A20" s="4" t="s">
        <v>163</v>
      </c>
      <c r="B20" s="20" t="n">
        <f aca="false">-経費前提!$B$44</f>
        <v>-158.35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</row>
    <row r="21" customFormat="false" ht="15" hidden="false" customHeight="false" outlineLevel="0" collapsed="false">
      <c r="A21" s="4" t="s">
        <v>194</v>
      </c>
      <c r="B21" s="20" t="n">
        <v>0</v>
      </c>
      <c r="C21" s="20" t="n">
        <f aca="false">-経費前提!$B$45</f>
        <v>-15.6</v>
      </c>
      <c r="D21" s="20" t="n">
        <f aca="false">-経費前提!$B$45</f>
        <v>-15.6</v>
      </c>
      <c r="E21" s="20" t="n">
        <f aca="false">-経費前提!$B$45</f>
        <v>-15.6</v>
      </c>
      <c r="F21" s="20" t="n">
        <f aca="false">-経費前提!$B$45</f>
        <v>-15.6</v>
      </c>
      <c r="G21" s="20" t="n">
        <f aca="false">-経費前提!$B$45</f>
        <v>-15.6</v>
      </c>
    </row>
    <row r="22" customFormat="false" ht="15" hidden="false" customHeight="false" outlineLevel="0" collapsed="false">
      <c r="A22" s="16" t="s">
        <v>195</v>
      </c>
      <c r="B22" s="22" t="n">
        <f aca="false">B19+B20+B21</f>
        <v>-158.35</v>
      </c>
      <c r="C22" s="22" t="n">
        <f aca="false">C19+C20+C21</f>
        <v>31.1072259125</v>
      </c>
      <c r="D22" s="22" t="n">
        <f aca="false">D19+D20+D21</f>
        <v>41.445681716</v>
      </c>
      <c r="E22" s="22" t="n">
        <f aca="false">E19+E20+E21</f>
        <v>48.680886275</v>
      </c>
      <c r="F22" s="22" t="n">
        <f aca="false">F19+F20+F21</f>
        <v>48.680886275</v>
      </c>
      <c r="G22" s="22" t="n">
        <f aca="false">G19+G20+G21</f>
        <v>48.680886275</v>
      </c>
    </row>
    <row r="23" customFormat="false" ht="15" hidden="false" customHeight="false" outlineLevel="0" collapsed="false">
      <c r="A23" s="16" t="s">
        <v>196</v>
      </c>
      <c r="B23" s="44" t="n">
        <f aca="false">B22</f>
        <v>-158.35</v>
      </c>
      <c r="C23" s="44" t="n">
        <f aca="false">B23+C22</f>
        <v>-127.2427740875</v>
      </c>
      <c r="D23" s="44" t="n">
        <f aca="false">C23+D22</f>
        <v>-85.7970923715</v>
      </c>
      <c r="E23" s="44" t="n">
        <f aca="false">D23+E22</f>
        <v>-37.1162060965</v>
      </c>
      <c r="F23" s="44" t="n">
        <f aca="false">E23+F22</f>
        <v>11.5646801784999</v>
      </c>
      <c r="G23" s="44" t="n">
        <f aca="false">F23+G22</f>
        <v>60.2455664534999</v>
      </c>
    </row>
    <row r="25" customFormat="false" ht="15" hidden="false" customHeight="false" outlineLevel="0" collapsed="false">
      <c r="A25" s="3" t="s">
        <v>197</v>
      </c>
      <c r="B25" s="3"/>
      <c r="C25" s="3"/>
      <c r="D25" s="3"/>
      <c r="E25" s="3"/>
      <c r="F25" s="3"/>
      <c r="G25" s="3"/>
    </row>
    <row r="26" customFormat="false" ht="15" hidden="false" customHeight="false" outlineLevel="0" collapsed="false">
      <c r="A26" s="4" t="s">
        <v>198</v>
      </c>
      <c r="B26" s="39" t="n">
        <f aca="false">COUNTIF(C23:G23,"&lt;0")</f>
        <v>3</v>
      </c>
      <c r="I26" s="2" t="s">
        <v>199</v>
      </c>
    </row>
    <row r="27" customFormat="false" ht="15" hidden="false" customHeight="false" outlineLevel="0" collapsed="false">
      <c r="A27" s="16" t="s">
        <v>200</v>
      </c>
      <c r="B27" s="57" t="str">
        <f aca="false">IF(B26&gt;=5,"5年内に未回収",B26+1&amp;"年目")</f>
        <v>4年目</v>
      </c>
    </row>
    <row r="28" customFormat="false" ht="15" hidden="false" customHeight="false" outlineLevel="0" collapsed="false">
      <c r="A28" s="16" t="s">
        <v>41</v>
      </c>
      <c r="B28" s="58" t="n">
        <f aca="false">IF(B26&gt;=5,"",IF(INDEX(B22:G22,B26+2)=0,"",B26+(-INDEX(B23:G23,B26+1))/INDEX(B22:G22,B26+2)))</f>
        <v>3.76243899683398</v>
      </c>
    </row>
    <row r="29" customFormat="false" ht="15" hidden="false" customHeight="false" outlineLevel="0" collapsed="false">
      <c r="A29" s="4" t="s">
        <v>39</v>
      </c>
      <c r="B29" s="20" t="n">
        <f aca="false">G22</f>
        <v>48.680886275</v>
      </c>
    </row>
    <row r="31" customFormat="false" ht="15" hidden="false" customHeight="false" outlineLevel="0" collapsed="false">
      <c r="A31" s="25" t="str">
        <f aca="false">"→ 開業"&amp;B27&amp;"に累計FCFが黒字転換（投資回収 約"&amp;TEXT(B28,"0.0")&amp;"年）。"</f>
        <v>→ 開業4年目に累計FCFが黒字転換（投資回収 約3.8年）。</v>
      </c>
    </row>
    <row r="32" customFormat="false" ht="15" hidden="false" customHeight="false" outlineLevel="0" collapsed="false">
      <c r="A32" s="2" t="s">
        <v>201</v>
      </c>
    </row>
    <row r="33" customFormat="false" ht="15" hidden="false" customHeight="false" outlineLevel="0" collapsed="false">
      <c r="A33" s="2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50"/>
  </cols>
  <sheetData>
    <row r="1" customFormat="false" ht="15" hidden="false" customHeight="false" outlineLevel="0" collapsed="false">
      <c r="A1" s="26" t="s">
        <v>203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204</v>
      </c>
    </row>
    <row r="4" customFormat="false" ht="15" hidden="false" customHeight="false" outlineLevel="0" collapsed="false">
      <c r="A4" s="3" t="s">
        <v>205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35" t="s">
        <v>206</v>
      </c>
      <c r="B5" s="59" t="n">
        <v>0.7</v>
      </c>
      <c r="C5" s="59" t="n">
        <v>0.8</v>
      </c>
      <c r="D5" s="59" t="n">
        <v>0.9</v>
      </c>
      <c r="E5" s="59" t="n">
        <v>1</v>
      </c>
      <c r="F5" s="59" t="n">
        <v>1.1</v>
      </c>
    </row>
    <row r="6" customFormat="false" ht="15" hidden="false" customHeight="false" outlineLevel="0" collapsed="false">
      <c r="A6" s="60" t="n">
        <v>0.65</v>
      </c>
      <c r="B6" s="20" t="n">
        <f aca="false">((売上前提!$C$20*$A6*売上前提!$E$20*売上前提!$H$20+売上前提!$C$22*$A6*売上前提!$E$22*売上前提!$H$22+売上前提!$C$24*$A6*B$5*売上前提!$H$24)+(売上前提!$J$21+売上前提!$J$23+売上前提!$J$25))*売上前提!$B$5/1000000</f>
        <v>339.7797975</v>
      </c>
      <c r="C6" s="20" t="n">
        <f aca="false">((売上前提!$C$20*$A6*売上前提!$E$20*売上前提!$H$20+売上前提!$C$22*$A6*売上前提!$E$22*売上前提!$H$22+売上前提!$C$24*$A6*C$5*売上前提!$H$24)+(売上前提!$J$21+売上前提!$J$23+売上前提!$J$25))*売上前提!$B$5/1000000</f>
        <v>362.0770725</v>
      </c>
      <c r="D6" s="20" t="n">
        <f aca="false">((売上前提!$C$20*$A6*売上前提!$E$20*売上前提!$H$20+売上前提!$C$22*$A6*売上前提!$E$22*売上前提!$H$22+売上前提!$C$24*$A6*D$5*売上前提!$H$24)+(売上前提!$J$21+売上前提!$J$23+売上前提!$J$25))*売上前提!$B$5/1000000</f>
        <v>384.3743475</v>
      </c>
      <c r="E6" s="20" t="n">
        <f aca="false">((売上前提!$C$20*$A6*売上前提!$E$20*売上前提!$H$20+売上前提!$C$22*$A6*売上前提!$E$22*売上前提!$H$22+売上前提!$C$24*$A6*E$5*売上前提!$H$24)+(売上前提!$J$21+売上前提!$J$23+売上前提!$J$25))*売上前提!$B$5/1000000</f>
        <v>406.6716225</v>
      </c>
      <c r="F6" s="20" t="n">
        <f aca="false">((売上前提!$C$20*$A6*売上前提!$E$20*売上前提!$H$20+売上前提!$C$22*$A6*売上前提!$E$22*売上前提!$H$22+売上前提!$C$24*$A6*F$5*売上前提!$H$24)+(売上前提!$J$21+売上前提!$J$23+売上前提!$J$25))*売上前提!$B$5/1000000</f>
        <v>428.9688975</v>
      </c>
    </row>
    <row r="7" customFormat="false" ht="15" hidden="false" customHeight="false" outlineLevel="0" collapsed="false">
      <c r="A7" s="60" t="n">
        <v>0.7</v>
      </c>
      <c r="B7" s="20" t="n">
        <f aca="false">((売上前提!$C$20*$A7*売上前提!$E$20*売上前提!$H$20+売上前提!$C$22*$A7*売上前提!$E$22*売上前提!$H$22+売上前提!$C$24*$A7*B$5*売上前提!$H$24)+(売上前提!$J$21+売上前提!$J$23+売上前提!$J$25))*売上前提!$B$5/1000000</f>
        <v>358.475205</v>
      </c>
      <c r="C7" s="20" t="n">
        <f aca="false">((売上前提!$C$20*$A7*売上前提!$E$20*売上前提!$H$20+売上前提!$C$22*$A7*売上前提!$E$22*売上前提!$H$22+売上前提!$C$24*$A7*C$5*売上前提!$H$24)+(売上前提!$J$21+売上前提!$J$23+売上前提!$J$25))*売上前提!$B$5/1000000</f>
        <v>382.487655</v>
      </c>
      <c r="D7" s="20" t="n">
        <f aca="false">((売上前提!$C$20*$A7*売上前提!$E$20*売上前提!$H$20+売上前提!$C$22*$A7*売上前提!$E$22*売上前提!$H$22+売上前提!$C$24*$A7*D$5*売上前提!$H$24)+(売上前提!$J$21+売上前提!$J$23+売上前提!$J$25))*売上前提!$B$5/1000000</f>
        <v>406.500105</v>
      </c>
      <c r="E7" s="20" t="n">
        <f aca="false">((売上前提!$C$20*$A7*売上前提!$E$20*売上前提!$H$20+売上前提!$C$22*$A7*売上前提!$E$22*売上前提!$H$22+売上前提!$C$24*$A7*E$5*売上前提!$H$24)+(売上前提!$J$21+売上前提!$J$23+売上前提!$J$25))*売上前提!$B$5/1000000</f>
        <v>430.512555</v>
      </c>
      <c r="F7" s="20" t="n">
        <f aca="false">((売上前提!$C$20*$A7*売上前提!$E$20*売上前提!$H$20+売上前提!$C$22*$A7*売上前提!$E$22*売上前提!$H$22+売上前提!$C$24*$A7*F$5*売上前提!$H$24)+(売上前提!$J$21+売上前提!$J$23+売上前提!$J$25))*売上前提!$B$5/1000000</f>
        <v>454.525005</v>
      </c>
    </row>
    <row r="8" customFormat="false" ht="15" hidden="false" customHeight="false" outlineLevel="0" collapsed="false">
      <c r="A8" s="60" t="n">
        <v>0.75</v>
      </c>
      <c r="B8" s="20" t="n">
        <f aca="false">((売上前提!$C$20*$A8*売上前提!$E$20*売上前提!$H$20+売上前提!$C$22*$A8*売上前提!$E$22*売上前提!$H$22+売上前提!$C$24*$A8*B$5*売上前提!$H$24)+(売上前提!$J$21+売上前提!$J$23+売上前提!$J$25))*売上前提!$B$5/1000000</f>
        <v>377.1706125</v>
      </c>
      <c r="C8" s="20" t="n">
        <f aca="false">((売上前提!$C$20*$A8*売上前提!$E$20*売上前提!$H$20+売上前提!$C$22*$A8*売上前提!$E$22*売上前提!$H$22+売上前提!$C$24*$A8*C$5*売上前提!$H$24)+(売上前提!$J$21+売上前提!$J$23+売上前提!$J$25))*売上前提!$B$5/1000000</f>
        <v>402.8982375</v>
      </c>
      <c r="D8" s="20" t="n">
        <f aca="false">((売上前提!$C$20*$A8*売上前提!$E$20*売上前提!$H$20+売上前提!$C$22*$A8*売上前提!$E$22*売上前提!$H$22+売上前提!$C$24*$A8*D$5*売上前提!$H$24)+(売上前提!$J$21+売上前提!$J$23+売上前提!$J$25))*売上前提!$B$5/1000000</f>
        <v>428.6258625</v>
      </c>
      <c r="E8" s="20" t="n">
        <f aca="false">((売上前提!$C$20*$A8*売上前提!$E$20*売上前提!$H$20+売上前提!$C$22*$A8*売上前提!$E$22*売上前提!$H$22+売上前提!$C$24*$A8*E$5*売上前提!$H$24)+(売上前提!$J$21+売上前提!$J$23+売上前提!$J$25))*売上前提!$B$5/1000000</f>
        <v>454.3534875</v>
      </c>
      <c r="F8" s="20" t="n">
        <f aca="false">((売上前提!$C$20*$A8*売上前提!$E$20*売上前提!$H$20+売上前提!$C$22*$A8*売上前提!$E$22*売上前提!$H$22+売上前提!$C$24*$A8*F$5*売上前提!$H$24)+(売上前提!$J$21+売上前提!$J$23+売上前提!$J$25))*売上前提!$B$5/1000000</f>
        <v>480.0811125</v>
      </c>
    </row>
    <row r="9" customFormat="false" ht="15" hidden="false" customHeight="false" outlineLevel="0" collapsed="false">
      <c r="A9" s="60" t="n">
        <v>0.8</v>
      </c>
      <c r="B9" s="20" t="n">
        <f aca="false">((売上前提!$C$20*$A9*売上前提!$E$20*売上前提!$H$20+売上前提!$C$22*$A9*売上前提!$E$22*売上前提!$H$22+売上前提!$C$24*$A9*B$5*売上前提!$H$24)+(売上前提!$J$21+売上前提!$J$23+売上前提!$J$25))*売上前提!$B$5/1000000</f>
        <v>395.86602</v>
      </c>
      <c r="C9" s="20" t="n">
        <f aca="false">((売上前提!$C$20*$A9*売上前提!$E$20*売上前提!$H$20+売上前提!$C$22*$A9*売上前提!$E$22*売上前提!$H$22+売上前提!$C$24*$A9*C$5*売上前提!$H$24)+(売上前提!$J$21+売上前提!$J$23+売上前提!$J$25))*売上前提!$B$5/1000000</f>
        <v>423.30882</v>
      </c>
      <c r="D9" s="20" t="n">
        <f aca="false">((売上前提!$C$20*$A9*売上前提!$E$20*売上前提!$H$20+売上前提!$C$22*$A9*売上前提!$E$22*売上前提!$H$22+売上前提!$C$24*$A9*D$5*売上前提!$H$24)+(売上前提!$J$21+売上前提!$J$23+売上前提!$J$25))*売上前提!$B$5/1000000</f>
        <v>450.75162</v>
      </c>
      <c r="E9" s="20" t="n">
        <f aca="false">((売上前提!$C$20*$A9*売上前提!$E$20*売上前提!$H$20+売上前提!$C$22*$A9*売上前提!$E$22*売上前提!$H$22+売上前提!$C$24*$A9*E$5*売上前提!$H$24)+(売上前提!$J$21+売上前提!$J$23+売上前提!$J$25))*売上前提!$B$5/1000000</f>
        <v>478.19442</v>
      </c>
      <c r="F9" s="20" t="n">
        <f aca="false">((売上前提!$C$20*$A9*売上前提!$E$20*売上前提!$H$20+売上前提!$C$22*$A9*売上前提!$E$22*売上前提!$H$22+売上前提!$C$24*$A9*F$5*売上前提!$H$24)+(売上前提!$J$21+売上前提!$J$23+売上前提!$J$25))*売上前提!$B$5/1000000</f>
        <v>505.63722</v>
      </c>
    </row>
    <row r="10" customFormat="false" ht="15" hidden="false" customHeight="false" outlineLevel="0" collapsed="false">
      <c r="A10" s="60" t="n">
        <v>0.85</v>
      </c>
      <c r="B10" s="20" t="n">
        <f aca="false">((売上前提!$C$20*$A10*売上前提!$E$20*売上前提!$H$20+売上前提!$C$22*$A10*売上前提!$E$22*売上前提!$H$22+売上前提!$C$24*$A10*B$5*売上前提!$H$24)+(売上前提!$J$21+売上前提!$J$23+売上前提!$J$25))*売上前提!$B$5/1000000</f>
        <v>414.5614275</v>
      </c>
      <c r="C10" s="20" t="n">
        <f aca="false">((売上前提!$C$20*$A10*売上前提!$E$20*売上前提!$H$20+売上前提!$C$22*$A10*売上前提!$E$22*売上前提!$H$22+売上前提!$C$24*$A10*C$5*売上前提!$H$24)+(売上前提!$J$21+売上前提!$J$23+売上前提!$J$25))*売上前提!$B$5/1000000</f>
        <v>443.7194025</v>
      </c>
      <c r="D10" s="20" t="n">
        <f aca="false">((売上前提!$C$20*$A10*売上前提!$E$20*売上前提!$H$20+売上前提!$C$22*$A10*売上前提!$E$22*売上前提!$H$22+売上前提!$C$24*$A10*D$5*売上前提!$H$24)+(売上前提!$J$21+売上前提!$J$23+売上前提!$J$25))*売上前提!$B$5/1000000</f>
        <v>472.8773775</v>
      </c>
      <c r="E10" s="20" t="n">
        <f aca="false">((売上前提!$C$20*$A10*売上前提!$E$20*売上前提!$H$20+売上前提!$C$22*$A10*売上前提!$E$22*売上前提!$H$22+売上前提!$C$24*$A10*E$5*売上前提!$H$24)+(売上前提!$J$21+売上前提!$J$23+売上前提!$J$25))*売上前提!$B$5/1000000</f>
        <v>502.0353525</v>
      </c>
      <c r="F10" s="20" t="n">
        <f aca="false">((売上前提!$C$20*$A10*売上前提!$E$20*売上前提!$H$20+売上前提!$C$22*$A10*売上前提!$E$22*売上前提!$H$22+売上前提!$C$24*$A10*F$5*売上前提!$H$24)+(売上前提!$J$21+売上前提!$J$23+売上前提!$J$25))*売上前提!$B$5/1000000</f>
        <v>531.1933275</v>
      </c>
    </row>
    <row r="12" customFormat="false" ht="15" hidden="false" customHeight="false" outlineLevel="0" collapsed="false">
      <c r="A12" s="3" t="s">
        <v>207</v>
      </c>
      <c r="B12" s="3"/>
      <c r="C12" s="3"/>
      <c r="D12" s="3"/>
      <c r="E12" s="3"/>
      <c r="F12" s="3"/>
      <c r="G12" s="3"/>
    </row>
    <row r="13" customFormat="false" ht="27.75" hidden="false" customHeight="true" outlineLevel="0" collapsed="false">
      <c r="A13" s="35" t="s">
        <v>206</v>
      </c>
      <c r="B13" s="59" t="n">
        <v>0.7</v>
      </c>
      <c r="C13" s="59" t="n">
        <v>0.8</v>
      </c>
      <c r="D13" s="59" t="n">
        <v>0.9</v>
      </c>
      <c r="E13" s="59" t="n">
        <v>1</v>
      </c>
      <c r="F13" s="59" t="n">
        <v>1.1</v>
      </c>
    </row>
    <row r="14" customFormat="false" ht="15" hidden="false" customHeight="false" outlineLevel="0" collapsed="false">
      <c r="A14" s="60" t="n">
        <v>0.65</v>
      </c>
      <c r="B14" s="20" t="n">
        <f aca="false">((((売上前提!$C$20*$A14*売上前提!$E$20*売上前提!$H$20+売上前提!$C$22*$A14*売上前提!$E$22*売上前提!$H$22+売上前提!$C$24*$A14*B$13*売上前提!$H$24)+(売上前提!$J$21+売上前提!$J$23+売上前提!$J$25))*売上前提!$B$5/1000000)*(1-経費前提!$B$20)-経費前提!$B$24-MAX(0,(((売上前提!$C$20*$A14*売上前提!$E$20*売上前提!$H$20+売上前提!$C$22*$A14*売上前提!$E$22*売上前提!$H$22+売上前提!$C$24*$A14*B$13*売上前提!$H$24)+(売上前提!$J$21+売上前提!$J$23+売上前提!$J$25))*売上前提!$B$5/1000000)-経費前提!$B$26)*経費前提!$B$25-経費前提!$B$38)</f>
        <v>19.904373675</v>
      </c>
      <c r="C14" s="20" t="n">
        <f aca="false">((((売上前提!$C$20*$A14*売上前提!$E$20*売上前提!$H$20+売上前提!$C$22*$A14*売上前提!$E$22*売上前提!$H$22+売上前提!$C$24*$A14*C$13*売上前提!$H$24)+(売上前提!$J$21+売上前提!$J$23+売上前提!$J$25))*売上前提!$B$5/1000000)*(1-経費前提!$B$20)-経費前提!$B$24-MAX(0,(((売上前提!$C$20*$A14*売上前提!$E$20*売上前提!$H$20+売上前提!$C$22*$A14*売上前提!$E$22*売上前提!$H$22+売上前提!$C$24*$A14*C$13*売上前提!$H$24)+(売上前提!$J$21+売上前提!$J$23+売上前提!$J$25))*売上前提!$B$5/1000000)-経費前提!$B$26)*経費前提!$B$25-経費前提!$B$38)</f>
        <v>22.803019425</v>
      </c>
      <c r="D14" s="20" t="n">
        <f aca="false">((((売上前提!$C$20*$A14*売上前提!$E$20*売上前提!$H$20+売上前提!$C$22*$A14*売上前提!$E$22*売上前提!$H$22+売上前提!$C$24*$A14*D$13*売上前提!$H$24)+(売上前提!$J$21+売上前提!$J$23+売上前提!$J$25))*売上前提!$B$5/1000000)*(1-経費前提!$B$20)-経費前提!$B$24-MAX(0,(((売上前提!$C$20*$A14*売上前提!$E$20*売上前提!$H$20+売上前提!$C$22*$A14*売上前提!$E$22*売上前提!$H$22+売上前提!$C$24*$A14*D$13*売上前提!$H$24)+(売上前提!$J$21+売上前提!$J$23+売上前提!$J$25))*売上前提!$B$5/1000000)-経費前提!$B$26)*経費前提!$B$25-経費前提!$B$38)</f>
        <v>25.701665175</v>
      </c>
      <c r="E14" s="20" t="n">
        <f aca="false">((((売上前提!$C$20*$A14*売上前提!$E$20*売上前提!$H$20+売上前提!$C$22*$A14*売上前提!$E$22*売上前提!$H$22+売上前提!$C$24*$A14*E$13*売上前提!$H$24)+(売上前提!$J$21+売上前提!$J$23+売上前提!$J$25))*売上前提!$B$5/1000000)*(1-経費前提!$B$20)-経費前提!$B$24-MAX(0,(((売上前提!$C$20*$A14*売上前提!$E$20*売上前提!$H$20+売上前提!$C$22*$A14*売上前提!$E$22*売上前提!$H$22+売上前提!$C$24*$A14*E$13*売上前提!$H$24)+(売上前提!$J$21+売上前提!$J$23+売上前提!$J$25))*売上前提!$B$5/1000000)-経費前提!$B$26)*経費前提!$B$25-経費前提!$B$38)</f>
        <v>28.600310925</v>
      </c>
      <c r="F14" s="20" t="n">
        <f aca="false">((((売上前提!$C$20*$A14*売上前提!$E$20*売上前提!$H$20+売上前提!$C$22*$A14*売上前提!$E$22*売上前提!$H$22+売上前提!$C$24*$A14*F$13*売上前提!$H$24)+(売上前提!$J$21+売上前提!$J$23+売上前提!$J$25))*売上前提!$B$5/1000000)*(1-経費前提!$B$20)-経費前提!$B$24-MAX(0,(((売上前提!$C$20*$A14*売上前提!$E$20*売上前提!$H$20+売上前提!$C$22*$A14*売上前提!$E$22*売上前提!$H$22+売上前提!$C$24*$A14*F$13*売上前提!$H$24)+(売上前提!$J$21+売上前提!$J$23+売上前提!$J$25))*売上前提!$B$5/1000000)-経費前提!$B$26)*経費前提!$B$25-経費前提!$B$38)</f>
        <v>31.498956675</v>
      </c>
    </row>
    <row r="15" customFormat="false" ht="15" hidden="false" customHeight="false" outlineLevel="0" collapsed="false">
      <c r="A15" s="60" t="n">
        <v>0.7</v>
      </c>
      <c r="B15" s="20" t="n">
        <f aca="false">((((売上前提!$C$20*$A15*売上前提!$E$20*売上前提!$H$20+売上前提!$C$22*$A15*売上前提!$E$22*売上前提!$H$22+売上前提!$C$24*$A15*B$13*売上前提!$H$24)+(売上前提!$J$21+売上前提!$J$23+売上前提!$J$25))*売上前提!$B$5/1000000)*(1-経費前提!$B$20)-経費前提!$B$24-MAX(0,(((売上前提!$C$20*$A15*売上前提!$E$20*売上前提!$H$20+売上前提!$C$22*$A15*売上前提!$E$22*売上前提!$H$22+売上前提!$C$24*$A15*B$13*売上前提!$H$24)+(売上前提!$J$21+売上前提!$J$23+売上前提!$J$25))*売上前提!$B$5/1000000)-経費前提!$B$26)*経費前提!$B$25-経費前提!$B$38)</f>
        <v>22.33477665</v>
      </c>
      <c r="C15" s="20" t="n">
        <f aca="false">((((売上前提!$C$20*$A15*売上前提!$E$20*売上前提!$H$20+売上前提!$C$22*$A15*売上前提!$E$22*売上前提!$H$22+売上前提!$C$24*$A15*C$13*売上前提!$H$24)+(売上前提!$J$21+売上前提!$J$23+売上前提!$J$25))*売上前提!$B$5/1000000)*(1-経費前提!$B$20)-経費前提!$B$24-MAX(0,(((売上前提!$C$20*$A15*売上前提!$E$20*売上前提!$H$20+売上前提!$C$22*$A15*売上前提!$E$22*売上前提!$H$22+売上前提!$C$24*$A15*C$13*売上前提!$H$24)+(売上前提!$J$21+売上前提!$J$23+売上前提!$J$25))*売上前提!$B$5/1000000)-経費前提!$B$26)*経費前提!$B$25-経費前提!$B$38)</f>
        <v>25.45639515</v>
      </c>
      <c r="D15" s="20" t="n">
        <f aca="false">((((売上前提!$C$20*$A15*売上前提!$E$20*売上前提!$H$20+売上前提!$C$22*$A15*売上前提!$E$22*売上前提!$H$22+売上前提!$C$24*$A15*D$13*売上前提!$H$24)+(売上前提!$J$21+売上前提!$J$23+売上前提!$J$25))*売上前提!$B$5/1000000)*(1-経費前提!$B$20)-経費前提!$B$24-MAX(0,(((売上前提!$C$20*$A15*売上前提!$E$20*売上前提!$H$20+売上前提!$C$22*$A15*売上前提!$E$22*売上前提!$H$22+売上前提!$C$24*$A15*D$13*売上前提!$H$24)+(売上前提!$J$21+売上前提!$J$23+売上前提!$J$25))*売上前提!$B$5/1000000)-経費前提!$B$26)*経費前提!$B$25-経費前提!$B$38)</f>
        <v>28.57801365</v>
      </c>
      <c r="E15" s="20" t="n">
        <f aca="false">((((売上前提!$C$20*$A15*売上前提!$E$20*売上前提!$H$20+売上前提!$C$22*$A15*売上前提!$E$22*売上前提!$H$22+売上前提!$C$24*$A15*E$13*売上前提!$H$24)+(売上前提!$J$21+売上前提!$J$23+売上前提!$J$25))*売上前提!$B$5/1000000)*(1-経費前提!$B$20)-経費前提!$B$24-MAX(0,(((売上前提!$C$20*$A15*売上前提!$E$20*売上前提!$H$20+売上前提!$C$22*$A15*売上前提!$E$22*売上前提!$H$22+売上前提!$C$24*$A15*E$13*売上前提!$H$24)+(売上前提!$J$21+売上前提!$J$23+売上前提!$J$25))*売上前提!$B$5/1000000)-経費前提!$B$26)*経費前提!$B$25-経費前提!$B$38)</f>
        <v>31.69963215</v>
      </c>
      <c r="F15" s="20" t="n">
        <f aca="false">((((売上前提!$C$20*$A15*売上前提!$E$20*売上前提!$H$20+売上前提!$C$22*$A15*売上前提!$E$22*売上前提!$H$22+売上前提!$C$24*$A15*F$13*売上前提!$H$24)+(売上前提!$J$21+売上前提!$J$23+売上前提!$J$25))*売上前提!$B$5/1000000)*(1-経費前提!$B$20)-経費前提!$B$24-MAX(0,(((売上前提!$C$20*$A15*売上前提!$E$20*売上前提!$H$20+売上前提!$C$22*$A15*売上前提!$E$22*売上前提!$H$22+売上前提!$C$24*$A15*F$13*売上前提!$H$24)+(売上前提!$J$21+売上前提!$J$23+売上前提!$J$25))*売上前提!$B$5/1000000)-経費前提!$B$26)*経費前提!$B$25-経費前提!$B$38)</f>
        <v>34.82125065</v>
      </c>
    </row>
    <row r="16" customFormat="false" ht="15" hidden="false" customHeight="false" outlineLevel="0" collapsed="false">
      <c r="A16" s="60" t="n">
        <v>0.75</v>
      </c>
      <c r="B16" s="20" t="n">
        <f aca="false">((((売上前提!$C$20*$A16*売上前提!$E$20*売上前提!$H$20+売上前提!$C$22*$A16*売上前提!$E$22*売上前提!$H$22+売上前提!$C$24*$A16*B$13*売上前提!$H$24)+(売上前提!$J$21+売上前提!$J$23+売上前提!$J$25))*売上前提!$B$5/1000000)*(1-経費前提!$B$20)-経費前提!$B$24-MAX(0,(((売上前提!$C$20*$A16*売上前提!$E$20*売上前提!$H$20+売上前提!$C$22*$A16*売上前提!$E$22*売上前提!$H$22+売上前提!$C$24*$A16*B$13*売上前提!$H$24)+(売上前提!$J$21+売上前提!$J$23+売上前提!$J$25))*売上前提!$B$5/1000000)-経費前提!$B$26)*経費前提!$B$25-経費前提!$B$38)</f>
        <v>24.765179625</v>
      </c>
      <c r="C16" s="20" t="n">
        <f aca="false">((((売上前提!$C$20*$A16*売上前提!$E$20*売上前提!$H$20+売上前提!$C$22*$A16*売上前提!$E$22*売上前提!$H$22+売上前提!$C$24*$A16*C$13*売上前提!$H$24)+(売上前提!$J$21+売上前提!$J$23+売上前提!$J$25))*売上前提!$B$5/1000000)*(1-経費前提!$B$20)-経費前提!$B$24-MAX(0,(((売上前提!$C$20*$A16*売上前提!$E$20*売上前提!$H$20+売上前提!$C$22*$A16*売上前提!$E$22*売上前提!$H$22+売上前提!$C$24*$A16*C$13*売上前提!$H$24)+(売上前提!$J$21+売上前提!$J$23+売上前提!$J$25))*売上前提!$B$5/1000000)-経費前提!$B$26)*経費前提!$B$25-経費前提!$B$38)</f>
        <v>28.109770875</v>
      </c>
      <c r="D16" s="20" t="n">
        <f aca="false">((((売上前提!$C$20*$A16*売上前提!$E$20*売上前提!$H$20+売上前提!$C$22*$A16*売上前提!$E$22*売上前提!$H$22+売上前提!$C$24*$A16*D$13*売上前提!$H$24)+(売上前提!$J$21+売上前提!$J$23+売上前提!$J$25))*売上前提!$B$5/1000000)*(1-経費前提!$B$20)-経費前提!$B$24-MAX(0,(((売上前提!$C$20*$A16*売上前提!$E$20*売上前提!$H$20+売上前提!$C$22*$A16*売上前提!$E$22*売上前提!$H$22+売上前提!$C$24*$A16*D$13*売上前提!$H$24)+(売上前提!$J$21+売上前提!$J$23+売上前提!$J$25))*売上前提!$B$5/1000000)-経費前提!$B$26)*経費前提!$B$25-経費前提!$B$38)</f>
        <v>31.454362125</v>
      </c>
      <c r="E16" s="20" t="n">
        <f aca="false">((((売上前提!$C$20*$A16*売上前提!$E$20*売上前提!$H$20+売上前提!$C$22*$A16*売上前提!$E$22*売上前提!$H$22+売上前提!$C$24*$A16*E$13*売上前提!$H$24)+(売上前提!$J$21+売上前提!$J$23+売上前提!$J$25))*売上前提!$B$5/1000000)*(1-経費前提!$B$20)-経費前提!$B$24-MAX(0,(((売上前提!$C$20*$A16*売上前提!$E$20*売上前提!$H$20+売上前提!$C$22*$A16*売上前提!$E$22*売上前提!$H$22+売上前提!$C$24*$A16*E$13*売上前提!$H$24)+(売上前提!$J$21+売上前提!$J$23+売上前提!$J$25))*売上前提!$B$5/1000000)-経費前提!$B$26)*経費前提!$B$25-経費前提!$B$38)</f>
        <v>34.798953375</v>
      </c>
      <c r="F16" s="20" t="n">
        <f aca="false">((((売上前提!$C$20*$A16*売上前提!$E$20*売上前提!$H$20+売上前提!$C$22*$A16*売上前提!$E$22*売上前提!$H$22+売上前提!$C$24*$A16*F$13*売上前提!$H$24)+(売上前提!$J$21+売上前提!$J$23+売上前提!$J$25))*売上前提!$B$5/1000000)*(1-経費前提!$B$20)-経費前提!$B$24-MAX(0,(((売上前提!$C$20*$A16*売上前提!$E$20*売上前提!$H$20+売上前提!$C$22*$A16*売上前提!$E$22*売上前提!$H$22+売上前提!$C$24*$A16*F$13*売上前提!$H$24)+(売上前提!$J$21+売上前提!$J$23+売上前提!$J$25))*売上前提!$B$5/1000000)-経費前提!$B$26)*経費前提!$B$25-経費前提!$B$38)</f>
        <v>38.143544625</v>
      </c>
    </row>
    <row r="17" customFormat="false" ht="15" hidden="false" customHeight="false" outlineLevel="0" collapsed="false">
      <c r="A17" s="60" t="n">
        <v>0.8</v>
      </c>
      <c r="B17" s="20" t="n">
        <f aca="false">((((売上前提!$C$20*$A17*売上前提!$E$20*売上前提!$H$20+売上前提!$C$22*$A17*売上前提!$E$22*売上前提!$H$22+売上前提!$C$24*$A17*B$13*売上前提!$H$24)+(売上前提!$J$21+売上前提!$J$23+売上前提!$J$25))*売上前提!$B$5/1000000)*(1-経費前提!$B$20)-経費前提!$B$24-MAX(0,(((売上前提!$C$20*$A17*売上前提!$E$20*売上前提!$H$20+売上前提!$C$22*$A17*売上前提!$E$22*売上前提!$H$22+売上前提!$C$24*$A17*B$13*売上前提!$H$24)+(売上前提!$J$21+売上前提!$J$23+売上前提!$J$25))*売上前提!$B$5/1000000)-経費前提!$B$26)*経費前提!$B$25-経費前提!$B$38)</f>
        <v>27.1955826</v>
      </c>
      <c r="C17" s="20" t="n">
        <f aca="false">((((売上前提!$C$20*$A17*売上前提!$E$20*売上前提!$H$20+売上前提!$C$22*$A17*売上前提!$E$22*売上前提!$H$22+売上前提!$C$24*$A17*C$13*売上前提!$H$24)+(売上前提!$J$21+売上前提!$J$23+売上前提!$J$25))*売上前提!$B$5/1000000)*(1-経費前提!$B$20)-経費前提!$B$24-MAX(0,(((売上前提!$C$20*$A17*売上前提!$E$20*売上前提!$H$20+売上前提!$C$22*$A17*売上前提!$E$22*売上前提!$H$22+売上前提!$C$24*$A17*C$13*売上前提!$H$24)+(売上前提!$J$21+売上前提!$J$23+売上前提!$J$25))*売上前提!$B$5/1000000)-経費前提!$B$26)*経費前提!$B$25-経費前提!$B$38)</f>
        <v>30.7631466</v>
      </c>
      <c r="D17" s="20" t="n">
        <f aca="false">((((売上前提!$C$20*$A17*売上前提!$E$20*売上前提!$H$20+売上前提!$C$22*$A17*売上前提!$E$22*売上前提!$H$22+売上前提!$C$24*$A17*D$13*売上前提!$H$24)+(売上前提!$J$21+売上前提!$J$23+売上前提!$J$25))*売上前提!$B$5/1000000)*(1-経費前提!$B$20)-経費前提!$B$24-MAX(0,(((売上前提!$C$20*$A17*売上前提!$E$20*売上前提!$H$20+売上前提!$C$22*$A17*売上前提!$E$22*売上前提!$H$22+売上前提!$C$24*$A17*D$13*売上前提!$H$24)+(売上前提!$J$21+売上前提!$J$23+売上前提!$J$25))*売上前提!$B$5/1000000)-経費前提!$B$26)*経費前提!$B$25-経費前提!$B$38)</f>
        <v>34.3307106</v>
      </c>
      <c r="E17" s="20" t="n">
        <f aca="false">((((売上前提!$C$20*$A17*売上前提!$E$20*売上前提!$H$20+売上前提!$C$22*$A17*売上前提!$E$22*売上前提!$H$22+売上前提!$C$24*$A17*E$13*売上前提!$H$24)+(売上前提!$J$21+売上前提!$J$23+売上前提!$J$25))*売上前提!$B$5/1000000)*(1-経費前提!$B$20)-経費前提!$B$24-MAX(0,(((売上前提!$C$20*$A17*売上前提!$E$20*売上前提!$H$20+売上前提!$C$22*$A17*売上前提!$E$22*売上前提!$H$22+売上前提!$C$24*$A17*E$13*売上前提!$H$24)+(売上前提!$J$21+売上前提!$J$23+売上前提!$J$25))*売上前提!$B$5/1000000)-経費前提!$B$26)*経費前提!$B$25-経費前提!$B$38)</f>
        <v>37.8982746</v>
      </c>
      <c r="F17" s="20" t="n">
        <f aca="false">((((売上前提!$C$20*$A17*売上前提!$E$20*売上前提!$H$20+売上前提!$C$22*$A17*売上前提!$E$22*売上前提!$H$22+売上前提!$C$24*$A17*F$13*売上前提!$H$24)+(売上前提!$J$21+売上前提!$J$23+売上前提!$J$25))*売上前提!$B$5/1000000)*(1-経費前提!$B$20)-経費前提!$B$24-MAX(0,(((売上前提!$C$20*$A17*売上前提!$E$20*売上前提!$H$20+売上前提!$C$22*$A17*売上前提!$E$22*売上前提!$H$22+売上前提!$C$24*$A17*F$13*売上前提!$H$24)+(売上前提!$J$21+売上前提!$J$23+売上前提!$J$25))*売上前提!$B$5/1000000)-経費前提!$B$26)*経費前提!$B$25-経費前提!$B$38)</f>
        <v>41.4658386</v>
      </c>
    </row>
    <row r="18" customFormat="false" ht="15" hidden="false" customHeight="false" outlineLevel="0" collapsed="false">
      <c r="A18" s="60" t="n">
        <v>0.85</v>
      </c>
      <c r="B18" s="20" t="n">
        <f aca="false">((((売上前提!$C$20*$A18*売上前提!$E$20*売上前提!$H$20+売上前提!$C$22*$A18*売上前提!$E$22*売上前提!$H$22+売上前提!$C$24*$A18*B$13*売上前提!$H$24)+(売上前提!$J$21+売上前提!$J$23+売上前提!$J$25))*売上前提!$B$5/1000000)*(1-経費前提!$B$20)-経費前提!$B$24-MAX(0,(((売上前提!$C$20*$A18*売上前提!$E$20*売上前提!$H$20+売上前提!$C$22*$A18*売上前提!$E$22*売上前提!$H$22+売上前提!$C$24*$A18*B$13*売上前提!$H$24)+(売上前提!$J$21+売上前提!$J$23+売上前提!$J$25))*売上前提!$B$5/1000000)-経費前提!$B$26)*経費前提!$B$25-経費前提!$B$38)</f>
        <v>29.625985575</v>
      </c>
      <c r="C18" s="20" t="n">
        <f aca="false">((((売上前提!$C$20*$A18*売上前提!$E$20*売上前提!$H$20+売上前提!$C$22*$A18*売上前提!$E$22*売上前提!$H$22+売上前提!$C$24*$A18*C$13*売上前提!$H$24)+(売上前提!$J$21+売上前提!$J$23+売上前提!$J$25))*売上前提!$B$5/1000000)*(1-経費前提!$B$20)-経費前提!$B$24-MAX(0,(((売上前提!$C$20*$A18*売上前提!$E$20*売上前提!$H$20+売上前提!$C$22*$A18*売上前提!$E$22*売上前提!$H$22+売上前提!$C$24*$A18*C$13*売上前提!$H$24)+(売上前提!$J$21+売上前提!$J$23+売上前提!$J$25))*売上前提!$B$5/1000000)-経費前提!$B$26)*経費前提!$B$25-経費前提!$B$38)</f>
        <v>33.416522325</v>
      </c>
      <c r="D18" s="20" t="n">
        <f aca="false">((((売上前提!$C$20*$A18*売上前提!$E$20*売上前提!$H$20+売上前提!$C$22*$A18*売上前提!$E$22*売上前提!$H$22+売上前提!$C$24*$A18*D$13*売上前提!$H$24)+(売上前提!$J$21+売上前提!$J$23+売上前提!$J$25))*売上前提!$B$5/1000000)*(1-経費前提!$B$20)-経費前提!$B$24-MAX(0,(((売上前提!$C$20*$A18*売上前提!$E$20*売上前提!$H$20+売上前提!$C$22*$A18*売上前提!$E$22*売上前提!$H$22+売上前提!$C$24*$A18*D$13*売上前提!$H$24)+(売上前提!$J$21+売上前提!$J$23+売上前提!$J$25))*売上前提!$B$5/1000000)-経費前提!$B$26)*経費前提!$B$25-経費前提!$B$38)</f>
        <v>37.207059075</v>
      </c>
      <c r="E18" s="20" t="n">
        <f aca="false">((((売上前提!$C$20*$A18*売上前提!$E$20*売上前提!$H$20+売上前提!$C$22*$A18*売上前提!$E$22*売上前提!$H$22+売上前提!$C$24*$A18*E$13*売上前提!$H$24)+(売上前提!$J$21+売上前提!$J$23+売上前提!$J$25))*売上前提!$B$5/1000000)*(1-経費前提!$B$20)-経費前提!$B$24-MAX(0,(((売上前提!$C$20*$A18*売上前提!$E$20*売上前提!$H$20+売上前提!$C$22*$A18*売上前提!$E$22*売上前提!$H$22+売上前提!$C$24*$A18*E$13*売上前提!$H$24)+(売上前提!$J$21+売上前提!$J$23+売上前提!$J$25))*売上前提!$B$5/1000000)-経費前提!$B$26)*経費前提!$B$25-経費前提!$B$38)</f>
        <v>40.997595825</v>
      </c>
      <c r="F18" s="20" t="n">
        <f aca="false">((((売上前提!$C$20*$A18*売上前提!$E$20*売上前提!$H$20+売上前提!$C$22*$A18*売上前提!$E$22*売上前提!$H$22+売上前提!$C$24*$A18*F$13*売上前提!$H$24)+(売上前提!$J$21+売上前提!$J$23+売上前提!$J$25))*売上前提!$B$5/1000000)*(1-経費前提!$B$20)-経費前提!$B$24-MAX(0,(((売上前提!$C$20*$A18*売上前提!$E$20*売上前提!$H$20+売上前提!$C$22*$A18*売上前提!$E$22*売上前提!$H$22+売上前提!$C$24*$A18*F$13*売上前提!$H$24)+(売上前提!$J$21+売上前提!$J$23+売上前提!$J$25))*売上前提!$B$5/1000000)-経費前提!$B$26)*経費前提!$B$25-経費前提!$B$38)</f>
        <v>44.788132575</v>
      </c>
    </row>
    <row r="20" customFormat="false" ht="15" hidden="false" customHeight="false" outlineLevel="0" collapsed="false">
      <c r="A20" s="3" t="s">
        <v>208</v>
      </c>
      <c r="B20" s="3"/>
      <c r="C20" s="3"/>
      <c r="D20" s="3"/>
      <c r="E20" s="3"/>
      <c r="F20" s="3"/>
      <c r="G20" s="3"/>
    </row>
    <row r="21" customFormat="false" ht="27.75" hidden="false" customHeight="true" outlineLevel="0" collapsed="false">
      <c r="A21" s="35" t="s">
        <v>206</v>
      </c>
      <c r="B21" s="59" t="n">
        <v>0.7</v>
      </c>
      <c r="C21" s="59" t="n">
        <v>0.8</v>
      </c>
      <c r="D21" s="59" t="n">
        <v>0.9</v>
      </c>
      <c r="E21" s="59" t="n">
        <v>1</v>
      </c>
      <c r="F21" s="59" t="n">
        <v>1.1</v>
      </c>
    </row>
    <row r="22" customFormat="false" ht="15" hidden="false" customHeight="false" outlineLevel="0" collapsed="false">
      <c r="A22" s="60" t="n">
        <v>0.65</v>
      </c>
      <c r="B22" s="19" t="n">
        <f aca="false">IF((((売上前提!$C$20*$A22*売上前提!$E$20*売上前提!$H$20+売上前提!$C$22*$A22*売上前提!$E$22*売上前提!$H$22+売上前提!$C$24*$A22*B$21*売上前提!$H$24)+(売上前提!$J$21+売上前提!$J$23+売上前提!$J$25))*売上前提!$B$5/1000000)=0,0,((((売上前提!$C$20*$A22*売上前提!$E$20*売上前提!$H$20+売上前提!$C$22*$A22*売上前提!$E$22*売上前提!$H$22+売上前提!$C$24*$A22*B$21*売上前提!$H$24)+(売上前提!$J$21+売上前提!$J$23+売上前提!$J$25))*売上前提!$B$5/1000000)*(1-経費前提!$B$20)-経費前提!$B$24-MAX(0,(((売上前提!$C$20*$A22*売上前提!$E$20*売上前提!$H$20+売上前提!$C$22*$A22*売上前提!$E$22*売上前提!$H$22+売上前提!$C$24*$A22*B$21*売上前提!$H$24)+(売上前提!$J$21+売上前提!$J$23+売上前提!$J$25))*売上前提!$B$5/1000000)-経費前提!$B$26)*経費前提!$B$25-経費前提!$B$38)/(((売上前提!$C$20*$A22*売上前提!$E$20*売上前提!$H$20+売上前提!$C$22*$A22*売上前提!$E$22*売上前提!$H$22+売上前提!$C$24*$A22*B$21*売上前提!$H$24)+(売上前提!$J$21+売上前提!$J$23+売上前提!$J$25))*売上前提!$B$5/1000000))</f>
        <v>0.0585802152495544</v>
      </c>
      <c r="C22" s="19" t="n">
        <f aca="false">IF((((売上前提!$C$20*$A22*売上前提!$E$20*売上前提!$H$20+売上前提!$C$22*$A22*売上前提!$E$22*売上前提!$H$22+売上前提!$C$24*$A22*C$21*売上前提!$H$24)+(売上前提!$J$21+売上前提!$J$23+売上前提!$J$25))*売上前提!$B$5/1000000)=0,0,((((売上前提!$C$20*$A22*売上前提!$E$20*売上前提!$H$20+売上前提!$C$22*$A22*売上前提!$E$22*売上前提!$H$22+売上前提!$C$24*$A22*C$21*売上前提!$H$24)+(売上前提!$J$21+売上前提!$J$23+売上前提!$J$25))*売上前提!$B$5/1000000)*(1-経費前提!$B$20)-経費前提!$B$24-MAX(0,(((売上前提!$C$20*$A22*売上前提!$E$20*売上前提!$H$20+売上前提!$C$22*$A22*売上前提!$E$22*売上前提!$H$22+売上前提!$C$24*$A22*C$21*売上前提!$H$24)+(売上前提!$J$21+売上前提!$J$23+売上前提!$J$25))*売上前提!$B$5/1000000)-経費前提!$B$26)*経費前提!$B$25-経費前提!$B$38)/(((売上前提!$C$20*$A22*売上前提!$E$20*売上前提!$H$20+売上前提!$C$22*$A22*売上前提!$E$22*売上前提!$H$22+売上前提!$C$24*$A22*C$21*売上前提!$H$24)+(売上前提!$J$21+売上前提!$J$23+売上前提!$J$25))*売上前提!$B$5/1000000))</f>
        <v>0.0629783578052986</v>
      </c>
      <c r="D22" s="19" t="n">
        <f aca="false">IF((((売上前提!$C$20*$A22*売上前提!$E$20*売上前提!$H$20+売上前提!$C$22*$A22*売上前提!$E$22*売上前提!$H$22+売上前提!$C$24*$A22*D$21*売上前提!$H$24)+(売上前提!$J$21+売上前提!$J$23+売上前提!$J$25))*売上前提!$B$5/1000000)=0,0,((((売上前提!$C$20*$A22*売上前提!$E$20*売上前提!$H$20+売上前提!$C$22*$A22*売上前提!$E$22*売上前提!$H$22+売上前提!$C$24*$A22*D$21*売上前提!$H$24)+(売上前提!$J$21+売上前提!$J$23+売上前提!$J$25))*売上前提!$B$5/1000000)*(1-経費前提!$B$20)-経費前提!$B$24-MAX(0,(((売上前提!$C$20*$A22*売上前提!$E$20*売上前提!$H$20+売上前提!$C$22*$A22*売上前提!$E$22*売上前提!$H$22+売上前提!$C$24*$A22*D$21*売上前提!$H$24)+(売上前提!$J$21+売上前提!$J$23+売上前提!$J$25))*売上前提!$B$5/1000000)-経費前提!$B$26)*経費前提!$B$25-経費前提!$B$38)/(((売上前提!$C$20*$A22*売上前提!$E$20*売上前提!$H$20+売上前提!$C$22*$A22*売上前提!$E$22*売上前提!$H$22+売上前提!$C$24*$A22*D$21*売上前提!$H$24)+(売上前提!$J$21+売上前提!$J$23+売上前提!$J$25))*売上前提!$B$5/1000000))</f>
        <v>0.0668662342899978</v>
      </c>
      <c r="E22" s="19" t="n">
        <f aca="false">IF((((売上前提!$C$20*$A22*売上前提!$E$20*売上前提!$H$20+売上前提!$C$22*$A22*売上前提!$E$22*売上前提!$H$22+売上前提!$C$24*$A22*E$21*売上前提!$H$24)+(売上前提!$J$21+売上前提!$J$23+売上前提!$J$25))*売上前提!$B$5/1000000)=0,0,((((売上前提!$C$20*$A22*売上前提!$E$20*売上前提!$H$20+売上前提!$C$22*$A22*売上前提!$E$22*売上前提!$H$22+売上前提!$C$24*$A22*E$21*売上前提!$H$24)+(売上前提!$J$21+売上前提!$J$23+売上前提!$J$25))*売上前提!$B$5/1000000)*(1-経費前提!$B$20)-経費前提!$B$24-MAX(0,(((売上前提!$C$20*$A22*売上前提!$E$20*売上前提!$H$20+売上前提!$C$22*$A22*売上前提!$E$22*売上前提!$H$22+売上前提!$C$24*$A22*E$21*売上前提!$H$24)+(売上前提!$J$21+売上前提!$J$23+売上前提!$J$25))*売上前提!$B$5/1000000)-経費前提!$B$26)*経費前提!$B$25-経費前提!$B$38)/(((売上前提!$C$20*$A22*売上前提!$E$20*売上前提!$H$20+売上前提!$C$22*$A22*売上前提!$E$22*売上前提!$H$22+売上前提!$C$24*$A22*E$21*売上前提!$H$24)+(売上前提!$J$21+売上前提!$J$23+売上前提!$J$25))*売上前提!$B$5/1000000))</f>
        <v>0.0703277763744138</v>
      </c>
      <c r="F22" s="19" t="n">
        <f aca="false">IF((((売上前提!$C$20*$A22*売上前提!$E$20*売上前提!$H$20+売上前提!$C$22*$A22*売上前提!$E$22*売上前提!$H$22+売上前提!$C$24*$A22*F$21*売上前提!$H$24)+(売上前提!$J$21+売上前提!$J$23+売上前提!$J$25))*売上前提!$B$5/1000000)=0,0,((((売上前提!$C$20*$A22*売上前提!$E$20*売上前提!$H$20+売上前提!$C$22*$A22*売上前提!$E$22*売上前提!$H$22+売上前提!$C$24*$A22*F$21*売上前提!$H$24)+(売上前提!$J$21+売上前提!$J$23+売上前提!$J$25))*売上前提!$B$5/1000000)*(1-経費前提!$B$20)-経費前提!$B$24-MAX(0,(((売上前提!$C$20*$A22*売上前提!$E$20*売上前提!$H$20+売上前提!$C$22*$A22*売上前提!$E$22*売上前提!$H$22+売上前提!$C$24*$A22*F$21*売上前提!$H$24)+(売上前提!$J$21+売上前提!$J$23+売上前提!$J$25))*売上前提!$B$5/1000000)-経費前提!$B$26)*経費前提!$B$25-経費前提!$B$38)/(((売上前提!$C$20*$A22*売上前提!$E$20*売上前提!$H$20+売上前提!$C$22*$A22*売上前提!$E$22*売上前提!$H$22+売上前提!$C$24*$A22*F$21*売上前提!$H$24)+(売上前提!$J$21+売上前提!$J$23+売上前提!$J$25))*売上前提!$B$5/1000000))</f>
        <v>0.073429465069784</v>
      </c>
    </row>
    <row r="23" customFormat="false" ht="15" hidden="false" customHeight="false" outlineLevel="0" collapsed="false">
      <c r="A23" s="60" t="n">
        <v>0.7</v>
      </c>
      <c r="B23" s="19" t="n">
        <f aca="false">IF((((売上前提!$C$20*$A23*売上前提!$E$20*売上前提!$H$20+売上前提!$C$22*$A23*売上前提!$E$22*売上前提!$H$22+売上前提!$C$24*$A23*B$21*売上前提!$H$24)+(売上前提!$J$21+売上前提!$J$23+売上前提!$J$25))*売上前提!$B$5/1000000)=0,0,((((売上前提!$C$20*$A23*売上前提!$E$20*売上前提!$H$20+売上前提!$C$22*$A23*売上前提!$E$22*売上前提!$H$22+売上前提!$C$24*$A23*B$21*売上前提!$H$24)+(売上前提!$J$21+売上前提!$J$23+売上前提!$J$25))*売上前提!$B$5/1000000)*(1-経費前提!$B$20)-経費前提!$B$24-MAX(0,(((売上前提!$C$20*$A23*売上前提!$E$20*売上前提!$H$20+売上前提!$C$22*$A23*売上前提!$E$22*売上前提!$H$22+売上前提!$C$24*$A23*B$21*売上前提!$H$24)+(売上前提!$J$21+売上前提!$J$23+売上前提!$J$25))*売上前提!$B$5/1000000)-経費前提!$B$26)*経費前提!$B$25-経費前提!$B$38)/(((売上前提!$C$20*$A23*売上前提!$E$20*売上前提!$H$20+売上前提!$C$22*$A23*売上前提!$E$22*売上前提!$H$22+売上前提!$C$24*$A23*B$21*売上前提!$H$24)+(売上前提!$J$21+売上前提!$J$23+売上前提!$J$25))*売上前提!$B$5/1000000))</f>
        <v>0.0623049414254468</v>
      </c>
      <c r="C23" s="19" t="n">
        <f aca="false">IF((((売上前提!$C$20*$A23*売上前提!$E$20*売上前提!$H$20+売上前提!$C$22*$A23*売上前提!$E$22*売上前提!$H$22+売上前提!$C$24*$A23*C$21*売上前提!$H$24)+(売上前提!$J$21+売上前提!$J$23+売上前提!$J$25))*売上前提!$B$5/1000000)=0,0,((((売上前提!$C$20*$A23*売上前提!$E$20*売上前提!$H$20+売上前提!$C$22*$A23*売上前提!$E$22*売上前提!$H$22+売上前提!$C$24*$A23*C$21*売上前提!$H$24)+(売上前提!$J$21+売上前提!$J$23+売上前提!$J$25))*売上前提!$B$5/1000000)*(1-経費前提!$B$20)-経費前提!$B$24-MAX(0,(((売上前提!$C$20*$A23*売上前提!$E$20*売上前提!$H$20+売上前提!$C$22*$A23*売上前提!$E$22*売上前提!$H$22+売上前提!$C$24*$A23*C$21*売上前提!$H$24)+(売上前提!$J$21+売上前提!$J$23+売上前提!$J$25))*売上前提!$B$5/1000000)-経費前提!$B$26)*経費前提!$B$25-経費前提!$B$38)/(((売上前提!$C$20*$A23*売上前提!$E$20*売上前提!$H$20+売上前提!$C$22*$A23*売上前提!$E$22*売上前提!$H$22+売上前提!$C$24*$A23*C$21*売上前提!$H$24)+(売上前提!$J$21+売上前提!$J$23+売上前提!$J$25))*売上前提!$B$5/1000000))</f>
        <v>0.0665548150828555</v>
      </c>
      <c r="D23" s="19" t="n">
        <f aca="false">IF((((売上前提!$C$20*$A23*売上前提!$E$20*売上前提!$H$20+売上前提!$C$22*$A23*売上前提!$E$22*売上前提!$H$22+売上前提!$C$24*$A23*D$21*売上前提!$H$24)+(売上前提!$J$21+売上前提!$J$23+売上前提!$J$25))*売上前提!$B$5/1000000)=0,0,((((売上前提!$C$20*$A23*売上前提!$E$20*売上前提!$H$20+売上前提!$C$22*$A23*売上前提!$E$22*売上前提!$H$22+売上前提!$C$24*$A23*D$21*売上前提!$H$24)+(売上前提!$J$21+売上前提!$J$23+売上前提!$J$25))*売上前提!$B$5/1000000)*(1-経費前提!$B$20)-経費前提!$B$24-MAX(0,(((売上前提!$C$20*$A23*売上前提!$E$20*売上前提!$H$20+売上前提!$C$22*$A23*売上前提!$E$22*売上前提!$H$22+売上前提!$C$24*$A23*D$21*売上前提!$H$24)+(売上前提!$J$21+売上前提!$J$23+売上前提!$J$25))*売上前提!$B$5/1000000)-経費前提!$B$26)*経費前提!$B$25-経費前提!$B$38)/(((売上前提!$C$20*$A23*売上前提!$E$20*売上前提!$H$20+売上前提!$C$22*$A23*売上前提!$E$22*売上前提!$H$22+売上前提!$C$24*$A23*D$21*売上前提!$H$24)+(売上前提!$J$21+売上前提!$J$23+売上前提!$J$25))*売上前提!$B$5/1000000))</f>
        <v>0.0703025984458233</v>
      </c>
      <c r="E23" s="19" t="n">
        <f aca="false">IF((((売上前提!$C$20*$A23*売上前提!$E$20*売上前提!$H$20+売上前提!$C$22*$A23*売上前提!$E$22*売上前提!$H$22+売上前提!$C$24*$A23*E$21*売上前提!$H$24)+(売上前提!$J$21+売上前提!$J$23+売上前提!$J$25))*売上前提!$B$5/1000000)=0,0,((((売上前提!$C$20*$A23*売上前提!$E$20*売上前提!$H$20+売上前提!$C$22*$A23*売上前提!$E$22*売上前提!$H$22+売上前提!$C$24*$A23*E$21*売上前提!$H$24)+(売上前提!$J$21+売上前提!$J$23+売上前提!$J$25))*売上前提!$B$5/1000000)*(1-経費前提!$B$20)-経費前提!$B$24-MAX(0,(((売上前提!$C$20*$A23*売上前提!$E$20*売上前提!$H$20+売上前提!$C$22*$A23*売上前提!$E$22*売上前提!$H$22+売上前提!$C$24*$A23*E$21*売上前提!$H$24)+(売上前提!$J$21+売上前提!$J$23+売上前提!$J$25))*売上前提!$B$5/1000000)-経費前提!$B$26)*経費前提!$B$25-経費前提!$B$38)/(((売上前提!$C$20*$A23*売上前提!$E$20*売上前提!$H$20+売上前提!$C$22*$A23*売上前提!$E$22*売上前提!$H$22+売上前提!$C$24*$A23*E$21*売上前提!$H$24)+(売上前提!$J$21+売上前提!$J$23+売上前提!$J$25))*売上前提!$B$5/1000000))</f>
        <v>0.0736323059149809</v>
      </c>
      <c r="F23" s="19" t="n">
        <f aca="false">IF((((売上前提!$C$20*$A23*売上前提!$E$20*売上前提!$H$20+売上前提!$C$22*$A23*売上前提!$E$22*売上前提!$H$22+売上前提!$C$24*$A23*F$21*売上前提!$H$24)+(売上前提!$J$21+売上前提!$J$23+売上前提!$J$25))*売上前提!$B$5/1000000)=0,0,((((売上前提!$C$20*$A23*売上前提!$E$20*売上前提!$H$20+売上前提!$C$22*$A23*売上前提!$E$22*売上前提!$H$22+売上前提!$C$24*$A23*F$21*売上前提!$H$24)+(売上前提!$J$21+売上前提!$J$23+売上前提!$J$25))*売上前提!$B$5/1000000)*(1-経費前提!$B$20)-経費前提!$B$24-MAX(0,(((売上前提!$C$20*$A23*売上前提!$E$20*売上前提!$H$20+売上前提!$C$22*$A23*売上前提!$E$22*売上前提!$H$22+売上前提!$C$24*$A23*F$21*売上前提!$H$24)+(売上前提!$J$21+売上前提!$J$23+売上前提!$J$25))*売上前提!$B$5/1000000)-経費前提!$B$26)*経費前提!$B$25-経費前提!$B$38)/(((売上前提!$C$20*$A23*売上前提!$E$20*売上前提!$H$20+売上前提!$C$22*$A23*売上前提!$E$22*売上前提!$H$22+売上前提!$C$24*$A23*F$21*売上前提!$H$24)+(売上前提!$J$21+売上前提!$J$23+売上前提!$J$25))*売上前提!$B$5/1000000))</f>
        <v>0.0766101980462</v>
      </c>
    </row>
    <row r="24" customFormat="false" ht="15" hidden="false" customHeight="false" outlineLevel="0" collapsed="false">
      <c r="A24" s="60" t="n">
        <v>0.75</v>
      </c>
      <c r="B24" s="19" t="n">
        <f aca="false">IF((((売上前提!$C$20*$A24*売上前提!$E$20*売上前提!$H$20+売上前提!$C$22*$A24*売上前提!$E$22*売上前提!$H$22+売上前提!$C$24*$A24*B$21*売上前提!$H$24)+(売上前提!$J$21+売上前提!$J$23+売上前提!$J$25))*売上前提!$B$5/1000000)=0,0,((((売上前提!$C$20*$A24*売上前提!$E$20*売上前提!$H$20+売上前提!$C$22*$A24*売上前提!$E$22*売上前提!$H$22+売上前提!$C$24*$A24*B$21*売上前提!$H$24)+(売上前提!$J$21+売上前提!$J$23+売上前提!$J$25))*売上前提!$B$5/1000000)*(1-経費前提!$B$20)-経費前提!$B$24-MAX(0,(((売上前提!$C$20*$A24*売上前提!$E$20*売上前提!$H$20+売上前提!$C$22*$A24*売上前提!$E$22*売上前提!$H$22+売上前提!$C$24*$A24*B$21*売上前提!$H$24)+(売上前提!$J$21+売上前提!$J$23+売上前提!$J$25))*売上前提!$B$5/1000000)-経費前提!$B$26)*経費前提!$B$25-経費前提!$B$38)/(((売上前提!$C$20*$A24*売上前提!$E$20*売上前提!$H$20+売上前提!$C$22*$A24*売上前提!$E$22*売上前提!$H$22+売上前提!$C$24*$A24*B$21*売上前提!$H$24)+(売上前提!$J$21+売上前提!$J$23+売上前提!$J$25))*売上前提!$B$5/1000000))</f>
        <v>0.0656604168093823</v>
      </c>
      <c r="C24" s="19" t="n">
        <f aca="false">IF((((売上前提!$C$20*$A24*売上前提!$E$20*売上前提!$H$20+売上前提!$C$22*$A24*売上前提!$E$22*売上前提!$H$22+売上前提!$C$24*$A24*C$21*売上前提!$H$24)+(売上前提!$J$21+売上前提!$J$23+売上前提!$J$25))*売上前提!$B$5/1000000)=0,0,((((売上前提!$C$20*$A24*売上前提!$E$20*売上前提!$H$20+売上前提!$C$22*$A24*売上前提!$E$22*売上前提!$H$22+売上前提!$C$24*$A24*C$21*売上前提!$H$24)+(売上前提!$J$21+売上前提!$J$23+売上前提!$J$25))*売上前提!$B$5/1000000)*(1-経費前提!$B$20)-経費前提!$B$24-MAX(0,(((売上前提!$C$20*$A24*売上前提!$E$20*売上前提!$H$20+売上前提!$C$22*$A24*売上前提!$E$22*売上前提!$H$22+売上前提!$C$24*$A24*C$21*売上前提!$H$24)+(売上前提!$J$21+売上前提!$J$23+売上前提!$J$25))*売上前提!$B$5/1000000)-経費前提!$B$26)*経費前提!$B$25-経費前提!$B$38)/(((売上前提!$C$20*$A24*売上前提!$E$20*売上前提!$H$20+売上前提!$C$22*$A24*売上前提!$E$22*売上前提!$H$22+売上前提!$C$24*$A24*C$21*売上前提!$H$24)+(売上前提!$J$21+売上前提!$J$23+売上前提!$J$25))*売上前提!$B$5/1000000))</f>
        <v>0.0697689100091931</v>
      </c>
      <c r="D24" s="19" t="n">
        <f aca="false">IF((((売上前提!$C$20*$A24*売上前提!$E$20*売上前提!$H$20+売上前提!$C$22*$A24*売上前提!$E$22*売上前提!$H$22+売上前提!$C$24*$A24*D$21*売上前提!$H$24)+(売上前提!$J$21+売上前提!$J$23+売上前提!$J$25))*売上前提!$B$5/1000000)=0,0,((((売上前提!$C$20*$A24*売上前提!$E$20*売上前提!$H$20+売上前提!$C$22*$A24*売上前提!$E$22*売上前提!$H$22+売上前提!$C$24*$A24*D$21*売上前提!$H$24)+(売上前提!$J$21+売上前提!$J$23+売上前提!$J$25))*売上前提!$B$5/1000000)*(1-経費前提!$B$20)-経費前提!$B$24-MAX(0,(((売上前提!$C$20*$A24*売上前提!$E$20*売上前提!$H$20+売上前提!$C$22*$A24*売上前提!$E$22*売上前提!$H$22+売上前提!$C$24*$A24*D$21*売上前提!$H$24)+(売上前提!$J$21+売上前提!$J$23+売上前提!$J$25))*売上前提!$B$5/1000000)-経費前提!$B$26)*経費前提!$B$25-経費前提!$B$38)/(((売上前提!$C$20*$A24*売上前提!$E$20*売上前提!$H$20+売上前提!$C$22*$A24*売上前提!$E$22*売上前提!$H$22+売上前提!$C$24*$A24*D$21*売上前提!$H$24)+(売上前提!$J$21+売上前提!$J$23+売上前提!$J$25))*売上前提!$B$5/1000000))</f>
        <v>0.0733841909154514</v>
      </c>
      <c r="E24" s="19" t="n">
        <f aca="false">IF((((売上前提!$C$20*$A24*売上前提!$E$20*売上前提!$H$20+売上前提!$C$22*$A24*売上前提!$E$22*売上前提!$H$22+売上前提!$C$24*$A24*E$21*売上前提!$H$24)+(売上前提!$J$21+売上前提!$J$23+売上前提!$J$25))*売上前提!$B$5/1000000)=0,0,((((売上前提!$C$20*$A24*売上前提!$E$20*売上前提!$H$20+売上前提!$C$22*$A24*売上前提!$E$22*売上前提!$H$22+売上前提!$C$24*$A24*E$21*売上前提!$H$24)+(売上前提!$J$21+売上前提!$J$23+売上前提!$J$25))*売上前提!$B$5/1000000)*(1-経費前提!$B$20)-経費前提!$B$24-MAX(0,(((売上前提!$C$20*$A24*売上前提!$E$20*売上前提!$H$20+売上前提!$C$22*$A24*売上前提!$E$22*売上前提!$H$22+売上前提!$C$24*$A24*E$21*売上前提!$H$24)+(売上前提!$J$21+売上前提!$J$23+売上前提!$J$25))*売上前提!$B$5/1000000)-経費前提!$B$26)*経費前提!$B$25-経費前提!$B$38)/(((売上前提!$C$20*$A24*売上前提!$E$20*売上前提!$H$20+売上前提!$C$22*$A24*売上前提!$E$22*売上前提!$H$22+売上前提!$C$24*$A24*E$21*売上前提!$H$24)+(売上前提!$J$21+売上前提!$J$23+売上前提!$J$25))*売上前提!$B$5/1000000))</f>
        <v>0.0765900435065991</v>
      </c>
      <c r="F24" s="19" t="n">
        <f aca="false">IF((((売上前提!$C$20*$A24*売上前提!$E$20*売上前提!$H$20+売上前提!$C$22*$A24*売上前提!$E$22*売上前提!$H$22+売上前提!$C$24*$A24*F$21*売上前提!$H$24)+(売上前提!$J$21+売上前提!$J$23+売上前提!$J$25))*売上前提!$B$5/1000000)=0,0,((((売上前提!$C$20*$A24*売上前提!$E$20*売上前提!$H$20+売上前提!$C$22*$A24*売上前提!$E$22*売上前提!$H$22+売上前提!$C$24*$A24*F$21*売上前提!$H$24)+(売上前提!$J$21+売上前提!$J$23+売上前提!$J$25))*売上前提!$B$5/1000000)*(1-経費前提!$B$20)-経費前提!$B$24-MAX(0,(((売上前提!$C$20*$A24*売上前提!$E$20*売上前提!$H$20+売上前提!$C$22*$A24*売上前提!$E$22*売上前提!$H$22+売上前提!$C$24*$A24*F$21*売上前提!$H$24)+(売上前提!$J$21+売上前提!$J$23+売上前提!$J$25))*売上前提!$B$5/1000000)-経費前提!$B$26)*経費前提!$B$25-経費前提!$B$38)/(((売上前提!$C$20*$A24*売上前提!$E$20*売上前提!$H$20+売上前提!$C$22*$A24*売上前提!$E$22*売上前提!$H$22+売上前提!$C$24*$A24*F$21*売上前提!$H$24)+(売上前提!$J$21+売上前提!$J$23+売上前提!$J$25))*売上前提!$B$5/1000000))</f>
        <v>0.0794522917728825</v>
      </c>
    </row>
    <row r="25" customFormat="false" ht="15" hidden="false" customHeight="false" outlineLevel="0" collapsed="false">
      <c r="A25" s="60" t="n">
        <v>0.8</v>
      </c>
      <c r="B25" s="19" t="n">
        <f aca="false">IF((((売上前提!$C$20*$A25*売上前提!$E$20*売上前提!$H$20+売上前提!$C$22*$A25*売上前提!$E$22*売上前提!$H$22+売上前提!$C$24*$A25*B$21*売上前提!$H$24)+(売上前提!$J$21+売上前提!$J$23+売上前提!$J$25))*売上前提!$B$5/1000000)=0,0,((((売上前提!$C$20*$A25*売上前提!$E$20*売上前提!$H$20+売上前提!$C$22*$A25*売上前提!$E$22*売上前提!$H$22+売上前提!$C$24*$A25*B$21*売上前提!$H$24)+(売上前提!$J$21+売上前提!$J$23+売上前提!$J$25))*売上前提!$B$5/1000000)*(1-経費前提!$B$20)-経費前提!$B$24-MAX(0,(((売上前提!$C$20*$A25*売上前提!$E$20*売上前提!$H$20+売上前提!$C$22*$A25*売上前提!$E$22*売上前提!$H$22+売上前提!$C$24*$A25*B$21*売上前提!$H$24)+(売上前提!$J$21+売上前提!$J$23+売上前提!$J$25))*売上前提!$B$5/1000000)-経費前提!$B$26)*経費前提!$B$25-経費前提!$B$38)/(((売上前提!$C$20*$A25*売上前提!$E$20*売上前提!$H$20+売上前提!$C$22*$A25*売上前提!$E$22*売上前提!$H$22+売上前提!$C$24*$A25*B$21*売上前提!$H$24)+(売上前提!$J$21+売上前提!$J$23+売上前提!$J$25))*売上前提!$B$5/1000000))</f>
        <v>0.0686989567834088</v>
      </c>
      <c r="C25" s="19" t="n">
        <f aca="false">IF((((売上前提!$C$20*$A25*売上前提!$E$20*売上前提!$H$20+売上前提!$C$22*$A25*売上前提!$E$22*売上前提!$H$22+売上前提!$C$24*$A25*C$21*売上前提!$H$24)+(売上前提!$J$21+売上前提!$J$23+売上前提!$J$25))*売上前提!$B$5/1000000)=0,0,((((売上前提!$C$20*$A25*売上前提!$E$20*売上前提!$H$20+売上前提!$C$22*$A25*売上前提!$E$22*売上前提!$H$22+売上前提!$C$24*$A25*C$21*売上前提!$H$24)+(売上前提!$J$21+売上前提!$J$23+売上前提!$J$25))*売上前提!$B$5/1000000)*(1-経費前提!$B$20)-経費前提!$B$24-MAX(0,(((売上前提!$C$20*$A25*売上前提!$E$20*売上前提!$H$20+売上前提!$C$22*$A25*売上前提!$E$22*売上前提!$H$22+売上前提!$C$24*$A25*C$21*売上前提!$H$24)+(売上前提!$J$21+売上前提!$J$23+売上前提!$J$25))*売上前提!$B$5/1000000)-経費前提!$B$26)*経費前提!$B$25-経費前提!$B$38)/(((売上前提!$C$20*$A25*売上前提!$E$20*売上前提!$H$20+売上前提!$C$22*$A25*売上前提!$E$22*売上前提!$H$22+売上前提!$C$24*$A25*C$21*売上前提!$H$24)+(売上前提!$J$21+売上前提!$J$23+売上前提!$J$25))*売上前提!$B$5/1000000))</f>
        <v>0.0726730584068625</v>
      </c>
      <c r="D25" s="19" t="n">
        <f aca="false">IF((((売上前提!$C$20*$A25*売上前提!$E$20*売上前提!$H$20+売上前提!$C$22*$A25*売上前提!$E$22*売上前提!$H$22+売上前提!$C$24*$A25*D$21*売上前提!$H$24)+(売上前提!$J$21+売上前提!$J$23+売上前提!$J$25))*売上前提!$B$5/1000000)=0,0,((((売上前提!$C$20*$A25*売上前提!$E$20*売上前提!$H$20+売上前提!$C$22*$A25*売上前提!$E$22*売上前提!$H$22+売上前提!$C$24*$A25*D$21*売上前提!$H$24)+(売上前提!$J$21+売上前提!$J$23+売上前提!$J$25))*売上前提!$B$5/1000000)*(1-経費前提!$B$20)-経費前提!$B$24-MAX(0,(((売上前提!$C$20*$A25*売上前提!$E$20*売上前提!$H$20+売上前提!$C$22*$A25*売上前提!$E$22*売上前提!$H$22+売上前提!$C$24*$A25*D$21*売上前提!$H$24)+(売上前提!$J$21+売上前提!$J$23+売上前提!$J$25))*売上前提!$B$5/1000000)-経費前提!$B$26)*経費前提!$B$25-経費前提!$B$38)/(((売上前提!$C$20*$A25*売上前提!$E$20*売上前提!$H$20+売上前提!$C$22*$A25*売上前提!$E$22*売上前提!$H$22+売上前提!$C$24*$A25*D$21*売上前提!$H$24)+(売上前提!$J$21+売上前提!$J$23+売上前提!$J$25))*売上前提!$B$5/1000000))</f>
        <v>0.0761632550538588</v>
      </c>
      <c r="E25" s="19" t="n">
        <f aca="false">IF((((売上前提!$C$20*$A25*売上前提!$E$20*売上前提!$H$20+売上前提!$C$22*$A25*売上前提!$E$22*売上前提!$H$22+売上前提!$C$24*$A25*E$21*売上前提!$H$24)+(売上前提!$J$21+売上前提!$J$23+売上前提!$J$25))*売上前提!$B$5/1000000)=0,0,((((売上前提!$C$20*$A25*売上前提!$E$20*売上前提!$H$20+売上前提!$C$22*$A25*売上前提!$E$22*売上前提!$H$22+売上前提!$C$24*$A25*E$21*売上前提!$H$24)+(売上前提!$J$21+売上前提!$J$23+売上前提!$J$25))*売上前提!$B$5/1000000)*(1-経費前提!$B$20)-経費前提!$B$24-MAX(0,(((売上前提!$C$20*$A25*売上前提!$E$20*売上前提!$H$20+売上前提!$C$22*$A25*売上前提!$E$22*売上前提!$H$22+売上前提!$C$24*$A25*E$21*売上前提!$H$24)+(売上前提!$J$21+売上前提!$J$23+売上前提!$J$25))*売上前提!$B$5/1000000)-経費前提!$B$26)*経費前提!$B$25-経費前提!$B$38)/(((売上前提!$C$20*$A25*売上前提!$E$20*売上前提!$H$20+売上前提!$C$22*$A25*売上前提!$E$22*売上前提!$H$22+売上前提!$C$24*$A25*E$21*売上前提!$H$24)+(売上前提!$J$21+売上前提!$J$23+売上前提!$J$25))*売上前提!$B$5/1000000))</f>
        <v>0.079252858283039</v>
      </c>
      <c r="F25" s="19" t="n">
        <f aca="false">IF((((売上前提!$C$20*$A25*売上前提!$E$20*売上前提!$H$20+売上前提!$C$22*$A25*売上前提!$E$22*売上前提!$H$22+売上前提!$C$24*$A25*F$21*売上前提!$H$24)+(売上前提!$J$21+売上前提!$J$23+売上前提!$J$25))*売上前提!$B$5/1000000)=0,0,((((売上前提!$C$20*$A25*売上前提!$E$20*売上前提!$H$20+売上前提!$C$22*$A25*売上前提!$E$22*売上前提!$H$22+売上前提!$C$24*$A25*F$21*売上前提!$H$24)+(売上前提!$J$21+売上前提!$J$23+売上前提!$J$25))*売上前提!$B$5/1000000)*(1-経費前提!$B$20)-経費前提!$B$24-MAX(0,(((売上前提!$C$20*$A25*売上前提!$E$20*売上前提!$H$20+売上前提!$C$22*$A25*売上前提!$E$22*売上前提!$H$22+売上前提!$C$24*$A25*F$21*売上前提!$H$24)+(売上前提!$J$21+売上前提!$J$23+売上前提!$J$25))*売上前提!$B$5/1000000)-経費前提!$B$26)*経費前提!$B$25-経費前提!$B$38)/(((売上前提!$C$20*$A25*売上前提!$E$20*売上前提!$H$20+売上前提!$C$22*$A25*売上前提!$E$22*売上前提!$H$22+売上前提!$C$24*$A25*F$21*売上前提!$H$24)+(売上前提!$J$21+売上前提!$J$23+売上前提!$J$25))*売上前提!$B$5/1000000))</f>
        <v>0.0820070931487204</v>
      </c>
    </row>
    <row r="26" customFormat="false" ht="15" hidden="false" customHeight="false" outlineLevel="0" collapsed="false">
      <c r="A26" s="60" t="n">
        <v>0.85</v>
      </c>
      <c r="B26" s="19" t="n">
        <f aca="false">IF((((売上前提!$C$20*$A26*売上前提!$E$20*売上前提!$H$20+売上前提!$C$22*$A26*売上前提!$E$22*売上前提!$H$22+売上前提!$C$24*$A26*B$21*売上前提!$H$24)+(売上前提!$J$21+売上前提!$J$23+売上前提!$J$25))*売上前提!$B$5/1000000)=0,0,((((売上前提!$C$20*$A26*売上前提!$E$20*売上前提!$H$20+売上前提!$C$22*$A26*売上前提!$E$22*売上前提!$H$22+売上前提!$C$24*$A26*B$21*売上前提!$H$24)+(売上前提!$J$21+売上前提!$J$23+売上前提!$J$25))*売上前提!$B$5/1000000)*(1-経費前提!$B$20)-経費前提!$B$24-MAX(0,(((売上前提!$C$20*$A26*売上前提!$E$20*売上前提!$H$20+売上前提!$C$22*$A26*売上前提!$E$22*売上前提!$H$22+売上前提!$C$24*$A26*B$21*売上前提!$H$24)+(売上前提!$J$21+売上前提!$J$23+売上前提!$J$25))*売上前提!$B$5/1000000)-経費前提!$B$26)*経費前提!$B$25-経費前提!$B$38)/(((売上前提!$C$20*$A26*売上前提!$E$20*売上前提!$H$20+売上前提!$C$22*$A26*売上前提!$E$22*売上前提!$H$22+売上前提!$C$24*$A26*B$21*売上前提!$H$24)+(売上前提!$J$21+売上前提!$J$23+売上前提!$J$25))*売上前提!$B$5/1000000))</f>
        <v>0.0714634396973655</v>
      </c>
      <c r="C26" s="19" t="n">
        <f aca="false">IF((((売上前提!$C$20*$A26*売上前提!$E$20*売上前提!$H$20+売上前提!$C$22*$A26*売上前提!$E$22*売上前提!$H$22+売上前提!$C$24*$A26*C$21*売上前提!$H$24)+(売上前提!$J$21+売上前提!$J$23+売上前提!$J$25))*売上前提!$B$5/1000000)=0,0,((((売上前提!$C$20*$A26*売上前提!$E$20*売上前提!$H$20+売上前提!$C$22*$A26*売上前提!$E$22*売上前提!$H$22+売上前提!$C$24*$A26*C$21*売上前提!$H$24)+(売上前提!$J$21+売上前提!$J$23+売上前提!$J$25))*売上前提!$B$5/1000000)*(1-経費前提!$B$20)-経費前提!$B$24-MAX(0,(((売上前提!$C$20*$A26*売上前提!$E$20*売上前提!$H$20+売上前提!$C$22*$A26*売上前提!$E$22*売上前提!$H$22+売上前提!$C$24*$A26*C$21*売上前提!$H$24)+(売上前提!$J$21+売上前提!$J$23+売上前提!$J$25))*売上前提!$B$5/1000000)-経費前提!$B$26)*経費前提!$B$25-経費前提!$B$38)/(((売上前提!$C$20*$A26*売上前提!$E$20*売上前提!$H$20+売上前提!$C$22*$A26*売上前提!$E$22*売上前提!$H$22+売上前提!$C$24*$A26*C$21*売上前提!$H$24)+(売上前提!$J$21+売上前提!$J$23+売上前提!$J$25))*売上前提!$B$5/1000000))</f>
        <v>0.0753100318280538</v>
      </c>
      <c r="D26" s="19" t="n">
        <f aca="false">IF((((売上前提!$C$20*$A26*売上前提!$E$20*売上前提!$H$20+売上前提!$C$22*$A26*売上前提!$E$22*売上前提!$H$22+売上前提!$C$24*$A26*D$21*売上前提!$H$24)+(売上前提!$J$21+売上前提!$J$23+売上前提!$J$25))*売上前提!$B$5/1000000)=0,0,((((売上前提!$C$20*$A26*売上前提!$E$20*売上前提!$H$20+売上前提!$C$22*$A26*売上前提!$E$22*売上前提!$H$22+売上前提!$C$24*$A26*D$21*売上前提!$H$24)+(売上前提!$J$21+売上前提!$J$23+売上前提!$J$25))*売上前提!$B$5/1000000)*(1-経費前提!$B$20)-経費前提!$B$24-MAX(0,(((売上前提!$C$20*$A26*売上前提!$E$20*売上前提!$H$20+売上前提!$C$22*$A26*売上前提!$E$22*売上前提!$H$22+売上前提!$C$24*$A26*D$21*売上前提!$H$24)+(売上前提!$J$21+売上前提!$J$23+売上前提!$J$25))*売上前提!$B$5/1000000)-経費前提!$B$26)*経費前提!$B$25-経費前提!$B$38)/(((売上前提!$C$20*$A26*売上前提!$E$20*売上前提!$H$20+売上前提!$C$22*$A26*売上前提!$E$22*売上前提!$H$22+売上前提!$C$24*$A26*D$21*売上前提!$H$24)+(売上前提!$J$21+売上前提!$J$23+売上前提!$J$25))*売上前提!$B$5/1000000))</f>
        <v>0.0786822564270375</v>
      </c>
      <c r="E26" s="19" t="n">
        <f aca="false">IF((((売上前提!$C$20*$A26*売上前提!$E$20*売上前提!$H$20+売上前提!$C$22*$A26*売上前提!$E$22*売上前提!$H$22+売上前提!$C$24*$A26*E$21*売上前提!$H$24)+(売上前提!$J$21+売上前提!$J$23+売上前提!$J$25))*売上前提!$B$5/1000000)=0,0,((((売上前提!$C$20*$A26*売上前提!$E$20*売上前提!$H$20+売上前提!$C$22*$A26*売上前提!$E$22*売上前提!$H$22+売上前提!$C$24*$A26*E$21*売上前提!$H$24)+(売上前提!$J$21+売上前提!$J$23+売上前提!$J$25))*売上前提!$B$5/1000000)*(1-経費前提!$B$20)-経費前提!$B$24-MAX(0,(((売上前提!$C$20*$A26*売上前提!$E$20*売上前提!$H$20+売上前提!$C$22*$A26*売上前提!$E$22*売上前提!$H$22+売上前提!$C$24*$A26*E$21*売上前提!$H$24)+(売上前提!$J$21+売上前提!$J$23+売上前提!$J$25))*売上前提!$B$5/1000000)-経費前提!$B$26)*経費前提!$B$25-経費前提!$B$38)/(((売上前提!$C$20*$A26*売上前提!$E$20*売上前提!$H$20+売上前提!$C$22*$A26*売上前提!$E$22*売上前提!$H$22+売上前提!$C$24*$A26*E$21*売上前提!$H$24)+(売上前提!$J$21+売上前提!$J$23+売上前提!$J$25))*売上前提!$B$5/1000000))</f>
        <v>0.0816627666176159</v>
      </c>
      <c r="F26" s="19" t="n">
        <f aca="false">IF((((売上前提!$C$20*$A26*売上前提!$E$20*売上前提!$H$20+売上前提!$C$22*$A26*売上前提!$E$22*売上前提!$H$22+売上前提!$C$24*$A26*F$21*売上前提!$H$24)+(売上前提!$J$21+売上前提!$J$23+売上前提!$J$25))*売上前提!$B$5/1000000)=0,0,((((売上前提!$C$20*$A26*売上前提!$E$20*売上前提!$H$20+売上前提!$C$22*$A26*売上前提!$E$22*売上前提!$H$22+売上前提!$C$24*$A26*F$21*売上前提!$H$24)+(売上前提!$J$21+売上前提!$J$23+売上前提!$J$25))*売上前提!$B$5/1000000)*(1-経費前提!$B$20)-経費前提!$B$24-MAX(0,(((売上前提!$C$20*$A26*売上前提!$E$20*売上前提!$H$20+売上前提!$C$22*$A26*売上前提!$E$22*売上前提!$H$22+売上前提!$C$24*$A26*F$21*売上前提!$H$24)+(売上前提!$J$21+売上前提!$J$23+売上前提!$J$25))*売上前提!$B$5/1000000)-経費前提!$B$26)*経費前提!$B$25-経費前提!$B$38)/(((売上前提!$C$20*$A26*売上前提!$E$20*売上前提!$H$20+売上前提!$C$22*$A26*売上前提!$E$22*売上前提!$H$22+売上前提!$C$24*$A26*F$21*売上前提!$H$24)+(売上前提!$J$21+売上前提!$J$23+売上前提!$J$25))*売上前提!$B$5/1000000))</f>
        <v>0.0843160677220669</v>
      </c>
    </row>
    <row r="28" customFormat="false" ht="15" hidden="false" customHeight="false" outlineLevel="0" collapsed="false">
      <c r="A28" s="48" t="s">
        <v>209</v>
      </c>
    </row>
    <row r="29" customFormat="false" ht="15" hidden="false" customHeight="false" outlineLevel="0" collapsed="false">
      <c r="A29" s="2" t="s">
        <v>210</v>
      </c>
    </row>
  </sheetData>
  <conditionalFormatting sqref="B6:F10">
    <cfRule type="expression" priority="2" aboveAverage="0" equalAverage="0" bottom="0" percent="0" rank="0" text="" dxfId="0">
      <formula>AND(ROUND($A6,4)=ROUND(売上前提!$D$20,4),ROUND(B$5,4)=ROUND(売上前提!$E$24,4))</formula>
    </cfRule>
  </conditionalFormatting>
  <conditionalFormatting sqref="B14:F18">
    <cfRule type="expression" priority="3" aboveAverage="0" equalAverage="0" bottom="0" percent="0" rank="0" text="" dxfId="0">
      <formula>AND(ROUND($A14,4)=ROUND(売上前提!$D$20,4),ROUND(B$13,4)=ROUND(売上前提!$E$24,4))</formula>
    </cfRule>
  </conditionalFormatting>
  <conditionalFormatting sqref="B22:F26">
    <cfRule type="expression" priority="4" aboveAverage="0" equalAverage="0" bottom="0" percent="0" rank="0" text="" dxfId="0">
      <formula>AND(ROUND($A22,4)=ROUND(売上前提!$D$20,4),ROUND(B$21,4)=ROUND(売上前提!$E$24,4))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2026-10-07T05:20:47Z</dcterms:created>
  <dc:creator>openpyxl</dc:creator>
  <dc:description/>
  <dc:language>en-US</dc:language>
  <cp:lastModifiedBy/>
  <dcterms:modified xsi:type="dcterms:W3CDTF">2026-10-07T05:20:47Z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