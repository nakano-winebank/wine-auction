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サマリー" sheetId="1" state="visible" r:id="rId3"/>
    <sheet name="前提条件" sheetId="2" state="visible" r:id="rId4"/>
    <sheet name="単店モデルPL" sheetId="3" state="visible" r:id="rId5"/>
    <sheet name="店舗群別PL" sheetId="4" state="visible" r:id="rId6"/>
    <sheet name="5カ年連結PL" sheetId="5" state="visible" r:id="rId7"/>
    <sheet name="投資・キャッシュフロー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<sst xmlns="http://schemas.openxmlformats.org/spreadsheetml/2006/main" count="377" uniqueCount="183">
  <si>
    <r>
      <rPr>
        <b val="true"/>
        <sz val="11"/>
        <color rgb="FFFFFFFF"/>
        <rFont val="Meiryo"/>
        <family val="0"/>
        <charset val="1"/>
      </rPr>
      <t xml:space="preserve">BRASSERIE Thierry Marx</t>
    </r>
    <r>
      <rPr>
        <b val="true"/>
        <sz val="11"/>
        <color rgb="FFFFFFFF"/>
        <rFont val="WenQuanYi Zen Hei"/>
        <family val="2"/>
      </rPr>
      <t xml:space="preserve">（仮称）　</t>
    </r>
    <r>
      <rPr>
        <b val="true"/>
        <sz val="11"/>
        <color rgb="FFFFFFFF"/>
        <rFont val="Meiryo"/>
        <family val="0"/>
        <charset val="1"/>
      </rPr>
      <t xml:space="preserve">5</t>
    </r>
    <r>
      <rPr>
        <b val="true"/>
        <sz val="11"/>
        <color rgb="FFFFFFFF"/>
        <rFont val="WenQuanYi Zen Hei"/>
        <family val="2"/>
      </rPr>
      <t xml:space="preserve">か年事業計画　</t>
    </r>
    <r>
      <rPr>
        <b val="true"/>
        <sz val="11"/>
        <color rgb="FFFFFFFF"/>
        <rFont val="Meiryo"/>
        <family val="0"/>
        <charset val="1"/>
      </rPr>
      <t xml:space="preserve">FY2027-FY2031</t>
    </r>
  </si>
  <si>
    <r>
      <rPr>
        <sz val="9"/>
        <color rgb="FF7F7F7F"/>
        <rFont val="WenQuanYi Zen Hei"/>
        <family val="2"/>
      </rPr>
      <t xml:space="preserve">単位：百万円　／　</t>
    </r>
    <r>
      <rPr>
        <sz val="9"/>
        <color rgb="FF7F7F7F"/>
        <rFont val="Meiryo"/>
        <family val="0"/>
        <charset val="1"/>
      </rPr>
      <t xml:space="preserve">FY</t>
    </r>
    <r>
      <rPr>
        <sz val="9"/>
        <color rgb="FF7F7F7F"/>
        <rFont val="WenQuanYi Zen Hei"/>
        <family val="2"/>
      </rPr>
      <t xml:space="preserve">＝</t>
    </r>
    <r>
      <rPr>
        <sz val="9"/>
        <color rgb="FF7F7F7F"/>
        <rFont val="Meiryo"/>
        <family val="0"/>
        <charset val="1"/>
      </rPr>
      <t xml:space="preserve">4</t>
    </r>
    <r>
      <rPr>
        <sz val="9"/>
        <color rgb="FF7F7F7F"/>
        <rFont val="WenQuanYi Zen Hei"/>
        <family val="2"/>
      </rPr>
      <t xml:space="preserve">月〜翌</t>
    </r>
    <r>
      <rPr>
        <sz val="9"/>
        <color rgb="FF7F7F7F"/>
        <rFont val="Meiryo"/>
        <family val="0"/>
        <charset val="1"/>
      </rPr>
      <t xml:space="preserve">3</t>
    </r>
    <r>
      <rPr>
        <sz val="9"/>
        <color rgb="FF7F7F7F"/>
        <rFont val="WenQuanYi Zen Hei"/>
        <family val="2"/>
      </rPr>
      <t xml:space="preserve">月　／　六本木ミッドタウン店 </t>
    </r>
    <r>
      <rPr>
        <sz val="9"/>
        <color rgb="FF7F7F7F"/>
        <rFont val="Meiryo"/>
        <family val="0"/>
        <charset val="1"/>
      </rPr>
      <t xml:space="preserve">2026</t>
    </r>
    <r>
      <rPr>
        <sz val="9"/>
        <color rgb="FF7F7F7F"/>
        <rFont val="WenQuanYi Zen Hei"/>
        <family val="2"/>
      </rPr>
      <t xml:space="preserve">年</t>
    </r>
    <r>
      <rPr>
        <sz val="9"/>
        <color rgb="FF7F7F7F"/>
        <rFont val="Meiryo"/>
        <family val="0"/>
        <charset val="1"/>
      </rPr>
      <t xml:space="preserve">8</t>
    </r>
    <r>
      <rPr>
        <sz val="9"/>
        <color rgb="FF7F7F7F"/>
        <rFont val="WenQuanYi Zen Hei"/>
        <family val="2"/>
      </rPr>
      <t xml:space="preserve">月</t>
    </r>
    <r>
      <rPr>
        <sz val="9"/>
        <color rgb="FF7F7F7F"/>
        <rFont val="Meiryo"/>
        <family val="0"/>
        <charset val="1"/>
      </rPr>
      <t xml:space="preserve">3</t>
    </r>
    <r>
      <rPr>
        <sz val="9"/>
        <color rgb="FF7F7F7F"/>
        <rFont val="WenQuanYi Zen Hei"/>
        <family val="2"/>
      </rPr>
      <t xml:space="preserve">日提出</t>
    </r>
    <r>
      <rPr>
        <sz val="9"/>
        <color rgb="FF7F7F7F"/>
        <rFont val="Meiryo"/>
        <family val="0"/>
        <charset val="1"/>
      </rPr>
      <t xml:space="preserve">P&amp;L </t>
    </r>
    <r>
      <rPr>
        <sz val="9"/>
        <color rgb="FF7F7F7F"/>
        <rFont val="WenQuanYi Zen Hei"/>
        <family val="2"/>
      </rPr>
      <t xml:space="preserve">準拠</t>
    </r>
  </si>
  <si>
    <t xml:space="preserve">■ 出店ロードマップ</t>
  </si>
  <si>
    <t xml:space="preserve">FY2027</t>
  </si>
  <si>
    <r>
      <rPr>
        <sz val="10"/>
        <color rgb="FF000000"/>
        <rFont val="WenQuanYi Zen Hei"/>
        <family val="2"/>
      </rPr>
      <t xml:space="preserve">六本木ミッドタウン </t>
    </r>
    <r>
      <rPr>
        <sz val="10"/>
        <color rgb="FF000000"/>
        <rFont val="Meiryo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店（</t>
    </r>
    <r>
      <rPr>
        <sz val="10"/>
        <color rgb="FF000000"/>
        <rFont val="Meiryo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Meiryo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月開業）</t>
    </r>
  </si>
  <si>
    <r>
      <rPr>
        <b val="true"/>
        <sz val="10"/>
        <color rgb="FFC00000"/>
        <rFont val="WenQuanYi Zen Hei"/>
        <family val="2"/>
      </rPr>
      <t xml:space="preserve">期末 </t>
    </r>
    <r>
      <rPr>
        <b val="true"/>
        <sz val="10"/>
        <color rgb="FFC00000"/>
        <rFont val="Meiryo"/>
        <family val="0"/>
        <charset val="1"/>
      </rPr>
      <t xml:space="preserve">1</t>
    </r>
    <r>
      <rPr>
        <b val="true"/>
        <sz val="10"/>
        <color rgb="FFC00000"/>
        <rFont val="WenQuanYi Zen Hei"/>
        <family val="2"/>
      </rPr>
      <t xml:space="preserve">店</t>
    </r>
  </si>
  <si>
    <t xml:space="preserve">FY2028</t>
  </si>
  <si>
    <r>
      <rPr>
        <sz val="10"/>
        <color rgb="FF000000"/>
        <rFont val="WenQuanYi Zen Hei"/>
        <family val="2"/>
      </rPr>
      <t xml:space="preserve">札幌・大阪 </t>
    </r>
    <r>
      <rPr>
        <sz val="10"/>
        <color rgb="FF000000"/>
        <rFont val="Meiryo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店</t>
    </r>
  </si>
  <si>
    <r>
      <rPr>
        <b val="true"/>
        <sz val="10"/>
        <color rgb="FFC00000"/>
        <rFont val="WenQuanYi Zen Hei"/>
        <family val="2"/>
      </rPr>
      <t xml:space="preserve">期末 </t>
    </r>
    <r>
      <rPr>
        <b val="true"/>
        <sz val="10"/>
        <color rgb="FFC00000"/>
        <rFont val="Meiryo"/>
        <family val="0"/>
        <charset val="1"/>
      </rPr>
      <t xml:space="preserve">3</t>
    </r>
    <r>
      <rPr>
        <b val="true"/>
        <sz val="10"/>
        <color rgb="FFC00000"/>
        <rFont val="WenQuanYi Zen Hei"/>
        <family val="2"/>
      </rPr>
      <t xml:space="preserve">店</t>
    </r>
  </si>
  <si>
    <t xml:space="preserve">FY2029</t>
  </si>
  <si>
    <r>
      <rPr>
        <sz val="10"/>
        <color rgb="FF000000"/>
        <rFont val="WenQuanYi Zen Hei"/>
        <family val="2"/>
      </rPr>
      <t xml:space="preserve">首都圏・他政令指定都市 </t>
    </r>
    <r>
      <rPr>
        <sz val="10"/>
        <color rgb="FF000000"/>
        <rFont val="Meiryo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店</t>
    </r>
  </si>
  <si>
    <r>
      <rPr>
        <b val="true"/>
        <sz val="10"/>
        <color rgb="FFC00000"/>
        <rFont val="WenQuanYi Zen Hei"/>
        <family val="2"/>
      </rPr>
      <t xml:space="preserve">期末 </t>
    </r>
    <r>
      <rPr>
        <b val="true"/>
        <sz val="10"/>
        <color rgb="FFC00000"/>
        <rFont val="Meiryo"/>
        <family val="0"/>
        <charset val="1"/>
      </rPr>
      <t xml:space="preserve">5</t>
    </r>
    <r>
      <rPr>
        <b val="true"/>
        <sz val="10"/>
        <color rgb="FFC00000"/>
        <rFont val="WenQuanYi Zen Hei"/>
        <family val="2"/>
      </rPr>
      <t xml:space="preserve">店</t>
    </r>
  </si>
  <si>
    <t xml:space="preserve">FY2030</t>
  </si>
  <si>
    <r>
      <rPr>
        <sz val="10"/>
        <color rgb="FF000000"/>
        <rFont val="WenQuanYi Zen Hei"/>
        <family val="2"/>
      </rPr>
      <t xml:space="preserve">リゾート含め 年</t>
    </r>
    <r>
      <rPr>
        <sz val="10"/>
        <color rgb="FF000000"/>
        <rFont val="Meiryo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店</t>
    </r>
  </si>
  <si>
    <r>
      <rPr>
        <b val="true"/>
        <sz val="10"/>
        <color rgb="FFC00000"/>
        <rFont val="WenQuanYi Zen Hei"/>
        <family val="2"/>
      </rPr>
      <t xml:space="preserve">期末 </t>
    </r>
    <r>
      <rPr>
        <b val="true"/>
        <sz val="10"/>
        <color rgb="FFC00000"/>
        <rFont val="Meiryo"/>
        <family val="0"/>
        <charset val="1"/>
      </rPr>
      <t xml:space="preserve">7</t>
    </r>
    <r>
      <rPr>
        <b val="true"/>
        <sz val="10"/>
        <color rgb="FFC00000"/>
        <rFont val="WenQuanYi Zen Hei"/>
        <family val="2"/>
      </rPr>
      <t xml:space="preserve">店</t>
    </r>
  </si>
  <si>
    <t xml:space="preserve">FY2031</t>
  </si>
  <si>
    <r>
      <rPr>
        <b val="true"/>
        <sz val="10"/>
        <color rgb="FFC00000"/>
        <rFont val="WenQuanYi Zen Hei"/>
        <family val="2"/>
      </rPr>
      <t xml:space="preserve">期末 </t>
    </r>
    <r>
      <rPr>
        <b val="true"/>
        <sz val="10"/>
        <color rgb="FFC00000"/>
        <rFont val="Meiryo"/>
        <family val="0"/>
        <charset val="1"/>
      </rPr>
      <t xml:space="preserve">9</t>
    </r>
    <r>
      <rPr>
        <b val="true"/>
        <sz val="10"/>
        <color rgb="FFC00000"/>
        <rFont val="WenQuanYi Zen Hei"/>
        <family val="2"/>
      </rPr>
      <t xml:space="preserve">店</t>
    </r>
  </si>
  <si>
    <t xml:space="preserve">■ 連結業績サマリー</t>
  </si>
  <si>
    <t xml:space="preserve">項　目</t>
  </si>
  <si>
    <r>
      <rPr>
        <b val="true"/>
        <sz val="10"/>
        <color rgb="FF000000"/>
        <rFont val="Meiryo"/>
        <family val="0"/>
        <charset val="1"/>
      </rPr>
      <t xml:space="preserve">5</t>
    </r>
    <r>
      <rPr>
        <b val="true"/>
        <sz val="10"/>
        <color rgb="FF000000"/>
        <rFont val="WenQuanYi Zen Hei"/>
        <family val="2"/>
      </rPr>
      <t xml:space="preserve">年累計</t>
    </r>
  </si>
  <si>
    <t xml:space="preserve">期末店舗数（店）</t>
  </si>
  <si>
    <t xml:space="preserve">売上高</t>
  </si>
  <si>
    <r>
      <rPr>
        <sz val="10"/>
        <color rgb="FF000000"/>
        <rFont val="WenQuanYi Zen Hei"/>
        <family val="2"/>
      </rPr>
      <t xml:space="preserve">店舗</t>
    </r>
    <r>
      <rPr>
        <sz val="10"/>
        <color rgb="FF000000"/>
        <rFont val="Meiryo"/>
        <family val="0"/>
        <charset val="1"/>
      </rPr>
      <t xml:space="preserve">EBITDA</t>
    </r>
    <r>
      <rPr>
        <sz val="10"/>
        <color rgb="FF000000"/>
        <rFont val="WenQuanYi Zen Hei"/>
        <family val="2"/>
      </rPr>
      <t xml:space="preserve">　計</t>
    </r>
  </si>
  <si>
    <t xml:space="preserve">本部費</t>
  </si>
  <si>
    <r>
      <rPr>
        <b val="true"/>
        <sz val="10"/>
        <color rgb="FF000000"/>
        <rFont val="WenQuanYi Zen Hei"/>
        <family val="2"/>
      </rPr>
      <t xml:space="preserve">連結</t>
    </r>
    <r>
      <rPr>
        <b val="true"/>
        <sz val="10"/>
        <color rgb="FF000000"/>
        <rFont val="Meiryo"/>
        <family val="0"/>
        <charset val="1"/>
      </rPr>
      <t xml:space="preserve">EBITDA</t>
    </r>
  </si>
  <si>
    <r>
      <rPr>
        <b val="true"/>
        <sz val="10"/>
        <color rgb="FF000000"/>
        <rFont val="WenQuanYi Zen Hei"/>
        <family val="2"/>
      </rPr>
      <t xml:space="preserve">　</t>
    </r>
    <r>
      <rPr>
        <b val="true"/>
        <sz val="10"/>
        <color rgb="FF000000"/>
        <rFont val="Meiryo"/>
        <family val="0"/>
        <charset val="1"/>
      </rPr>
      <t xml:space="preserve">EBITDA</t>
    </r>
    <r>
      <rPr>
        <b val="true"/>
        <sz val="10"/>
        <color rgb="FF000000"/>
        <rFont val="WenQuanYi Zen Hei"/>
        <family val="2"/>
      </rPr>
      <t xml:space="preserve">率</t>
    </r>
  </si>
  <si>
    <t xml:space="preserve">減価償却費</t>
  </si>
  <si>
    <t xml:space="preserve">営業利益</t>
  </si>
  <si>
    <t xml:space="preserve">　営業利益率</t>
  </si>
  <si>
    <r>
      <rPr>
        <b val="true"/>
        <sz val="11"/>
        <color rgb="FFC00000"/>
        <rFont val="WenQuanYi Zen Hei"/>
        <family val="2"/>
      </rPr>
      <t xml:space="preserve">【目標達成】</t>
    </r>
    <r>
      <rPr>
        <b val="true"/>
        <sz val="11"/>
        <color rgb="FFC00000"/>
        <rFont val="Meiryo"/>
        <family val="0"/>
        <charset val="1"/>
      </rPr>
      <t xml:space="preserve">FY2028</t>
    </r>
    <r>
      <rPr>
        <b val="true"/>
        <sz val="11"/>
        <color rgb="FFC00000"/>
        <rFont val="WenQuanYi Zen Hei"/>
        <family val="2"/>
      </rPr>
      <t xml:space="preserve">に連結</t>
    </r>
    <r>
      <rPr>
        <b val="true"/>
        <sz val="11"/>
        <color rgb="FFC00000"/>
        <rFont val="Meiryo"/>
        <family val="0"/>
        <charset val="1"/>
      </rPr>
      <t xml:space="preserve">EBITDA</t>
    </r>
    <r>
      <rPr>
        <b val="true"/>
        <sz val="11"/>
        <color rgb="FFC00000"/>
        <rFont val="WenQuanYi Zen Hei"/>
        <family val="2"/>
      </rPr>
      <t xml:space="preserve">率</t>
    </r>
    <r>
      <rPr>
        <b val="true"/>
        <sz val="11"/>
        <color rgb="FFC00000"/>
        <rFont val="Meiryo"/>
        <family val="0"/>
        <charset val="1"/>
      </rPr>
      <t xml:space="preserve">10%</t>
    </r>
    <r>
      <rPr>
        <b val="true"/>
        <sz val="11"/>
        <color rgb="FFC00000"/>
        <rFont val="WenQuanYi Zen Hei"/>
        <family val="2"/>
      </rPr>
      <t xml:space="preserve">超　／　</t>
    </r>
    <r>
      <rPr>
        <b val="true"/>
        <sz val="11"/>
        <color rgb="FFC00000"/>
        <rFont val="Meiryo"/>
        <family val="0"/>
        <charset val="1"/>
      </rPr>
      <t xml:space="preserve">FY2029</t>
    </r>
    <r>
      <rPr>
        <b val="true"/>
        <sz val="11"/>
        <color rgb="FFC00000"/>
        <rFont val="WenQuanYi Zen Hei"/>
        <family val="2"/>
      </rPr>
      <t xml:space="preserve">に営業利益率</t>
    </r>
    <r>
      <rPr>
        <b val="true"/>
        <sz val="11"/>
        <color rgb="FFC00000"/>
        <rFont val="Meiryo"/>
        <family val="0"/>
        <charset val="1"/>
      </rPr>
      <t xml:space="preserve">5%</t>
    </r>
    <r>
      <rPr>
        <b val="true"/>
        <sz val="11"/>
        <color rgb="FFC00000"/>
        <rFont val="WenQuanYi Zen Hei"/>
        <family val="2"/>
      </rPr>
      <t xml:space="preserve">超　→　以降も継続的に改善</t>
    </r>
  </si>
  <si>
    <t xml:space="preserve">■ 単店モデル（六本木ミッドタウン）</t>
  </si>
  <si>
    <r>
      <rPr>
        <b val="true"/>
        <sz val="10"/>
        <color rgb="FF000000"/>
        <rFont val="Meiryo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年目</t>
    </r>
  </si>
  <si>
    <r>
      <rPr>
        <b val="true"/>
        <sz val="10"/>
        <color rgb="FF000000"/>
        <rFont val="Meiryo"/>
        <family val="0"/>
        <charset val="1"/>
      </rPr>
      <t xml:space="preserve">2</t>
    </r>
    <r>
      <rPr>
        <b val="true"/>
        <sz val="10"/>
        <color rgb="FF000000"/>
        <rFont val="WenQuanYi Zen Hei"/>
        <family val="2"/>
      </rPr>
      <t xml:space="preserve">年目</t>
    </r>
  </si>
  <si>
    <r>
      <rPr>
        <b val="true"/>
        <sz val="10"/>
        <color rgb="FF000000"/>
        <rFont val="Meiryo"/>
        <family val="0"/>
        <charset val="1"/>
      </rPr>
      <t xml:space="preserve">3</t>
    </r>
    <r>
      <rPr>
        <b val="true"/>
        <sz val="10"/>
        <color rgb="FF000000"/>
        <rFont val="WenQuanYi Zen Hei"/>
        <family val="2"/>
      </rPr>
      <t xml:space="preserve">年目以降</t>
    </r>
  </si>
  <si>
    <t xml:space="preserve">EBITDA</t>
  </si>
  <si>
    <t xml:space="preserve">■ 投資・キャッシュフロー サマリー</t>
  </si>
  <si>
    <t xml:space="preserve">新規出店数（店）</t>
  </si>
  <si>
    <t xml:space="preserve">初期投資（総額）</t>
  </si>
  <si>
    <t xml:space="preserve">開業時 現金支出</t>
  </si>
  <si>
    <t xml:space="preserve">投資キャッシュアウト 計</t>
  </si>
  <si>
    <t xml:space="preserve">簡易フリーキャッシュフロー</t>
  </si>
  <si>
    <t xml:space="preserve">累計フリーキャッシュフロー</t>
  </si>
  <si>
    <r>
      <rPr>
        <sz val="9"/>
        <color rgb="FF7F7F7F"/>
        <rFont val="WenQuanYi Zen Hei"/>
        <family val="2"/>
      </rPr>
      <t xml:space="preserve">※ 分割払いスキームにより</t>
    </r>
    <r>
      <rPr>
        <sz val="9"/>
        <color rgb="FF7F7F7F"/>
        <rFont val="Meiryo"/>
        <family val="0"/>
        <charset val="1"/>
      </rPr>
      <t xml:space="preserve">5</t>
    </r>
    <r>
      <rPr>
        <sz val="9"/>
        <color rgb="FF7F7F7F"/>
        <rFont val="WenQuanYi Zen Hei"/>
        <family val="2"/>
      </rPr>
      <t xml:space="preserve">年間の現金投資額を</t>
    </r>
    <r>
      <rPr>
        <sz val="9"/>
        <color rgb="FF7F7F7F"/>
        <rFont val="Meiryo"/>
        <family val="0"/>
        <charset val="1"/>
      </rPr>
      <t xml:space="preserve">21.9</t>
    </r>
    <r>
      <rPr>
        <sz val="9"/>
        <color rgb="FF7F7F7F"/>
        <rFont val="WenQuanYi Zen Hei"/>
        <family val="2"/>
      </rPr>
      <t xml:space="preserve">億円 → </t>
    </r>
    <r>
      <rPr>
        <sz val="9"/>
        <color rgb="FF7F7F7F"/>
        <rFont val="Meiryo"/>
        <family val="0"/>
        <charset val="1"/>
      </rPr>
      <t xml:space="preserve">12.9</t>
    </r>
    <r>
      <rPr>
        <sz val="9"/>
        <color rgb="FF7F7F7F"/>
        <rFont val="WenQuanYi Zen Hei"/>
        <family val="2"/>
      </rPr>
      <t xml:space="preserve">億円に圧縮。</t>
    </r>
    <r>
      <rPr>
        <sz val="9"/>
        <color rgb="FF7F7F7F"/>
        <rFont val="Meiryo"/>
        <family val="0"/>
        <charset val="1"/>
      </rPr>
      <t xml:space="preserve">FY2030</t>
    </r>
    <r>
      <rPr>
        <sz val="9"/>
        <color rgb="FF7F7F7F"/>
        <rFont val="WenQuanYi Zen Hei"/>
        <family val="2"/>
      </rPr>
      <t xml:space="preserve">に単年</t>
    </r>
    <r>
      <rPr>
        <sz val="9"/>
        <color rgb="FF7F7F7F"/>
        <rFont val="Meiryo"/>
        <family val="0"/>
        <charset val="1"/>
      </rPr>
      <t xml:space="preserve">FCF</t>
    </r>
    <r>
      <rPr>
        <sz val="9"/>
        <color rgb="FF7F7F7F"/>
        <rFont val="WenQuanYi Zen Hei"/>
        <family val="2"/>
      </rPr>
      <t xml:space="preserve">黒字化、</t>
    </r>
    <r>
      <rPr>
        <sz val="9"/>
        <color rgb="FF7F7F7F"/>
        <rFont val="Meiryo"/>
        <family val="0"/>
        <charset val="1"/>
      </rPr>
      <t xml:space="preserve">5</t>
    </r>
    <r>
      <rPr>
        <sz val="9"/>
        <color rgb="FF7F7F7F"/>
        <rFont val="WenQuanYi Zen Hei"/>
        <family val="2"/>
      </rPr>
      <t xml:space="preserve">年累計</t>
    </r>
    <r>
      <rPr>
        <sz val="9"/>
        <color rgb="FF7F7F7F"/>
        <rFont val="Meiryo"/>
        <family val="0"/>
        <charset val="1"/>
      </rPr>
      <t xml:space="preserve">FCF</t>
    </r>
    <r>
      <rPr>
        <sz val="9"/>
        <color rgb="FF7F7F7F"/>
        <rFont val="WenQuanYi Zen Hei"/>
        <family val="2"/>
      </rPr>
      <t xml:space="preserve">はほぼ均衡。</t>
    </r>
  </si>
  <si>
    <r>
      <rPr>
        <sz val="9"/>
        <color rgb="FF7F7F7F"/>
        <rFont val="WenQuanYi Zen Hei"/>
        <family val="2"/>
      </rPr>
      <t xml:space="preserve">※ 保証金（</t>
    </r>
    <r>
      <rPr>
        <sz val="9"/>
        <color rgb="FF7F7F7F"/>
        <rFont val="Meiryo"/>
        <family val="0"/>
        <charset val="1"/>
      </rPr>
      <t xml:space="preserve">9</t>
    </r>
    <r>
      <rPr>
        <sz val="9"/>
        <color rgb="FF7F7F7F"/>
        <rFont val="WenQuanYi Zen Hei"/>
        <family val="2"/>
      </rPr>
      <t xml:space="preserve">店合計</t>
    </r>
    <r>
      <rPr>
        <sz val="9"/>
        <color rgb="FF7F7F7F"/>
        <rFont val="Meiryo"/>
        <family val="0"/>
        <charset val="1"/>
      </rPr>
      <t xml:space="preserve">350</t>
    </r>
    <r>
      <rPr>
        <sz val="9"/>
        <color rgb="FF7F7F7F"/>
        <rFont val="WenQuanYi Zen Hei"/>
        <family val="2"/>
      </rPr>
      <t xml:space="preserve">百万円）は退去時返還対象。</t>
    </r>
  </si>
  <si>
    <r>
      <rPr>
        <b val="true"/>
        <sz val="10"/>
        <color rgb="FF000000"/>
        <rFont val="WenQuanYi Zen Hei"/>
        <family val="2"/>
      </rPr>
      <t xml:space="preserve">■ 経費改善レバー（提出</t>
    </r>
    <r>
      <rPr>
        <b val="true"/>
        <sz val="10"/>
        <color rgb="FF000000"/>
        <rFont val="Meiryo"/>
        <family val="0"/>
        <charset val="1"/>
      </rPr>
      <t xml:space="preserve">P&amp;L → 3</t>
    </r>
    <r>
      <rPr>
        <b val="true"/>
        <sz val="10"/>
        <color rgb="FF000000"/>
        <rFont val="WenQuanYi Zen Hei"/>
        <family val="2"/>
      </rPr>
      <t xml:space="preserve">年目以降）</t>
    </r>
  </si>
  <si>
    <t xml:space="preserve">売上原価</t>
  </si>
  <si>
    <t xml:space="preserve">29.5% → 28.5%</t>
  </si>
  <si>
    <t xml:space="preserve">直輸入ワイン活用・複数店一括仕入</t>
  </si>
  <si>
    <t xml:space="preserve">人件費</t>
  </si>
  <si>
    <t xml:space="preserve">34.5% → 32.5%</t>
  </si>
  <si>
    <t xml:space="preserve">本部集中化・多能工化</t>
  </si>
  <si>
    <t xml:space="preserve">業務委託費・消耗品他</t>
  </si>
  <si>
    <t xml:space="preserve">2.4% → 2.0%</t>
  </si>
  <si>
    <t xml:space="preserve">本部集中購買・規格統一</t>
  </si>
  <si>
    <t xml:space="preserve">水道光熱費</t>
  </si>
  <si>
    <t xml:space="preserve">4.0% → 3.6%</t>
  </si>
  <si>
    <t xml:space="preserve">高効率厨房機器・営業時間最適化</t>
  </si>
  <si>
    <t xml:space="preserve">ロイヤリティ／歩合家賃</t>
  </si>
  <si>
    <r>
      <rPr>
        <b val="true"/>
        <sz val="9"/>
        <color rgb="FF000000"/>
        <rFont val="Meiryo"/>
        <family val="0"/>
        <charset val="1"/>
      </rPr>
      <t xml:space="preserve">4.0%</t>
    </r>
    <r>
      <rPr>
        <b val="true"/>
        <sz val="9"/>
        <color rgb="FF000000"/>
        <rFont val="WenQuanYi Zen Hei"/>
        <family val="2"/>
      </rPr>
      <t xml:space="preserve">／</t>
    </r>
    <r>
      <rPr>
        <b val="true"/>
        <sz val="9"/>
        <color rgb="FF000000"/>
        <rFont val="Meiryo"/>
        <family val="0"/>
        <charset val="1"/>
      </rPr>
      <t xml:space="preserve">7.0%</t>
    </r>
    <r>
      <rPr>
        <b val="true"/>
        <sz val="9"/>
        <color rgb="FF000000"/>
        <rFont val="WenQuanYi Zen Hei"/>
        <family val="2"/>
      </rPr>
      <t xml:space="preserve">（据置）</t>
    </r>
  </si>
  <si>
    <t xml:space="preserve">契約条件どおり全店適用</t>
  </si>
  <si>
    <r>
      <rPr>
        <sz val="9"/>
        <color rgb="FF7F7F7F"/>
        <rFont val="WenQuanYi Zen Hei"/>
        <family val="2"/>
      </rPr>
      <t xml:space="preserve">出典：「</t>
    </r>
    <r>
      <rPr>
        <sz val="9"/>
        <color rgb="FF7F7F7F"/>
        <rFont val="Meiryo"/>
        <family val="0"/>
        <charset val="1"/>
      </rPr>
      <t xml:space="preserve">THIERRY MARX × WineBank </t>
    </r>
    <r>
      <rPr>
        <sz val="9"/>
        <color rgb="FF7F7F7F"/>
        <rFont val="WenQuanYi Zen Hei"/>
        <family val="2"/>
      </rPr>
      <t xml:space="preserve">事業収支</t>
    </r>
    <r>
      <rPr>
        <sz val="9"/>
        <color rgb="FF7F7F7F"/>
        <rFont val="Meiryo"/>
        <family val="0"/>
        <charset val="1"/>
      </rPr>
      <t xml:space="preserve">CF</t>
    </r>
    <r>
      <rPr>
        <sz val="9"/>
        <color rgb="FF7F7F7F"/>
        <rFont val="WenQuanYi Zen Hei"/>
        <family val="2"/>
      </rPr>
      <t xml:space="preserve">追加（</t>
    </r>
    <r>
      <rPr>
        <sz val="9"/>
        <color rgb="FF7F7F7F"/>
        <rFont val="Meiryo"/>
        <family val="0"/>
        <charset val="1"/>
      </rPr>
      <t xml:space="preserve">2026</t>
    </r>
    <r>
      <rPr>
        <sz val="9"/>
        <color rgb="FF7F7F7F"/>
        <rFont val="WenQuanYi Zen Hei"/>
        <family val="2"/>
      </rPr>
      <t xml:space="preserve">年</t>
    </r>
    <r>
      <rPr>
        <sz val="9"/>
        <color rgb="FF7F7F7F"/>
        <rFont val="Meiryo"/>
        <family val="0"/>
        <charset val="1"/>
      </rPr>
      <t xml:space="preserve">8</t>
    </r>
    <r>
      <rPr>
        <sz val="9"/>
        <color rgb="FF7F7F7F"/>
        <rFont val="WenQuanYi Zen Hei"/>
        <family val="2"/>
      </rPr>
      <t xml:space="preserve">月</t>
    </r>
    <r>
      <rPr>
        <sz val="9"/>
        <color rgb="FF7F7F7F"/>
        <rFont val="Meiryo"/>
        <family val="0"/>
        <charset val="1"/>
      </rPr>
      <t xml:space="preserve">4</t>
    </r>
    <r>
      <rPr>
        <sz val="9"/>
        <color rgb="FF7F7F7F"/>
        <rFont val="WenQuanYi Zen Hei"/>
        <family val="2"/>
      </rPr>
      <t xml:space="preserve">日版）」および </t>
    </r>
    <r>
      <rPr>
        <sz val="9"/>
        <color rgb="FF7F7F7F"/>
        <rFont val="Meiryo"/>
        <family val="0"/>
        <charset val="1"/>
      </rPr>
      <t xml:space="preserve">2026</t>
    </r>
    <r>
      <rPr>
        <sz val="9"/>
        <color rgb="FF7F7F7F"/>
        <rFont val="WenQuanYi Zen Hei"/>
        <family val="2"/>
      </rPr>
      <t xml:space="preserve">年</t>
    </r>
    <r>
      <rPr>
        <sz val="9"/>
        <color rgb="FF7F7F7F"/>
        <rFont val="Meiryo"/>
        <family val="0"/>
        <charset val="1"/>
      </rPr>
      <t xml:space="preserve">8</t>
    </r>
    <r>
      <rPr>
        <sz val="9"/>
        <color rgb="FF7F7F7F"/>
        <rFont val="WenQuanYi Zen Hei"/>
        <family val="2"/>
      </rPr>
      <t xml:space="preserve">月</t>
    </r>
    <r>
      <rPr>
        <sz val="9"/>
        <color rgb="FF7F7F7F"/>
        <rFont val="Meiryo"/>
        <family val="0"/>
        <charset val="1"/>
      </rPr>
      <t xml:space="preserve">3</t>
    </r>
    <r>
      <rPr>
        <sz val="9"/>
        <color rgb="FF7F7F7F"/>
        <rFont val="WenQuanYi Zen Hei"/>
        <family val="2"/>
      </rPr>
      <t xml:space="preserve">日提出</t>
    </r>
    <r>
      <rPr>
        <sz val="9"/>
        <color rgb="FF7F7F7F"/>
        <rFont val="Meiryo"/>
        <family val="0"/>
        <charset val="1"/>
      </rPr>
      <t xml:space="preserve">P&amp;L</t>
    </r>
    <r>
      <rPr>
        <sz val="9"/>
        <color rgb="FF7F7F7F"/>
        <rFont val="WenQuanYi Zen Hei"/>
        <family val="2"/>
      </rPr>
      <t xml:space="preserve">。金利・税金は含まない。</t>
    </r>
  </si>
  <si>
    <r>
      <rPr>
        <b val="true"/>
        <sz val="11"/>
        <color rgb="FFFFFFFF"/>
        <rFont val="WenQuanYi Zen Hei"/>
        <family val="2"/>
      </rPr>
      <t xml:space="preserve">前提条件　／　六本木ミッドタウン店 </t>
    </r>
    <r>
      <rPr>
        <b val="true"/>
        <sz val="11"/>
        <color rgb="FFFFFFFF"/>
        <rFont val="Meiryo"/>
        <family val="0"/>
        <charset val="1"/>
      </rPr>
      <t xml:space="preserve">2026</t>
    </r>
    <r>
      <rPr>
        <b val="true"/>
        <sz val="11"/>
        <color rgb="FFFFFFFF"/>
        <rFont val="WenQuanYi Zen Hei"/>
        <family val="2"/>
      </rPr>
      <t xml:space="preserve">年</t>
    </r>
    <r>
      <rPr>
        <b val="true"/>
        <sz val="11"/>
        <color rgb="FFFFFFFF"/>
        <rFont val="Meiryo"/>
        <family val="0"/>
        <charset val="1"/>
      </rPr>
      <t xml:space="preserve">8</t>
    </r>
    <r>
      <rPr>
        <b val="true"/>
        <sz val="11"/>
        <color rgb="FFFFFFFF"/>
        <rFont val="WenQuanYi Zen Hei"/>
        <family val="2"/>
      </rPr>
      <t xml:space="preserve">月</t>
    </r>
    <r>
      <rPr>
        <b val="true"/>
        <sz val="11"/>
        <color rgb="FFFFFFFF"/>
        <rFont val="Meiryo"/>
        <family val="0"/>
        <charset val="1"/>
      </rPr>
      <t xml:space="preserve">3</t>
    </r>
    <r>
      <rPr>
        <b val="true"/>
        <sz val="11"/>
        <color rgb="FFFFFFFF"/>
        <rFont val="WenQuanYi Zen Hei"/>
        <family val="2"/>
      </rPr>
      <t xml:space="preserve">日提出</t>
    </r>
    <r>
      <rPr>
        <b val="true"/>
        <sz val="11"/>
        <color rgb="FFFFFFFF"/>
        <rFont val="Meiryo"/>
        <family val="0"/>
        <charset val="1"/>
      </rPr>
      <t xml:space="preserve">P&amp;L </t>
    </r>
    <r>
      <rPr>
        <b val="true"/>
        <sz val="11"/>
        <color rgb="FFFFFFFF"/>
        <rFont val="WenQuanYi Zen Hei"/>
        <family val="2"/>
      </rPr>
      <t xml:space="preserve">準拠</t>
    </r>
  </si>
  <si>
    <t xml:space="preserve">青字＝入力値（前提）。変更すると全シートが自動再計算されます。黒字＝計算式、緑字＝他シート参照。単位：百万円</t>
  </si>
  <si>
    <t xml:space="preserve">■ 売上前提（六本木ミッドタウン店＝標準店モデル）</t>
  </si>
  <si>
    <t xml:space="preserve">満年度 売上高</t>
  </si>
  <si>
    <r>
      <rPr>
        <sz val="9"/>
        <color rgb="FF7F7F7F"/>
        <rFont val="Meiryo"/>
        <family val="0"/>
        <charset val="1"/>
      </rPr>
      <t xml:space="preserve">183.59</t>
    </r>
    <r>
      <rPr>
        <sz val="9"/>
        <color rgb="FF7F7F7F"/>
        <rFont val="WenQuanYi Zen Hei"/>
        <family val="2"/>
      </rPr>
      <t xml:space="preserve">㎡</t>
    </r>
    <r>
      <rPr>
        <sz val="9"/>
        <color rgb="FF7F7F7F"/>
        <rFont val="Meiryo"/>
        <family val="0"/>
        <charset val="1"/>
      </rPr>
      <t xml:space="preserve">(55.5</t>
    </r>
    <r>
      <rPr>
        <sz val="9"/>
        <color rgb="FF7F7F7F"/>
        <rFont val="WenQuanYi Zen Hei"/>
        <family val="2"/>
      </rPr>
      <t xml:space="preserve">坪</t>
    </r>
    <r>
      <rPr>
        <sz val="9"/>
        <color rgb="FF7F7F7F"/>
        <rFont val="Meiryo"/>
        <family val="0"/>
        <charset val="1"/>
      </rPr>
      <t xml:space="preserve">)</t>
    </r>
    <r>
      <rPr>
        <sz val="9"/>
        <color rgb="FF7F7F7F"/>
        <rFont val="WenQuanYi Zen Hei"/>
        <family val="2"/>
      </rPr>
      <t xml:space="preserve">・</t>
    </r>
    <r>
      <rPr>
        <sz val="9"/>
        <color rgb="FF7F7F7F"/>
        <rFont val="Meiryo"/>
        <family val="0"/>
        <charset val="1"/>
      </rPr>
      <t xml:space="preserve">123</t>
    </r>
    <r>
      <rPr>
        <sz val="9"/>
        <color rgb="FF7F7F7F"/>
        <rFont val="WenQuanYi Zen Hei"/>
        <family val="2"/>
      </rPr>
      <t xml:space="preserve">席・年</t>
    </r>
    <r>
      <rPr>
        <sz val="9"/>
        <color rgb="FF7F7F7F"/>
        <rFont val="Meiryo"/>
        <family val="0"/>
        <charset val="1"/>
      </rPr>
      <t xml:space="preserve">363</t>
    </r>
    <r>
      <rPr>
        <sz val="9"/>
        <color rgb="FF7F7F7F"/>
        <rFont val="WenQuanYi Zen Hei"/>
        <family val="2"/>
      </rPr>
      <t xml:space="preserve">日営業・稼働率</t>
    </r>
    <r>
      <rPr>
        <sz val="9"/>
        <color rgb="FF7F7F7F"/>
        <rFont val="Meiryo"/>
        <family val="0"/>
        <charset val="1"/>
      </rPr>
      <t xml:space="preserve">80%</t>
    </r>
    <r>
      <rPr>
        <sz val="9"/>
        <color rgb="FF7F7F7F"/>
        <rFont val="WenQuanYi Zen Hei"/>
        <family val="2"/>
      </rPr>
      <t xml:space="preserve">。日商約</t>
    </r>
    <r>
      <rPr>
        <sz val="9"/>
        <color rgb="FF7F7F7F"/>
        <rFont val="Meiryo"/>
        <family val="0"/>
        <charset val="1"/>
      </rPr>
      <t xml:space="preserve">127</t>
    </r>
    <r>
      <rPr>
        <sz val="9"/>
        <color rgb="FF7F7F7F"/>
        <rFont val="WenQuanYi Zen Hei"/>
        <family val="2"/>
      </rPr>
      <t xml:space="preserve">万円／月商約</t>
    </r>
    <r>
      <rPr>
        <sz val="9"/>
        <color rgb="FF7F7F7F"/>
        <rFont val="Meiryo"/>
        <family val="0"/>
        <charset val="1"/>
      </rPr>
      <t xml:space="preserve">3,829</t>
    </r>
    <r>
      <rPr>
        <sz val="9"/>
        <color rgb="FF7F7F7F"/>
        <rFont val="WenQuanYi Zen Hei"/>
        <family val="2"/>
      </rPr>
      <t xml:space="preserve">万円</t>
    </r>
  </si>
  <si>
    <r>
      <rPr>
        <sz val="10"/>
        <color rgb="FF000000"/>
        <rFont val="WenQuanYi Zen Hei"/>
        <family val="2"/>
      </rPr>
      <t xml:space="preserve">立上り率　</t>
    </r>
    <r>
      <rPr>
        <sz val="10"/>
        <color rgb="FF000000"/>
        <rFont val="Meiryo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年目</t>
    </r>
  </si>
  <si>
    <r>
      <rPr>
        <sz val="9"/>
        <color rgb="FF7F7F7F"/>
        <rFont val="WenQuanYi Zen Hei"/>
        <family val="2"/>
      </rPr>
      <t xml:space="preserve">新店初年度は保守的に</t>
    </r>
    <r>
      <rPr>
        <sz val="9"/>
        <color rgb="FF7F7F7F"/>
        <rFont val="Meiryo"/>
        <family val="0"/>
        <charset val="1"/>
      </rPr>
      <t xml:space="preserve">90%</t>
    </r>
    <r>
      <rPr>
        <sz val="9"/>
        <color rgb="FF7F7F7F"/>
        <rFont val="WenQuanYi Zen Hei"/>
        <family val="2"/>
      </rPr>
      <t xml:space="preserve">で計画</t>
    </r>
  </si>
  <si>
    <r>
      <rPr>
        <sz val="10"/>
        <color rgb="FF000000"/>
        <rFont val="WenQuanYi Zen Hei"/>
        <family val="2"/>
      </rPr>
      <t xml:space="preserve">立上り率　</t>
    </r>
    <r>
      <rPr>
        <sz val="10"/>
        <color rgb="FF000000"/>
        <rFont val="Meiryo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年目</t>
    </r>
  </si>
  <si>
    <r>
      <rPr>
        <sz val="10"/>
        <color rgb="FF000000"/>
        <rFont val="WenQuanYi Zen Hei"/>
        <family val="2"/>
      </rPr>
      <t xml:space="preserve">立上り率　</t>
    </r>
    <r>
      <rPr>
        <sz val="10"/>
        <color rgb="FF000000"/>
        <rFont val="Meiryo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年目以降</t>
    </r>
  </si>
  <si>
    <t xml:space="preserve">満年度水準</t>
  </si>
  <si>
    <t xml:space="preserve">新店の開業年度 稼働月数</t>
  </si>
  <si>
    <r>
      <rPr>
        <sz val="9"/>
        <color rgb="FF7F7F7F"/>
        <rFont val="WenQuanYi Zen Hei"/>
        <family val="2"/>
      </rPr>
      <t xml:space="preserve">年</t>
    </r>
    <r>
      <rPr>
        <sz val="9"/>
        <color rgb="FF7F7F7F"/>
        <rFont val="Meiryo"/>
        <family val="0"/>
        <charset val="1"/>
      </rPr>
      <t xml:space="preserve">2</t>
    </r>
    <r>
      <rPr>
        <sz val="9"/>
        <color rgb="FF7F7F7F"/>
        <rFont val="WenQuanYi Zen Hei"/>
        <family val="2"/>
      </rPr>
      <t xml:space="preserve">店を上期・下期に分散出店する前提の平均値</t>
    </r>
  </si>
  <si>
    <r>
      <rPr>
        <sz val="10"/>
        <color rgb="FF000000"/>
        <rFont val="WenQuanYi Zen Hei"/>
        <family val="2"/>
      </rPr>
      <t xml:space="preserve">東京</t>
    </r>
    <r>
      <rPr>
        <sz val="10"/>
        <color rgb="FF000000"/>
        <rFont val="Meiryo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号店の稼働月数（</t>
    </r>
    <r>
      <rPr>
        <sz val="10"/>
        <color rgb="FF000000"/>
        <rFont val="Meiryo"/>
        <family val="0"/>
        <charset val="1"/>
      </rPr>
      <t xml:space="preserve">FY2027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</si>
  <si>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7F7F7F"/>
        <rFont val="Meiryo"/>
        <family val="0"/>
        <charset val="1"/>
      </rPr>
      <t xml:space="preserve">2027</t>
    </r>
    <r>
      <rPr>
        <sz val="9"/>
        <color rgb="FF7F7F7F"/>
        <rFont val="WenQuanYi Zen Hei"/>
        <family val="2"/>
      </rPr>
      <t xml:space="preserve">年</t>
    </r>
    <r>
      <rPr>
        <sz val="9"/>
        <color rgb="FF7F7F7F"/>
        <rFont val="Meiryo"/>
        <family val="0"/>
        <charset val="1"/>
      </rPr>
      <t xml:space="preserve">4</t>
    </r>
    <r>
      <rPr>
        <sz val="9"/>
        <color rgb="FF7F7F7F"/>
        <rFont val="WenQuanYi Zen Hei"/>
        <family val="2"/>
      </rPr>
      <t xml:space="preserve">月開業＝</t>
    </r>
    <r>
      <rPr>
        <sz val="9"/>
        <color rgb="FF7F7F7F"/>
        <rFont val="Meiryo"/>
        <family val="0"/>
        <charset val="1"/>
      </rPr>
      <t xml:space="preserve">FY2027</t>
    </r>
    <r>
      <rPr>
        <sz val="9"/>
        <color rgb="FF7F7F7F"/>
        <rFont val="WenQuanYi Zen Hei"/>
        <family val="2"/>
      </rPr>
      <t xml:space="preserve">は通年稼働</t>
    </r>
  </si>
  <si>
    <t xml:space="preserve">■ 家賃条件（契約条件どおり全店適用）</t>
  </si>
  <si>
    <t xml:space="preserve">地代家賃（固定）月額</t>
  </si>
  <si>
    <r>
      <rPr>
        <sz val="9"/>
        <color rgb="FF7F7F7F"/>
        <rFont val="WenQuanYi Zen Hei"/>
        <family val="2"/>
      </rPr>
      <t xml:space="preserve">月</t>
    </r>
    <r>
      <rPr>
        <sz val="9"/>
        <color rgb="FF7F7F7F"/>
        <rFont val="Meiryo"/>
        <family val="0"/>
        <charset val="1"/>
      </rPr>
      <t xml:space="preserve">222</t>
    </r>
    <r>
      <rPr>
        <sz val="9"/>
        <color rgb="FF7F7F7F"/>
        <rFont val="WenQuanYi Zen Hei"/>
        <family val="2"/>
      </rPr>
      <t xml:space="preserve">万円。売上非連動の固定費</t>
    </r>
  </si>
  <si>
    <t xml:space="preserve">地代家賃（固定）年額</t>
  </si>
  <si>
    <r>
      <rPr>
        <sz val="9"/>
        <color rgb="FF7F7F7F"/>
        <rFont val="WenQuanYi Zen Hei"/>
        <family val="2"/>
      </rPr>
      <t xml:space="preserve">＝月額</t>
    </r>
    <r>
      <rPr>
        <sz val="9"/>
        <color rgb="FF7F7F7F"/>
        <rFont val="Meiryo"/>
        <family val="0"/>
        <charset val="1"/>
      </rPr>
      <t xml:space="preserve">×12</t>
    </r>
  </si>
  <si>
    <t xml:space="preserve">歩合家賃率</t>
  </si>
  <si>
    <r>
      <rPr>
        <sz val="9"/>
        <color rgb="FF7F7F7F"/>
        <rFont val="WenQuanYi Zen Hei"/>
        <family val="2"/>
      </rPr>
      <t xml:space="preserve">閾値超過分に対して</t>
    </r>
    <r>
      <rPr>
        <sz val="9"/>
        <color rgb="FF7F7F7F"/>
        <rFont val="Meiryo"/>
        <family val="0"/>
        <charset val="1"/>
      </rPr>
      <t xml:space="preserve">7%</t>
    </r>
  </si>
  <si>
    <t xml:space="preserve">歩合家賃 閾値（年額売上）</t>
  </si>
  <si>
    <r>
      <rPr>
        <sz val="9"/>
        <color rgb="FF7F7F7F"/>
        <rFont val="WenQuanYi Zen Hei"/>
        <family val="2"/>
      </rPr>
      <t xml:space="preserve">満年度歩合家賃</t>
    </r>
    <r>
      <rPr>
        <sz val="9"/>
        <color rgb="FF7F7F7F"/>
        <rFont val="Meiryo"/>
        <family val="0"/>
        <charset val="1"/>
      </rPr>
      <t xml:space="preserve">9</t>
    </r>
    <r>
      <rPr>
        <sz val="9"/>
        <color rgb="FF7F7F7F"/>
        <rFont val="WenQuanYi Zen Hei"/>
        <family val="2"/>
      </rPr>
      <t xml:space="preserve">百万円（対売上</t>
    </r>
    <r>
      <rPr>
        <sz val="9"/>
        <color rgb="FF7F7F7F"/>
        <rFont val="Meiryo"/>
        <family val="0"/>
        <charset val="1"/>
      </rPr>
      <t xml:space="preserve">1.9%</t>
    </r>
    <r>
      <rPr>
        <sz val="9"/>
        <color rgb="FF7F7F7F"/>
        <rFont val="WenQuanYi Zen Hei"/>
        <family val="2"/>
      </rPr>
      <t xml:space="preserve">）から逆算</t>
    </r>
  </si>
  <si>
    <r>
      <rPr>
        <b val="true"/>
        <sz val="10"/>
        <color rgb="FF000000"/>
        <rFont val="WenQuanYi Zen Hei"/>
        <family val="2"/>
      </rPr>
      <t xml:space="preserve">■ 変動費率（対売上高）　※提出</t>
    </r>
    <r>
      <rPr>
        <b val="true"/>
        <sz val="10"/>
        <color rgb="FF000000"/>
        <rFont val="Meiryo"/>
        <family val="0"/>
        <charset val="1"/>
      </rPr>
      <t xml:space="preserve">P&amp;L</t>
    </r>
    <r>
      <rPr>
        <b val="true"/>
        <sz val="10"/>
        <color rgb="FF000000"/>
        <rFont val="WenQuanYi Zen Hei"/>
        <family val="2"/>
      </rPr>
      <t xml:space="preserve">水準 → 改善後</t>
    </r>
  </si>
  <si>
    <t xml:space="preserve">費　目</t>
  </si>
  <si>
    <r>
      <rPr>
        <b val="true"/>
        <sz val="9"/>
        <rFont val="Meiryo"/>
        <family val="0"/>
        <charset val="1"/>
      </rPr>
      <t xml:space="preserve">1</t>
    </r>
    <r>
      <rPr>
        <b val="true"/>
        <sz val="9"/>
        <rFont val="WenQuanYi Zen Hei"/>
        <family val="2"/>
      </rPr>
      <t xml:space="preserve">年目
（提出</t>
    </r>
    <r>
      <rPr>
        <b val="true"/>
        <sz val="9"/>
        <rFont val="Meiryo"/>
        <family val="0"/>
        <charset val="1"/>
      </rPr>
      <t xml:space="preserve">P&amp;L</t>
    </r>
    <r>
      <rPr>
        <b val="true"/>
        <sz val="9"/>
        <rFont val="WenQuanYi Zen Hei"/>
        <family val="2"/>
      </rPr>
      <t xml:space="preserve">）</t>
    </r>
  </si>
  <si>
    <r>
      <rPr>
        <b val="true"/>
        <sz val="9"/>
        <rFont val="Meiryo"/>
        <family val="0"/>
        <charset val="1"/>
      </rPr>
      <t xml:space="preserve">2</t>
    </r>
    <r>
      <rPr>
        <b val="true"/>
        <sz val="9"/>
        <rFont val="WenQuanYi Zen Hei"/>
        <family val="2"/>
      </rPr>
      <t xml:space="preserve">年目
（改善途上）</t>
    </r>
  </si>
  <si>
    <r>
      <rPr>
        <b val="true"/>
        <sz val="9"/>
        <rFont val="Meiryo"/>
        <family val="0"/>
        <charset val="1"/>
      </rPr>
      <t xml:space="preserve">3</t>
    </r>
    <r>
      <rPr>
        <b val="true"/>
        <sz val="9"/>
        <rFont val="WenQuanYi Zen Hei"/>
        <family val="2"/>
      </rPr>
      <t xml:space="preserve">年目以降
（改善後）</t>
    </r>
  </si>
  <si>
    <t xml:space="preserve">改善レバー</t>
  </si>
  <si>
    <r>
      <rPr>
        <sz val="9"/>
        <color rgb="FF7F7F7F"/>
        <rFont val="WenQuanYi Zen Hei"/>
        <family val="2"/>
      </rPr>
      <t xml:space="preserve">直輸入ワイン活用・複数店一括仕入（▲</t>
    </r>
    <r>
      <rPr>
        <sz val="9"/>
        <color rgb="FF7F7F7F"/>
        <rFont val="Meiryo"/>
        <family val="0"/>
        <charset val="1"/>
      </rPr>
      <t xml:space="preserve">1.0pt</t>
    </r>
    <r>
      <rPr>
        <sz val="9"/>
        <color rgb="FF7F7F7F"/>
        <rFont val="WenQuanYi Zen Hei"/>
        <family val="2"/>
      </rPr>
      <t xml:space="preserve">）</t>
    </r>
  </si>
  <si>
    <r>
      <rPr>
        <sz val="9"/>
        <color rgb="FF7F7F7F"/>
        <rFont val="WenQuanYi Zen Hei"/>
        <family val="2"/>
      </rPr>
      <t xml:space="preserve">本部集中化・多能工化。</t>
    </r>
    <r>
      <rPr>
        <sz val="9"/>
        <color rgb="FF7F7F7F"/>
        <rFont val="Meiryo"/>
        <family val="0"/>
        <charset val="1"/>
      </rPr>
      <t xml:space="preserve">26</t>
    </r>
    <r>
      <rPr>
        <sz val="9"/>
        <color rgb="FF7F7F7F"/>
        <rFont val="WenQuanYi Zen Hei"/>
        <family val="2"/>
      </rPr>
      <t xml:space="preserve">名体制の最適化（▲</t>
    </r>
    <r>
      <rPr>
        <sz val="9"/>
        <color rgb="FF7F7F7F"/>
        <rFont val="Meiryo"/>
        <family val="0"/>
        <charset val="1"/>
      </rPr>
      <t xml:space="preserve">2.0pt</t>
    </r>
    <r>
      <rPr>
        <sz val="9"/>
        <color rgb="FF7F7F7F"/>
        <rFont val="WenQuanYi Zen Hei"/>
        <family val="2"/>
      </rPr>
      <t xml:space="preserve">）</t>
    </r>
  </si>
  <si>
    <r>
      <rPr>
        <sz val="9"/>
        <color rgb="FF7F7F7F"/>
        <rFont val="WenQuanYi Zen Hei"/>
        <family val="2"/>
      </rPr>
      <t xml:space="preserve">本部集中購買・規格統一（▲</t>
    </r>
    <r>
      <rPr>
        <sz val="9"/>
        <color rgb="FF7F7F7F"/>
        <rFont val="Meiryo"/>
        <family val="0"/>
        <charset val="1"/>
      </rPr>
      <t xml:space="preserve">0.4pt</t>
    </r>
    <r>
      <rPr>
        <sz val="9"/>
        <color rgb="FF7F7F7F"/>
        <rFont val="WenQuanYi Zen Hei"/>
        <family val="2"/>
      </rPr>
      <t xml:space="preserve">）</t>
    </r>
  </si>
  <si>
    <t xml:space="preserve">広告宣伝費・販売促進費</t>
  </si>
  <si>
    <r>
      <rPr>
        <sz val="9"/>
        <color rgb="FF7F7F7F"/>
        <rFont val="Meiryo"/>
        <family val="0"/>
        <charset val="1"/>
      </rPr>
      <t xml:space="preserve">1</t>
    </r>
    <r>
      <rPr>
        <sz val="9"/>
        <color rgb="FF7F7F7F"/>
        <rFont val="WenQuanYi Zen Hei"/>
        <family val="2"/>
      </rPr>
      <t xml:space="preserve">号店の話題性を活用（据置）</t>
    </r>
  </si>
  <si>
    <t xml:space="preserve">その他経費</t>
  </si>
  <si>
    <t xml:space="preserve">据置</t>
  </si>
  <si>
    <r>
      <rPr>
        <sz val="9"/>
        <color rgb="FF7F7F7F"/>
        <rFont val="WenQuanYi Zen Hei"/>
        <family val="2"/>
      </rPr>
      <t xml:space="preserve">高効率厨房機器・営業時間最適化（▲</t>
    </r>
    <r>
      <rPr>
        <sz val="9"/>
        <color rgb="FF7F7F7F"/>
        <rFont val="Meiryo"/>
        <family val="0"/>
        <charset val="1"/>
      </rPr>
      <t xml:space="preserve">0.4pt</t>
    </r>
    <r>
      <rPr>
        <sz val="9"/>
        <color rgb="FF7F7F7F"/>
        <rFont val="WenQuanYi Zen Hei"/>
        <family val="2"/>
      </rPr>
      <t xml:space="preserve">）</t>
    </r>
  </si>
  <si>
    <t xml:space="preserve">ロイヤリティ</t>
  </si>
  <si>
    <r>
      <rPr>
        <sz val="9"/>
        <color rgb="FF7F7F7F"/>
        <rFont val="WenQuanYi Zen Hei"/>
        <family val="2"/>
      </rPr>
      <t xml:space="preserve">契約条件（ブラッスリー</t>
    </r>
    <r>
      <rPr>
        <sz val="9"/>
        <color rgb="FF7F7F7F"/>
        <rFont val="Meiryo"/>
        <family val="0"/>
        <charset val="1"/>
      </rPr>
      <t xml:space="preserve">4.0%</t>
    </r>
    <r>
      <rPr>
        <sz val="9"/>
        <color rgb="FF7F7F7F"/>
        <rFont val="WenQuanYi Zen Hei"/>
        <family val="2"/>
      </rPr>
      <t xml:space="preserve">）</t>
    </r>
  </si>
  <si>
    <t xml:space="preserve">保険・租税公課</t>
  </si>
  <si>
    <r>
      <rPr>
        <sz val="10"/>
        <color rgb="FF000000"/>
        <rFont val="WenQuanYi Zen Hei"/>
        <family val="2"/>
      </rPr>
      <t xml:space="preserve">修繕維持費（</t>
    </r>
    <r>
      <rPr>
        <sz val="10"/>
        <color rgb="FF000000"/>
        <rFont val="Meiryo"/>
        <family val="0"/>
        <charset val="1"/>
      </rPr>
      <t xml:space="preserve">FFE</t>
    </r>
    <r>
      <rPr>
        <sz val="10"/>
        <color rgb="FF000000"/>
        <rFont val="WenQuanYi Zen Hei"/>
        <family val="2"/>
      </rPr>
      <t xml:space="preserve">）</t>
    </r>
  </si>
  <si>
    <t xml:space="preserve">変動費　計（対売上）</t>
  </si>
  <si>
    <r>
      <rPr>
        <b val="true"/>
        <sz val="10"/>
        <color rgb="FF000000"/>
        <rFont val="WenQuanYi Zen Hei"/>
        <family val="2"/>
      </rPr>
      <t xml:space="preserve">■ 初期投資（</t>
    </r>
    <r>
      <rPr>
        <b val="true"/>
        <sz val="10"/>
        <color rgb="FF000000"/>
        <rFont val="Meiryo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店舗あたり）　※六本木ミッドタウン実額準拠</t>
    </r>
  </si>
  <si>
    <r>
      <rPr>
        <b val="true"/>
        <sz val="9"/>
        <color rgb="FF000000"/>
        <rFont val="Meiryo"/>
        <family val="0"/>
        <charset val="1"/>
      </rPr>
      <t xml:space="preserve">1</t>
    </r>
    <r>
      <rPr>
        <b val="true"/>
        <sz val="9"/>
        <color rgb="FF000000"/>
        <rFont val="WenQuanYi Zen Hei"/>
        <family val="2"/>
      </rPr>
      <t xml:space="preserve">〜</t>
    </r>
    <r>
      <rPr>
        <b val="true"/>
        <sz val="9"/>
        <color rgb="FF000000"/>
        <rFont val="Meiryo"/>
        <family val="0"/>
        <charset val="1"/>
      </rPr>
      <t xml:space="preserve">3</t>
    </r>
    <r>
      <rPr>
        <b val="true"/>
        <sz val="9"/>
        <color rgb="FF000000"/>
        <rFont val="WenQuanYi Zen Hei"/>
        <family val="2"/>
      </rPr>
      <t xml:space="preserve">号店
</t>
    </r>
    <r>
      <rPr>
        <b val="true"/>
        <sz val="9"/>
        <color rgb="FF000000"/>
        <rFont val="Meiryo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東京・札幌・大阪</t>
    </r>
    <r>
      <rPr>
        <b val="true"/>
        <sz val="9"/>
        <color rgb="FF000000"/>
        <rFont val="Meiryo"/>
        <family val="0"/>
        <charset val="1"/>
      </rPr>
      <t xml:space="preserve">)</t>
    </r>
  </si>
  <si>
    <r>
      <rPr>
        <b val="true"/>
        <sz val="9"/>
        <color rgb="FF000000"/>
        <rFont val="Meiryo"/>
        <family val="0"/>
        <charset val="1"/>
      </rPr>
      <t xml:space="preserve">4</t>
    </r>
    <r>
      <rPr>
        <b val="true"/>
        <sz val="9"/>
        <color rgb="FF000000"/>
        <rFont val="WenQuanYi Zen Hei"/>
        <family val="2"/>
      </rPr>
      <t xml:space="preserve">号店以降</t>
    </r>
  </si>
  <si>
    <t xml:space="preserve">契約金</t>
  </si>
  <si>
    <r>
      <rPr>
        <sz val="9"/>
        <color rgb="FF7F7F7F"/>
        <rFont val="WenQuanYi Zen Hei"/>
        <family val="2"/>
      </rPr>
      <t xml:space="preserve">契約金 </t>
    </r>
    <r>
      <rPr>
        <sz val="9"/>
        <color rgb="FF7F7F7F"/>
        <rFont val="Meiryo"/>
        <family val="0"/>
        <charset val="1"/>
      </rPr>
      <t xml:space="preserve">3</t>
    </r>
    <r>
      <rPr>
        <sz val="9"/>
        <color rgb="FF7F7F7F"/>
        <rFont val="WenQuanYi Zen Hei"/>
        <family val="2"/>
      </rPr>
      <t xml:space="preserve">店舗</t>
    </r>
    <r>
      <rPr>
        <sz val="9"/>
        <color rgb="FF7F7F7F"/>
        <rFont val="Meiryo"/>
        <family val="0"/>
        <charset val="1"/>
      </rPr>
      <t xml:space="preserve">3,000</t>
    </r>
    <r>
      <rPr>
        <sz val="9"/>
        <color rgb="FF7F7F7F"/>
        <rFont val="WenQuanYi Zen Hei"/>
        <family val="2"/>
      </rPr>
      <t xml:space="preserve">万円／以下</t>
    </r>
    <r>
      <rPr>
        <sz val="9"/>
        <color rgb="FF7F7F7F"/>
        <rFont val="Meiryo"/>
        <family val="0"/>
        <charset val="1"/>
      </rPr>
      <t xml:space="preserve">7</t>
    </r>
    <r>
      <rPr>
        <sz val="9"/>
        <color rgb="FF7F7F7F"/>
        <rFont val="WenQuanYi Zen Hei"/>
        <family val="2"/>
      </rPr>
      <t xml:space="preserve">店舗</t>
    </r>
    <r>
      <rPr>
        <sz val="9"/>
        <color rgb="FF7F7F7F"/>
        <rFont val="Meiryo"/>
        <family val="0"/>
        <charset val="1"/>
      </rPr>
      <t xml:space="preserve">3,500</t>
    </r>
    <r>
      <rPr>
        <sz val="9"/>
        <color rgb="FF7F7F7F"/>
        <rFont val="WenQuanYi Zen Hei"/>
        <family val="2"/>
      </rPr>
      <t xml:space="preserve">万円</t>
    </r>
  </si>
  <si>
    <r>
      <rPr>
        <sz val="10"/>
        <color rgb="FF000000"/>
        <rFont val="WenQuanYi Zen Hei"/>
        <family val="2"/>
      </rPr>
      <t xml:space="preserve">事業費（設計・内装施工・</t>
    </r>
    <r>
      <rPr>
        <sz val="10"/>
        <color rgb="FF000000"/>
        <rFont val="Meiryo"/>
        <family val="0"/>
        <charset val="1"/>
      </rPr>
      <t xml:space="preserve">OSE/FF&amp;E</t>
    </r>
    <r>
      <rPr>
        <sz val="10"/>
        <color rgb="FF000000"/>
        <rFont val="WenQuanYi Zen Hei"/>
        <family val="2"/>
      </rPr>
      <t xml:space="preserve">）</t>
    </r>
  </si>
  <si>
    <t xml:space="preserve">開業準備金（広告・採用等）</t>
  </si>
  <si>
    <r>
      <rPr>
        <sz val="10"/>
        <color rgb="FF000000"/>
        <rFont val="WenQuanYi Zen Hei"/>
        <family val="2"/>
      </rPr>
      <t xml:space="preserve">保証金（賃料</t>
    </r>
    <r>
      <rPr>
        <sz val="10"/>
        <color rgb="FF000000"/>
        <rFont val="Meiryo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か月相当）</t>
    </r>
  </si>
  <si>
    <t xml:space="preserve">非償却・退去時返還対象</t>
  </si>
  <si>
    <t xml:space="preserve">初期投資　合計</t>
  </si>
  <si>
    <r>
      <rPr>
        <b val="true"/>
        <sz val="9"/>
        <color rgb="FFC00000"/>
        <rFont val="Meiryo"/>
        <family val="0"/>
        <charset val="1"/>
      </rPr>
      <t xml:space="preserve">1</t>
    </r>
    <r>
      <rPr>
        <b val="true"/>
        <sz val="9"/>
        <color rgb="FFC00000"/>
        <rFont val="WenQuanYi Zen Hei"/>
        <family val="2"/>
      </rPr>
      <t xml:space="preserve">〜</t>
    </r>
    <r>
      <rPr>
        <b val="true"/>
        <sz val="9"/>
        <color rgb="FFC00000"/>
        <rFont val="Meiryo"/>
        <family val="0"/>
        <charset val="1"/>
      </rPr>
      <t xml:space="preserve">3</t>
    </r>
    <r>
      <rPr>
        <b val="true"/>
        <sz val="9"/>
        <color rgb="FFC00000"/>
        <rFont val="WenQuanYi Zen Hei"/>
        <family val="2"/>
      </rPr>
      <t xml:space="preserve">号店 </t>
    </r>
    <r>
      <rPr>
        <b val="true"/>
        <sz val="9"/>
        <color rgb="FFC00000"/>
        <rFont val="Meiryo"/>
        <family val="0"/>
        <charset val="1"/>
      </rPr>
      <t xml:space="preserve">247</t>
    </r>
    <r>
      <rPr>
        <b val="true"/>
        <sz val="9"/>
        <color rgb="FFC00000"/>
        <rFont val="WenQuanYi Zen Hei"/>
        <family val="2"/>
      </rPr>
      <t xml:space="preserve">百万円／</t>
    </r>
    <r>
      <rPr>
        <b val="true"/>
        <sz val="9"/>
        <color rgb="FFC00000"/>
        <rFont val="Meiryo"/>
        <family val="0"/>
        <charset val="1"/>
      </rPr>
      <t xml:space="preserve">4</t>
    </r>
    <r>
      <rPr>
        <b val="true"/>
        <sz val="9"/>
        <color rgb="FFC00000"/>
        <rFont val="WenQuanYi Zen Hei"/>
        <family val="2"/>
      </rPr>
      <t xml:space="preserve">号店以降 </t>
    </r>
    <r>
      <rPr>
        <b val="true"/>
        <sz val="9"/>
        <color rgb="FFC00000"/>
        <rFont val="Meiryo"/>
        <family val="0"/>
        <charset val="1"/>
      </rPr>
      <t xml:space="preserve">242</t>
    </r>
    <r>
      <rPr>
        <b val="true"/>
        <sz val="9"/>
        <color rgb="FFC00000"/>
        <rFont val="WenQuanYi Zen Hei"/>
        <family val="2"/>
      </rPr>
      <t xml:space="preserve">百万円</t>
    </r>
  </si>
  <si>
    <t xml:space="preserve">償却対象資産（＝合計－保証金）</t>
  </si>
  <si>
    <t xml:space="preserve">平均償却年数（年）</t>
  </si>
  <si>
    <r>
      <rPr>
        <b val="true"/>
        <sz val="10"/>
        <color rgb="FF000000"/>
        <rFont val="WenQuanYi Zen Hei"/>
        <family val="2"/>
      </rPr>
      <t xml:space="preserve">年間減価償却費／</t>
    </r>
    <r>
      <rPr>
        <b val="true"/>
        <sz val="10"/>
        <color rgb="FF000000"/>
        <rFont val="Meiryo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店（通年）</t>
    </r>
  </si>
  <si>
    <t xml:space="preserve">■ 分割払いスキーム（ミッドタウン契約と同条件・全店適用）</t>
  </si>
  <si>
    <t xml:space="preserve">分割対象：内装工事費</t>
  </si>
  <si>
    <r>
      <rPr>
        <sz val="9"/>
        <color rgb="FF7F7F7F"/>
        <rFont val="WenQuanYi Zen Hei"/>
        <family val="2"/>
      </rPr>
      <t xml:space="preserve">月</t>
    </r>
    <r>
      <rPr>
        <sz val="9"/>
        <color rgb="FF7F7F7F"/>
        <rFont val="Meiryo"/>
        <family val="0"/>
        <charset val="1"/>
      </rPr>
      <t xml:space="preserve">833</t>
    </r>
    <r>
      <rPr>
        <sz val="9"/>
        <color rgb="FF7F7F7F"/>
        <rFont val="WenQuanYi Zen Hei"/>
        <family val="2"/>
      </rPr>
      <t xml:space="preserve">千円 </t>
    </r>
    <r>
      <rPr>
        <sz val="9"/>
        <color rgb="FF7F7F7F"/>
        <rFont val="Meiryo"/>
        <family val="0"/>
        <charset val="1"/>
      </rPr>
      <t xml:space="preserve">× 120</t>
    </r>
    <r>
      <rPr>
        <sz val="9"/>
        <color rgb="FF7F7F7F"/>
        <rFont val="WenQuanYi Zen Hei"/>
        <family val="2"/>
      </rPr>
      <t xml:space="preserve">回（</t>
    </r>
    <r>
      <rPr>
        <sz val="9"/>
        <color rgb="FF7F7F7F"/>
        <rFont val="Meiryo"/>
        <family val="0"/>
        <charset val="1"/>
      </rPr>
      <t xml:space="preserve">10</t>
    </r>
    <r>
      <rPr>
        <sz val="9"/>
        <color rgb="FF7F7F7F"/>
        <rFont val="WenQuanYi Zen Hei"/>
        <family val="2"/>
      </rPr>
      <t xml:space="preserve">年）</t>
    </r>
  </si>
  <si>
    <t xml:space="preserve">分割対象：保証金</t>
  </si>
  <si>
    <r>
      <rPr>
        <sz val="9"/>
        <color rgb="FF7F7F7F"/>
        <rFont val="WenQuanYi Zen Hei"/>
        <family val="2"/>
      </rPr>
      <t xml:space="preserve">月</t>
    </r>
    <r>
      <rPr>
        <sz val="9"/>
        <color rgb="FF7F7F7F"/>
        <rFont val="Meiryo"/>
        <family val="0"/>
        <charset val="1"/>
      </rPr>
      <t xml:space="preserve">463</t>
    </r>
    <r>
      <rPr>
        <sz val="9"/>
        <color rgb="FF7F7F7F"/>
        <rFont val="WenQuanYi Zen Hei"/>
        <family val="2"/>
      </rPr>
      <t xml:space="preserve">千円 </t>
    </r>
    <r>
      <rPr>
        <sz val="9"/>
        <color rgb="FF7F7F7F"/>
        <rFont val="Meiryo"/>
        <family val="0"/>
        <charset val="1"/>
      </rPr>
      <t xml:space="preserve">× 84</t>
    </r>
    <r>
      <rPr>
        <sz val="9"/>
        <color rgb="FF7F7F7F"/>
        <rFont val="WenQuanYi Zen Hei"/>
        <family val="2"/>
      </rPr>
      <t xml:space="preserve">回（</t>
    </r>
    <r>
      <rPr>
        <sz val="9"/>
        <color rgb="FF7F7F7F"/>
        <rFont val="Meiryo"/>
        <family val="0"/>
        <charset val="1"/>
      </rPr>
      <t xml:space="preserve">7</t>
    </r>
    <r>
      <rPr>
        <sz val="9"/>
        <color rgb="FF7F7F7F"/>
        <rFont val="WenQuanYi Zen Hei"/>
        <family val="2"/>
      </rPr>
      <t xml:space="preserve">年）</t>
    </r>
  </si>
  <si>
    <r>
      <rPr>
        <b val="true"/>
        <sz val="10"/>
        <color rgb="FF000000"/>
        <rFont val="WenQuanYi Zen Hei"/>
        <family val="2"/>
      </rPr>
      <t xml:space="preserve">分割対象額　計／</t>
    </r>
    <r>
      <rPr>
        <b val="true"/>
        <sz val="10"/>
        <color rgb="FF000000"/>
        <rFont val="Meiryo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店</t>
    </r>
  </si>
  <si>
    <t xml:space="preserve">開業時現金支出＝初期投資－分割対象額</t>
  </si>
  <si>
    <r>
      <rPr>
        <sz val="10"/>
        <color rgb="FF000000"/>
        <rFont val="WenQuanYi Zen Hei"/>
        <family val="2"/>
      </rPr>
      <t xml:space="preserve">年間分割弁済額／</t>
    </r>
    <r>
      <rPr>
        <sz val="10"/>
        <color rgb="FF000000"/>
        <rFont val="Meiryo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店</t>
    </r>
  </si>
  <si>
    <r>
      <rPr>
        <sz val="9"/>
        <color rgb="FF7F7F7F"/>
        <rFont val="WenQuanYi Zen Hei"/>
        <family val="2"/>
      </rPr>
      <t xml:space="preserve">月額合計</t>
    </r>
    <r>
      <rPr>
        <sz val="9"/>
        <color rgb="FF7F7F7F"/>
        <rFont val="Meiryo"/>
        <family val="0"/>
        <charset val="1"/>
      </rPr>
      <t xml:space="preserve">1,296</t>
    </r>
    <r>
      <rPr>
        <sz val="9"/>
        <color rgb="FF7F7F7F"/>
        <rFont val="WenQuanYi Zen Hei"/>
        <family val="2"/>
      </rPr>
      <t xml:space="preserve">千円 </t>
    </r>
    <r>
      <rPr>
        <sz val="9"/>
        <color rgb="FF7F7F7F"/>
        <rFont val="Meiryo"/>
        <family val="0"/>
        <charset val="1"/>
      </rPr>
      <t xml:space="preserve">× 12</t>
    </r>
    <r>
      <rPr>
        <sz val="9"/>
        <color rgb="FF7F7F7F"/>
        <rFont val="WenQuanYi Zen Hei"/>
        <family val="2"/>
      </rPr>
      <t xml:space="preserve">か月</t>
    </r>
  </si>
  <si>
    <r>
      <rPr>
        <sz val="9"/>
        <color rgb="FF7F7F7F"/>
        <rFont val="WenQuanYi Zen Hei"/>
        <family val="2"/>
      </rPr>
      <t xml:space="preserve">※ 分割弁済は資産計上済みの繰延支払（損益は減価償却で費用化済み）のため、</t>
    </r>
    <r>
      <rPr>
        <sz val="9"/>
        <color rgb="FF7F7F7F"/>
        <rFont val="Meiryo"/>
        <family val="0"/>
        <charset val="1"/>
      </rPr>
      <t xml:space="preserve">P/L</t>
    </r>
    <r>
      <rPr>
        <sz val="9"/>
        <color rgb="FF7F7F7F"/>
        <rFont val="WenQuanYi Zen Hei"/>
        <family val="2"/>
      </rPr>
      <t xml:space="preserve">には影響させず</t>
    </r>
    <r>
      <rPr>
        <sz val="9"/>
        <color rgb="FF7F7F7F"/>
        <rFont val="Meiryo"/>
        <family val="0"/>
        <charset val="1"/>
      </rPr>
      <t xml:space="preserve">CF</t>
    </r>
    <r>
      <rPr>
        <sz val="9"/>
        <color rgb="FF7F7F7F"/>
        <rFont val="WenQuanYi Zen Hei"/>
        <family val="2"/>
      </rPr>
      <t xml:space="preserve">上のみ計上。</t>
    </r>
  </si>
  <si>
    <t xml:space="preserve">■ 出店計画・本部費（連結）</t>
  </si>
  <si>
    <t xml:space="preserve">期中出店数（店）</t>
  </si>
  <si>
    <r>
      <rPr>
        <sz val="9"/>
        <color rgb="FF7F7F7F"/>
        <rFont val="Meiryo"/>
        <family val="0"/>
        <charset val="1"/>
      </rPr>
      <t xml:space="preserve">FY2027 </t>
    </r>
    <r>
      <rPr>
        <sz val="9"/>
        <color rgb="FF7F7F7F"/>
        <rFont val="WenQuanYi Zen Hei"/>
        <family val="2"/>
      </rPr>
      <t xml:space="preserve">六本木ミッドタウン／</t>
    </r>
    <r>
      <rPr>
        <sz val="9"/>
        <color rgb="FF7F7F7F"/>
        <rFont val="Meiryo"/>
        <family val="0"/>
        <charset val="1"/>
      </rPr>
      <t xml:space="preserve">FY2028 </t>
    </r>
    <r>
      <rPr>
        <sz val="9"/>
        <color rgb="FF7F7F7F"/>
        <rFont val="WenQuanYi Zen Hei"/>
        <family val="2"/>
      </rPr>
      <t xml:space="preserve">札幌・大阪／</t>
    </r>
    <r>
      <rPr>
        <sz val="9"/>
        <color rgb="FF7F7F7F"/>
        <rFont val="Meiryo"/>
        <family val="0"/>
        <charset val="1"/>
      </rPr>
      <t xml:space="preserve">FY2029 </t>
    </r>
    <r>
      <rPr>
        <sz val="9"/>
        <color rgb="FF7F7F7F"/>
        <rFont val="WenQuanYi Zen Hei"/>
        <family val="2"/>
      </rPr>
      <t xml:space="preserve">首都圏・他政令指定都市／</t>
    </r>
    <r>
      <rPr>
        <sz val="9"/>
        <color rgb="FF7F7F7F"/>
        <rFont val="Meiryo"/>
        <family val="0"/>
        <charset val="1"/>
      </rPr>
      <t xml:space="preserve">FY2030</t>
    </r>
    <r>
      <rPr>
        <sz val="9"/>
        <color rgb="FF7F7F7F"/>
        <rFont val="WenQuanYi Zen Hei"/>
        <family val="2"/>
      </rPr>
      <t xml:space="preserve">以降 リゾート含め年</t>
    </r>
    <r>
      <rPr>
        <sz val="9"/>
        <color rgb="FF7F7F7F"/>
        <rFont val="Meiryo"/>
        <family val="0"/>
        <charset val="1"/>
      </rPr>
      <t xml:space="preserve">2</t>
    </r>
    <r>
      <rPr>
        <sz val="9"/>
        <color rgb="FF7F7F7F"/>
        <rFont val="WenQuanYi Zen Hei"/>
        <family val="2"/>
      </rPr>
      <t xml:space="preserve">店</t>
    </r>
  </si>
  <si>
    <t xml:space="preserve">本部費（管理・人事・購買・マーケ）</t>
  </si>
  <si>
    <t xml:space="preserve">多店舗化に伴う本部組織の段階的増強費用</t>
  </si>
  <si>
    <r>
      <rPr>
        <b val="true"/>
        <sz val="11"/>
        <color rgb="FFFFFFFF"/>
        <rFont val="WenQuanYi Zen Hei"/>
        <family val="2"/>
      </rPr>
      <t xml:space="preserve">単店モデル</t>
    </r>
    <r>
      <rPr>
        <b val="true"/>
        <sz val="11"/>
        <color rgb="FFFFFFFF"/>
        <rFont val="Meiryo"/>
        <family val="0"/>
        <charset val="1"/>
      </rPr>
      <t xml:space="preserve">PL</t>
    </r>
    <r>
      <rPr>
        <b val="true"/>
        <sz val="11"/>
        <color rgb="FFFFFFFF"/>
        <rFont val="WenQuanYi Zen Hei"/>
        <family val="2"/>
      </rPr>
      <t xml:space="preserve">（六本木ミッドタウン店・百万円）</t>
    </r>
  </si>
  <si>
    <r>
      <rPr>
        <sz val="9"/>
        <color rgb="FF7F7F7F"/>
        <rFont val="WenQuanYi Zen Hei"/>
        <family val="2"/>
      </rPr>
      <t xml:space="preserve">満年度＝</t>
    </r>
    <r>
      <rPr>
        <sz val="9"/>
        <color rgb="FF7F7F7F"/>
        <rFont val="Meiryo"/>
        <family val="0"/>
        <charset val="1"/>
      </rPr>
      <t xml:space="preserve">2026</t>
    </r>
    <r>
      <rPr>
        <sz val="9"/>
        <color rgb="FF7F7F7F"/>
        <rFont val="WenQuanYi Zen Hei"/>
        <family val="2"/>
      </rPr>
      <t xml:space="preserve">年</t>
    </r>
    <r>
      <rPr>
        <sz val="9"/>
        <color rgb="FF7F7F7F"/>
        <rFont val="Meiryo"/>
        <family val="0"/>
        <charset val="1"/>
      </rPr>
      <t xml:space="preserve">8</t>
    </r>
    <r>
      <rPr>
        <sz val="9"/>
        <color rgb="FF7F7F7F"/>
        <rFont val="WenQuanYi Zen Hei"/>
        <family val="2"/>
      </rPr>
      <t xml:space="preserve">月</t>
    </r>
    <r>
      <rPr>
        <sz val="9"/>
        <color rgb="FF7F7F7F"/>
        <rFont val="Meiryo"/>
        <family val="0"/>
        <charset val="1"/>
      </rPr>
      <t xml:space="preserve">3</t>
    </r>
    <r>
      <rPr>
        <sz val="9"/>
        <color rgb="FF7F7F7F"/>
        <rFont val="WenQuanYi Zen Hei"/>
        <family val="2"/>
      </rPr>
      <t xml:space="preserve">日提出</t>
    </r>
    <r>
      <rPr>
        <sz val="9"/>
        <color rgb="FF7F7F7F"/>
        <rFont val="Meiryo"/>
        <family val="0"/>
        <charset val="1"/>
      </rPr>
      <t xml:space="preserve">P&amp;L</t>
    </r>
    <r>
      <rPr>
        <sz val="9"/>
        <color rgb="FF7F7F7F"/>
        <rFont val="WenQuanYi Zen Hei"/>
        <family val="2"/>
      </rPr>
      <t xml:space="preserve">どおり。</t>
    </r>
    <r>
      <rPr>
        <sz val="9"/>
        <color rgb="FF7F7F7F"/>
        <rFont val="Meiryo"/>
        <family val="0"/>
        <charset val="1"/>
      </rPr>
      <t xml:space="preserve">1</t>
    </r>
    <r>
      <rPr>
        <sz val="9"/>
        <color rgb="FF7F7F7F"/>
        <rFont val="WenQuanYi Zen Hei"/>
        <family val="2"/>
      </rPr>
      <t xml:space="preserve">年目</t>
    </r>
    <r>
      <rPr>
        <sz val="9"/>
        <color rgb="FF7F7F7F"/>
        <rFont val="Meiryo"/>
        <family val="0"/>
        <charset val="1"/>
      </rPr>
      <t xml:space="preserve">/2</t>
    </r>
    <r>
      <rPr>
        <sz val="9"/>
        <color rgb="FF7F7F7F"/>
        <rFont val="WenQuanYi Zen Hei"/>
        <family val="2"/>
      </rPr>
      <t xml:space="preserve">年目</t>
    </r>
    <r>
      <rPr>
        <sz val="9"/>
        <color rgb="FF7F7F7F"/>
        <rFont val="Meiryo"/>
        <family val="0"/>
        <charset val="1"/>
      </rPr>
      <t xml:space="preserve">/3</t>
    </r>
    <r>
      <rPr>
        <sz val="9"/>
        <color rgb="FF7F7F7F"/>
        <rFont val="WenQuanYi Zen Hei"/>
        <family val="2"/>
      </rPr>
      <t xml:space="preserve">年目以降は立上り率と経費改善を反映。</t>
    </r>
  </si>
  <si>
    <t xml:space="preserve">科　目</t>
  </si>
  <si>
    <r>
      <rPr>
        <b val="true"/>
        <sz val="10"/>
        <color rgb="FF000000"/>
        <rFont val="WenQuanYi Zen Hei"/>
        <family val="2"/>
      </rPr>
      <t xml:space="preserve">満年度
（提出</t>
    </r>
    <r>
      <rPr>
        <b val="true"/>
        <sz val="10"/>
        <color rgb="FF000000"/>
        <rFont val="Meiryo"/>
        <family val="0"/>
        <charset val="1"/>
      </rPr>
      <t xml:space="preserve">P&amp;L</t>
    </r>
    <r>
      <rPr>
        <b val="true"/>
        <sz val="10"/>
        <color rgb="FF000000"/>
        <rFont val="WenQuanYi Zen Hei"/>
        <family val="2"/>
      </rPr>
      <t xml:space="preserve">）</t>
    </r>
  </si>
  <si>
    <t xml:space="preserve">部門利益</t>
  </si>
  <si>
    <r>
      <rPr>
        <b val="true"/>
        <sz val="10"/>
        <color rgb="FF000000"/>
        <rFont val="Meiryo"/>
        <family val="0"/>
        <charset val="1"/>
      </rPr>
      <t xml:space="preserve">GOP</t>
    </r>
    <r>
      <rPr>
        <b val="true"/>
        <sz val="10"/>
        <color rgb="FF000000"/>
        <rFont val="WenQuanYi Zen Hei"/>
        <family val="2"/>
      </rPr>
      <t xml:space="preserve">（店舗営業総利益）</t>
    </r>
  </si>
  <si>
    <t xml:space="preserve">地代家賃（固定）</t>
  </si>
  <si>
    <t xml:space="preserve">歩合家賃</t>
  </si>
  <si>
    <r>
      <rPr>
        <b val="true"/>
        <sz val="9"/>
        <color rgb="FFC00000"/>
        <rFont val="WenQuanYi Zen Hei"/>
        <family val="2"/>
      </rPr>
      <t xml:space="preserve">成熟店：</t>
    </r>
    <r>
      <rPr>
        <b val="true"/>
        <sz val="9"/>
        <color rgb="FFC00000"/>
        <rFont val="Meiryo"/>
        <family val="0"/>
        <charset val="1"/>
      </rPr>
      <t xml:space="preserve">EBITDA</t>
    </r>
    <r>
      <rPr>
        <b val="true"/>
        <sz val="9"/>
        <color rgb="FFC00000"/>
        <rFont val="WenQuanYi Zen Hei"/>
        <family val="2"/>
      </rPr>
      <t xml:space="preserve">率</t>
    </r>
    <r>
      <rPr>
        <b val="true"/>
        <sz val="9"/>
        <color rgb="FFC00000"/>
        <rFont val="Meiryo"/>
        <family val="0"/>
        <charset val="1"/>
      </rPr>
      <t xml:space="preserve">16.5%</t>
    </r>
    <r>
      <rPr>
        <b val="true"/>
        <sz val="9"/>
        <color rgb="FFC00000"/>
        <rFont val="WenQuanYi Zen Hei"/>
        <family val="2"/>
      </rPr>
      <t xml:space="preserve">／営業利益率</t>
    </r>
    <r>
      <rPr>
        <b val="true"/>
        <sz val="9"/>
        <color rgb="FFC00000"/>
        <rFont val="Meiryo"/>
        <family val="0"/>
        <charset val="1"/>
      </rPr>
      <t xml:space="preserve">12.1%</t>
    </r>
  </si>
  <si>
    <r>
      <rPr>
        <sz val="9"/>
        <color rgb="FF7F7F7F"/>
        <rFont val="WenQuanYi Zen Hei"/>
        <family val="2"/>
      </rPr>
      <t xml:space="preserve">※ 減価償却費は</t>
    </r>
    <r>
      <rPr>
        <sz val="9"/>
        <color rgb="FF7F7F7F"/>
        <rFont val="Meiryo"/>
        <family val="0"/>
        <charset val="1"/>
      </rPr>
      <t xml:space="preserve">1</t>
    </r>
    <r>
      <rPr>
        <sz val="9"/>
        <color rgb="FF7F7F7F"/>
        <rFont val="WenQuanYi Zen Hei"/>
        <family val="2"/>
      </rPr>
      <t xml:space="preserve">〜</t>
    </r>
    <r>
      <rPr>
        <sz val="9"/>
        <color rgb="FF7F7F7F"/>
        <rFont val="Meiryo"/>
        <family val="0"/>
        <charset val="1"/>
      </rPr>
      <t xml:space="preserve">3</t>
    </r>
    <r>
      <rPr>
        <sz val="9"/>
        <color rgb="FF7F7F7F"/>
        <rFont val="WenQuanYi Zen Hei"/>
        <family val="2"/>
      </rPr>
      <t xml:space="preserve">号店ベース（償却対象</t>
    </r>
    <r>
      <rPr>
        <sz val="9"/>
        <color rgb="FF7F7F7F"/>
        <rFont val="Meiryo"/>
        <family val="0"/>
        <charset val="1"/>
      </rPr>
      <t xml:space="preserve">208</t>
    </r>
    <r>
      <rPr>
        <sz val="9"/>
        <color rgb="FF7F7F7F"/>
        <rFont val="WenQuanYi Zen Hei"/>
        <family val="2"/>
      </rPr>
      <t xml:space="preserve">百万円</t>
    </r>
    <r>
      <rPr>
        <sz val="9"/>
        <color rgb="FF7F7F7F"/>
        <rFont val="Meiryo"/>
        <family val="0"/>
        <charset val="1"/>
      </rPr>
      <t xml:space="preserve">÷10</t>
    </r>
    <r>
      <rPr>
        <sz val="9"/>
        <color rgb="FF7F7F7F"/>
        <rFont val="WenQuanYi Zen Hei"/>
        <family val="2"/>
      </rPr>
      <t xml:space="preserve">年）。金利・税金は含まない。</t>
    </r>
  </si>
  <si>
    <r>
      <rPr>
        <b val="true"/>
        <sz val="11"/>
        <color rgb="FFFFFFFF"/>
        <rFont val="WenQuanYi Zen Hei"/>
        <family val="2"/>
      </rPr>
      <t xml:space="preserve">店舗群（出店年度コホート）別</t>
    </r>
    <r>
      <rPr>
        <b val="true"/>
        <sz val="11"/>
        <color rgb="FFFFFFFF"/>
        <rFont val="Meiryo"/>
        <family val="0"/>
        <charset val="1"/>
      </rPr>
      <t xml:space="preserve">PL</t>
    </r>
    <r>
      <rPr>
        <b val="true"/>
        <sz val="11"/>
        <color rgb="FFFFFFFF"/>
        <rFont val="WenQuanYi Zen Hei"/>
        <family val="2"/>
      </rPr>
      <t xml:space="preserve">（百万円）</t>
    </r>
  </si>
  <si>
    <r>
      <rPr>
        <sz val="9"/>
        <color rgb="FF7F7F7F"/>
        <rFont val="WenQuanYi Zen Hei"/>
        <family val="2"/>
      </rPr>
      <t xml:space="preserve">年次（</t>
    </r>
    <r>
      <rPr>
        <sz val="9"/>
        <color rgb="FF7F7F7F"/>
        <rFont val="Meiryo"/>
        <family val="0"/>
        <charset val="1"/>
      </rPr>
      <t xml:space="preserve">1/2/3</t>
    </r>
    <r>
      <rPr>
        <sz val="9"/>
        <color rgb="FF7F7F7F"/>
        <rFont val="WenQuanYi Zen Hei"/>
        <family val="2"/>
      </rPr>
      <t xml:space="preserve">）に応じて「前提条件」の立上り率・変動費率を自動参照。地代家賃と歩合家賃の閾値は稼働月数で按分。</t>
    </r>
  </si>
  <si>
    <t xml:space="preserve">店舗群</t>
  </si>
  <si>
    <t xml:space="preserve">店舗数</t>
  </si>
  <si>
    <t xml:space="preserve">　① 東京（六本木ミッドタウン）</t>
  </si>
  <si>
    <t xml:space="preserve">店舗数（店）</t>
  </si>
  <si>
    <t xml:space="preserve">開業年度の稼働月数</t>
  </si>
  <si>
    <r>
      <rPr>
        <sz val="9"/>
        <color rgb="FF000000"/>
        <rFont val="WenQuanYi Zen Hei"/>
        <family val="2"/>
      </rPr>
      <t xml:space="preserve">年次（</t>
    </r>
    <r>
      <rPr>
        <sz val="9"/>
        <color rgb="FF000000"/>
        <rFont val="Meiryo"/>
        <family val="0"/>
        <charset val="1"/>
      </rPr>
      <t xml:space="preserve">0=</t>
    </r>
    <r>
      <rPr>
        <sz val="9"/>
        <color rgb="FF000000"/>
        <rFont val="WenQuanYi Zen Hei"/>
        <family val="2"/>
      </rPr>
      <t xml:space="preserve">未開業</t>
    </r>
    <r>
      <rPr>
        <sz val="9"/>
        <color rgb="FF000000"/>
        <rFont val="Meiryo"/>
        <family val="0"/>
        <charset val="1"/>
      </rPr>
      <t xml:space="preserve">/1/2/3</t>
    </r>
    <r>
      <rPr>
        <sz val="9"/>
        <color rgb="FF000000"/>
        <rFont val="WenQuanYi Zen Hei"/>
        <family val="2"/>
      </rPr>
      <t xml:space="preserve">）</t>
    </r>
  </si>
  <si>
    <r>
      <rPr>
        <b val="true"/>
        <sz val="9"/>
        <color rgb="FF000000"/>
        <rFont val="Meiryo"/>
        <family val="0"/>
        <charset val="1"/>
      </rPr>
      <t xml:space="preserve">GOP</t>
    </r>
    <r>
      <rPr>
        <b val="true"/>
        <sz val="9"/>
        <color rgb="FF000000"/>
        <rFont val="WenQuanYi Zen Hei"/>
        <family val="2"/>
      </rPr>
      <t xml:space="preserve">（店舗営業総利益）</t>
    </r>
  </si>
  <si>
    <r>
      <rPr>
        <sz val="9"/>
        <color rgb="FF000000"/>
        <rFont val="WenQuanYi Zen Hei"/>
        <family val="2"/>
      </rPr>
      <t xml:space="preserve">修繕維持費（</t>
    </r>
    <r>
      <rPr>
        <sz val="9"/>
        <color rgb="FF000000"/>
        <rFont val="Meiryo"/>
        <family val="0"/>
        <charset val="1"/>
      </rPr>
      <t xml:space="preserve">FFE</t>
    </r>
    <r>
      <rPr>
        <sz val="9"/>
        <color rgb="FF000000"/>
        <rFont val="WenQuanYi Zen Hei"/>
        <family val="2"/>
      </rPr>
      <t xml:space="preserve">）</t>
    </r>
  </si>
  <si>
    <r>
      <rPr>
        <b val="true"/>
        <sz val="10"/>
        <color rgb="FF000000"/>
        <rFont val="WenQuanYi Zen Hei"/>
        <family val="2"/>
      </rPr>
      <t xml:space="preserve">店舗</t>
    </r>
    <r>
      <rPr>
        <b val="true"/>
        <sz val="10"/>
        <color rgb="FF000000"/>
        <rFont val="Meiryo"/>
        <family val="0"/>
        <charset val="1"/>
      </rPr>
      <t xml:space="preserve">EBITDA</t>
    </r>
  </si>
  <si>
    <t xml:space="preserve">店舗営業利益</t>
  </si>
  <si>
    <t xml:space="preserve">　② 札幌・大阪</t>
  </si>
  <si>
    <t xml:space="preserve">　③ 首都圏・他政令指定都市</t>
  </si>
  <si>
    <r>
      <rPr>
        <b val="true"/>
        <sz val="10"/>
        <color rgb="FF000000"/>
        <rFont val="WenQuanYi Zen Hei"/>
        <family val="2"/>
      </rPr>
      <t xml:space="preserve">　④ </t>
    </r>
    <r>
      <rPr>
        <b val="true"/>
        <sz val="10"/>
        <color rgb="FF000000"/>
        <rFont val="Meiryo"/>
        <family val="0"/>
        <charset val="1"/>
      </rPr>
      <t xml:space="preserve">FY2030</t>
    </r>
    <r>
      <rPr>
        <b val="true"/>
        <sz val="10"/>
        <color rgb="FF000000"/>
        <rFont val="WenQuanYi Zen Hei"/>
        <family val="2"/>
      </rPr>
      <t xml:space="preserve">出店（リゾート含む）</t>
    </r>
  </si>
  <si>
    <r>
      <rPr>
        <b val="true"/>
        <sz val="10"/>
        <color rgb="FF000000"/>
        <rFont val="WenQuanYi Zen Hei"/>
        <family val="2"/>
      </rPr>
      <t xml:space="preserve">　⑤ </t>
    </r>
    <r>
      <rPr>
        <b val="true"/>
        <sz val="10"/>
        <color rgb="FF000000"/>
        <rFont val="Meiryo"/>
        <family val="0"/>
        <charset val="1"/>
      </rPr>
      <t xml:space="preserve">FY2031</t>
    </r>
    <r>
      <rPr>
        <b val="true"/>
        <sz val="10"/>
        <color rgb="FF000000"/>
        <rFont val="WenQuanYi Zen Hei"/>
        <family val="2"/>
      </rPr>
      <t xml:space="preserve">出店（リゾート含む）</t>
    </r>
  </si>
  <si>
    <r>
      <rPr>
        <b val="true"/>
        <sz val="11"/>
        <color rgb="FFFFFFFF"/>
        <rFont val="Meiryo"/>
        <family val="0"/>
        <charset val="1"/>
      </rPr>
      <t xml:space="preserve">5</t>
    </r>
    <r>
      <rPr>
        <b val="true"/>
        <sz val="11"/>
        <color rgb="FFFFFFFF"/>
        <rFont val="WenQuanYi Zen Hei"/>
        <family val="2"/>
      </rPr>
      <t xml:space="preserve">か年事業計画　連結損益計画（</t>
    </r>
    <r>
      <rPr>
        <b val="true"/>
        <sz val="11"/>
        <color rgb="FFFFFFFF"/>
        <rFont val="Meiryo"/>
        <family val="0"/>
        <charset val="1"/>
      </rPr>
      <t xml:space="preserve">FY2027-FY2031</t>
    </r>
    <r>
      <rPr>
        <b val="true"/>
        <sz val="11"/>
        <color rgb="FFFFFFFF"/>
        <rFont val="WenQuanYi Zen Hei"/>
        <family val="2"/>
      </rPr>
      <t xml:space="preserve">・百万円）</t>
    </r>
  </si>
  <si>
    <r>
      <rPr>
        <sz val="9"/>
        <color rgb="FF7F7F7F"/>
        <rFont val="Meiryo"/>
        <family val="0"/>
        <charset val="1"/>
      </rPr>
      <t xml:space="preserve">FY</t>
    </r>
    <r>
      <rPr>
        <sz val="9"/>
        <color rgb="FF7F7F7F"/>
        <rFont val="WenQuanYi Zen Hei"/>
        <family val="2"/>
      </rPr>
      <t xml:space="preserve">＝</t>
    </r>
    <r>
      <rPr>
        <sz val="9"/>
        <color rgb="FF7F7F7F"/>
        <rFont val="Meiryo"/>
        <family val="0"/>
        <charset val="1"/>
      </rPr>
      <t xml:space="preserve">4</t>
    </r>
    <r>
      <rPr>
        <sz val="9"/>
        <color rgb="FF7F7F7F"/>
        <rFont val="WenQuanYi Zen Hei"/>
        <family val="2"/>
      </rPr>
      <t xml:space="preserve">月〜翌</t>
    </r>
    <r>
      <rPr>
        <sz val="9"/>
        <color rgb="FF7F7F7F"/>
        <rFont val="Meiryo"/>
        <family val="0"/>
        <charset val="1"/>
      </rPr>
      <t xml:space="preserve">3</t>
    </r>
    <r>
      <rPr>
        <sz val="9"/>
        <color rgb="FF7F7F7F"/>
        <rFont val="WenQuanYi Zen Hei"/>
        <family val="2"/>
      </rPr>
      <t xml:space="preserve">月。</t>
    </r>
    <r>
      <rPr>
        <sz val="9"/>
        <color rgb="FF7F7F7F"/>
        <rFont val="Meiryo"/>
        <family val="0"/>
        <charset val="1"/>
      </rPr>
      <t xml:space="preserve">2027</t>
    </r>
    <r>
      <rPr>
        <sz val="9"/>
        <color rgb="FF7F7F7F"/>
        <rFont val="WenQuanYi Zen Hei"/>
        <family val="2"/>
      </rPr>
      <t xml:space="preserve">年</t>
    </r>
    <r>
      <rPr>
        <sz val="9"/>
        <color rgb="FF7F7F7F"/>
        <rFont val="Meiryo"/>
        <family val="0"/>
        <charset val="1"/>
      </rPr>
      <t xml:space="preserve">4</t>
    </r>
    <r>
      <rPr>
        <sz val="9"/>
        <color rgb="FF7F7F7F"/>
        <rFont val="WenQuanYi Zen Hei"/>
        <family val="2"/>
      </rPr>
      <t xml:space="preserve">月 六本木開業 → </t>
    </r>
    <r>
      <rPr>
        <sz val="9"/>
        <color rgb="FF7F7F7F"/>
        <rFont val="Meiryo"/>
        <family val="0"/>
        <charset val="1"/>
      </rPr>
      <t xml:space="preserve">2028</t>
    </r>
    <r>
      <rPr>
        <sz val="9"/>
        <color rgb="FF7F7F7F"/>
        <rFont val="WenQuanYi Zen Hei"/>
        <family val="2"/>
      </rPr>
      <t xml:space="preserve">年 札幌・大阪 → </t>
    </r>
    <r>
      <rPr>
        <sz val="9"/>
        <color rgb="FF7F7F7F"/>
        <rFont val="Meiryo"/>
        <family val="0"/>
        <charset val="1"/>
      </rPr>
      <t xml:space="preserve">2029</t>
    </r>
    <r>
      <rPr>
        <sz val="9"/>
        <color rgb="FF7F7F7F"/>
        <rFont val="WenQuanYi Zen Hei"/>
        <family val="2"/>
      </rPr>
      <t xml:space="preserve">年 首都圏・政令指定都市 → </t>
    </r>
    <r>
      <rPr>
        <sz val="9"/>
        <color rgb="FF7F7F7F"/>
        <rFont val="Meiryo"/>
        <family val="0"/>
        <charset val="1"/>
      </rPr>
      <t xml:space="preserve">2030</t>
    </r>
    <r>
      <rPr>
        <sz val="9"/>
        <color rgb="FF7F7F7F"/>
        <rFont val="WenQuanYi Zen Hei"/>
        <family val="2"/>
      </rPr>
      <t xml:space="preserve">年以降 リゾート含め年</t>
    </r>
    <r>
      <rPr>
        <sz val="9"/>
        <color rgb="FF7F7F7F"/>
        <rFont val="Meiryo"/>
        <family val="0"/>
        <charset val="1"/>
      </rPr>
      <t xml:space="preserve">2</t>
    </r>
    <r>
      <rPr>
        <sz val="9"/>
        <color rgb="FF7F7F7F"/>
        <rFont val="WenQuanYi Zen Hei"/>
        <family val="2"/>
      </rPr>
      <t xml:space="preserve">店舗</t>
    </r>
  </si>
  <si>
    <r>
      <rPr>
        <b val="true"/>
        <sz val="10"/>
        <color rgb="FF000000"/>
        <rFont val="WenQuanYi Zen Hei"/>
        <family val="2"/>
      </rPr>
      <t xml:space="preserve">対売上比
</t>
    </r>
    <r>
      <rPr>
        <b val="true"/>
        <sz val="10"/>
        <color rgb="FF000000"/>
        <rFont val="Meiryo"/>
        <family val="0"/>
        <charset val="1"/>
      </rPr>
      <t xml:space="preserve">(FY2031)</t>
    </r>
  </si>
  <si>
    <r>
      <rPr>
        <b val="true"/>
        <sz val="10"/>
        <color rgb="FF000000"/>
        <rFont val="WenQuanYi Zen Hei"/>
        <family val="2"/>
      </rPr>
      <t xml:space="preserve">店舗</t>
    </r>
    <r>
      <rPr>
        <b val="true"/>
        <sz val="10"/>
        <color rgb="FF000000"/>
        <rFont val="Meiryo"/>
        <family val="0"/>
        <charset val="1"/>
      </rPr>
      <t xml:space="preserve">EBITDA</t>
    </r>
    <r>
      <rPr>
        <b val="true"/>
        <sz val="10"/>
        <color rgb="FF000000"/>
        <rFont val="WenQuanYi Zen Hei"/>
        <family val="2"/>
      </rPr>
      <t xml:space="preserve">　計</t>
    </r>
  </si>
  <si>
    <r>
      <rPr>
        <b val="true"/>
        <sz val="10"/>
        <color rgb="FFC00000"/>
        <rFont val="WenQuanYi Zen Hei"/>
        <family val="2"/>
      </rPr>
      <t xml:space="preserve">【計画のポイント】</t>
    </r>
    <r>
      <rPr>
        <b val="true"/>
        <sz val="10"/>
        <color rgb="FFC00000"/>
        <rFont val="Meiryo"/>
        <family val="0"/>
        <charset val="1"/>
      </rPr>
      <t xml:space="preserve">FY2028</t>
    </r>
    <r>
      <rPr>
        <b val="true"/>
        <sz val="10"/>
        <color rgb="FFC00000"/>
        <rFont val="WenQuanYi Zen Hei"/>
        <family val="2"/>
      </rPr>
      <t xml:space="preserve">に連結</t>
    </r>
    <r>
      <rPr>
        <b val="true"/>
        <sz val="10"/>
        <color rgb="FFC00000"/>
        <rFont val="Meiryo"/>
        <family val="0"/>
        <charset val="1"/>
      </rPr>
      <t xml:space="preserve">EBITDA</t>
    </r>
    <r>
      <rPr>
        <b val="true"/>
        <sz val="10"/>
        <color rgb="FFC00000"/>
        <rFont val="WenQuanYi Zen Hei"/>
        <family val="2"/>
      </rPr>
      <t xml:space="preserve">率</t>
    </r>
    <r>
      <rPr>
        <b val="true"/>
        <sz val="10"/>
        <color rgb="FFC00000"/>
        <rFont val="Meiryo"/>
        <family val="0"/>
        <charset val="1"/>
      </rPr>
      <t xml:space="preserve">10%</t>
    </r>
    <r>
      <rPr>
        <b val="true"/>
        <sz val="10"/>
        <color rgb="FFC00000"/>
        <rFont val="WenQuanYi Zen Hei"/>
        <family val="2"/>
      </rPr>
      <t xml:space="preserve">超、</t>
    </r>
    <r>
      <rPr>
        <b val="true"/>
        <sz val="10"/>
        <color rgb="FFC00000"/>
        <rFont val="Meiryo"/>
        <family val="0"/>
        <charset val="1"/>
      </rPr>
      <t xml:space="preserve">FY2029</t>
    </r>
    <r>
      <rPr>
        <b val="true"/>
        <sz val="10"/>
        <color rgb="FFC00000"/>
        <rFont val="WenQuanYi Zen Hei"/>
        <family val="2"/>
      </rPr>
      <t xml:space="preserve">に営業利益率</t>
    </r>
    <r>
      <rPr>
        <b val="true"/>
        <sz val="10"/>
        <color rgb="FFC00000"/>
        <rFont val="Meiryo"/>
        <family val="0"/>
        <charset val="1"/>
      </rPr>
      <t xml:space="preserve">5%</t>
    </r>
    <r>
      <rPr>
        <b val="true"/>
        <sz val="10"/>
        <color rgb="FFC00000"/>
        <rFont val="WenQuanYi Zen Hei"/>
        <family val="2"/>
      </rPr>
      <t xml:space="preserve">超。</t>
    </r>
    <r>
      <rPr>
        <b val="true"/>
        <sz val="10"/>
        <color rgb="FFC00000"/>
        <rFont val="Meiryo"/>
        <family val="0"/>
        <charset val="1"/>
      </rPr>
      <t xml:space="preserve">FY2031</t>
    </r>
    <r>
      <rPr>
        <b val="true"/>
        <sz val="10"/>
        <color rgb="FFC00000"/>
        <rFont val="WenQuanYi Zen Hei"/>
        <family val="2"/>
      </rPr>
      <t xml:space="preserve">は</t>
    </r>
    <r>
      <rPr>
        <b val="true"/>
        <sz val="10"/>
        <color rgb="FFC00000"/>
        <rFont val="Meiryo"/>
        <family val="0"/>
        <charset val="1"/>
      </rPr>
      <t xml:space="preserve">EBITDA</t>
    </r>
    <r>
      <rPr>
        <b val="true"/>
        <sz val="10"/>
        <color rgb="FFC00000"/>
        <rFont val="WenQuanYi Zen Hei"/>
        <family val="2"/>
      </rPr>
      <t xml:space="preserve">率</t>
    </r>
    <r>
      <rPr>
        <b val="true"/>
        <sz val="10"/>
        <color rgb="FFC00000"/>
        <rFont val="Meiryo"/>
        <family val="0"/>
        <charset val="1"/>
      </rPr>
      <t xml:space="preserve">14.0%</t>
    </r>
    <r>
      <rPr>
        <b val="true"/>
        <sz val="10"/>
        <color rgb="FFC00000"/>
        <rFont val="WenQuanYi Zen Hei"/>
        <family val="2"/>
      </rPr>
      <t xml:space="preserve">・営業利益率</t>
    </r>
    <r>
      <rPr>
        <b val="true"/>
        <sz val="10"/>
        <color rgb="FFC00000"/>
        <rFont val="Meiryo"/>
        <family val="0"/>
        <charset val="1"/>
      </rPr>
      <t xml:space="preserve">9.5%</t>
    </r>
    <r>
      <rPr>
        <b val="true"/>
        <sz val="10"/>
        <color rgb="FFC00000"/>
        <rFont val="WenQuanYi Zen Hei"/>
        <family val="2"/>
      </rPr>
      <t xml:space="preserve">。</t>
    </r>
  </si>
  <si>
    <r>
      <rPr>
        <sz val="9"/>
        <color rgb="FF7F7F7F"/>
        <rFont val="Meiryo"/>
        <family val="0"/>
        <charset val="1"/>
      </rPr>
      <t xml:space="preserve">※ 1</t>
    </r>
    <r>
      <rPr>
        <sz val="9"/>
        <color rgb="FF7F7F7F"/>
        <rFont val="WenQuanYi Zen Hei"/>
        <family val="2"/>
      </rPr>
      <t xml:space="preserve">号店の初年度は</t>
    </r>
    <r>
      <rPr>
        <sz val="9"/>
        <color rgb="FF7F7F7F"/>
        <rFont val="Meiryo"/>
        <family val="0"/>
        <charset val="1"/>
      </rPr>
      <t xml:space="preserve">2026</t>
    </r>
    <r>
      <rPr>
        <sz val="9"/>
        <color rgb="FF7F7F7F"/>
        <rFont val="WenQuanYi Zen Hei"/>
        <family val="2"/>
      </rPr>
      <t xml:space="preserve">年</t>
    </r>
    <r>
      <rPr>
        <sz val="9"/>
        <color rgb="FF7F7F7F"/>
        <rFont val="Meiryo"/>
        <family val="0"/>
        <charset val="1"/>
      </rPr>
      <t xml:space="preserve">8</t>
    </r>
    <r>
      <rPr>
        <sz val="9"/>
        <color rgb="FF7F7F7F"/>
        <rFont val="WenQuanYi Zen Hei"/>
        <family val="2"/>
      </rPr>
      <t xml:space="preserve">月</t>
    </r>
    <r>
      <rPr>
        <sz val="9"/>
        <color rgb="FF7F7F7F"/>
        <rFont val="Meiryo"/>
        <family val="0"/>
        <charset val="1"/>
      </rPr>
      <t xml:space="preserve">3</t>
    </r>
    <r>
      <rPr>
        <sz val="9"/>
        <color rgb="FF7F7F7F"/>
        <rFont val="WenQuanYi Zen Hei"/>
        <family val="2"/>
      </rPr>
      <t xml:space="preserve">日提出</t>
    </r>
    <r>
      <rPr>
        <sz val="9"/>
        <color rgb="FF7F7F7F"/>
        <rFont val="Meiryo"/>
        <family val="0"/>
        <charset val="1"/>
      </rPr>
      <t xml:space="preserve">P&amp;L</t>
    </r>
    <r>
      <rPr>
        <sz val="9"/>
        <color rgb="FF7F7F7F"/>
        <rFont val="WenQuanYi Zen Hei"/>
        <family val="2"/>
      </rPr>
      <t xml:space="preserve">をそのまま採用。新店初年度は売上</t>
    </r>
    <r>
      <rPr>
        <sz val="9"/>
        <color rgb="FF7F7F7F"/>
        <rFont val="Meiryo"/>
        <family val="0"/>
        <charset val="1"/>
      </rPr>
      <t xml:space="preserve">90%</t>
    </r>
    <r>
      <rPr>
        <sz val="9"/>
        <color rgb="FF7F7F7F"/>
        <rFont val="WenQuanYi Zen Hei"/>
        <family val="2"/>
      </rPr>
      <t xml:space="preserve">・開業</t>
    </r>
    <r>
      <rPr>
        <sz val="9"/>
        <color rgb="FF7F7F7F"/>
        <rFont val="Meiryo"/>
        <family val="0"/>
        <charset val="1"/>
      </rPr>
      <t xml:space="preserve">7.5</t>
    </r>
    <r>
      <rPr>
        <sz val="9"/>
        <color rgb="FF7F7F7F"/>
        <rFont val="WenQuanYi Zen Hei"/>
        <family val="2"/>
      </rPr>
      <t xml:space="preserve">か月で保守的に計上。</t>
    </r>
  </si>
  <si>
    <r>
      <rPr>
        <sz val="9"/>
        <color rgb="FF7F7F7F"/>
        <rFont val="WenQuanYi Zen Hei"/>
        <family val="2"/>
      </rPr>
      <t xml:space="preserve">※ ロイヤリティ</t>
    </r>
    <r>
      <rPr>
        <sz val="9"/>
        <color rgb="FF7F7F7F"/>
        <rFont val="Meiryo"/>
        <family val="0"/>
        <charset val="1"/>
      </rPr>
      <t xml:space="preserve">4%</t>
    </r>
    <r>
      <rPr>
        <sz val="9"/>
        <color rgb="FF7F7F7F"/>
        <rFont val="WenQuanYi Zen Hei"/>
        <family val="2"/>
      </rPr>
      <t xml:space="preserve">・歩合家賃</t>
    </r>
    <r>
      <rPr>
        <sz val="9"/>
        <color rgb="FF7F7F7F"/>
        <rFont val="Meiryo"/>
        <family val="0"/>
        <charset val="1"/>
      </rPr>
      <t xml:space="preserve">7%</t>
    </r>
    <r>
      <rPr>
        <sz val="9"/>
        <color rgb="FF7F7F7F"/>
        <rFont val="WenQuanYi Zen Hei"/>
        <family val="2"/>
      </rPr>
      <t xml:space="preserve">・地代家賃は契約条件どおり全店適用。金利・税金は含まない。</t>
    </r>
  </si>
  <si>
    <r>
      <rPr>
        <b val="true"/>
        <sz val="11"/>
        <color rgb="FFFFFFFF"/>
        <rFont val="Meiryo"/>
        <family val="0"/>
        <charset val="1"/>
      </rPr>
      <t xml:space="preserve">5</t>
    </r>
    <r>
      <rPr>
        <b val="true"/>
        <sz val="11"/>
        <color rgb="FFFFFFFF"/>
        <rFont val="WenQuanYi Zen Hei"/>
        <family val="2"/>
      </rPr>
      <t xml:space="preserve">か年事業計画　連結キャッシュフロー（百万円）</t>
    </r>
  </si>
  <si>
    <r>
      <rPr>
        <sz val="9"/>
        <color rgb="FF7F7F7F"/>
        <rFont val="WenQuanYi Zen Hei"/>
        <family val="2"/>
      </rPr>
      <t xml:space="preserve">分割払いスキーム活用により、</t>
    </r>
    <r>
      <rPr>
        <sz val="9"/>
        <color rgb="FF7F7F7F"/>
        <rFont val="Meiryo"/>
        <family val="0"/>
        <charset val="1"/>
      </rPr>
      <t xml:space="preserve">1</t>
    </r>
    <r>
      <rPr>
        <sz val="9"/>
        <color rgb="FF7F7F7F"/>
        <rFont val="WenQuanYi Zen Hei"/>
        <family val="2"/>
      </rPr>
      <t xml:space="preserve">店あたり開業時現金支出を</t>
    </r>
    <r>
      <rPr>
        <sz val="9"/>
        <color rgb="FF7F7F7F"/>
        <rFont val="Meiryo"/>
        <family val="0"/>
        <charset val="1"/>
      </rPr>
      <t xml:space="preserve">247</t>
    </r>
    <r>
      <rPr>
        <sz val="9"/>
        <color rgb="FF7F7F7F"/>
        <rFont val="WenQuanYi Zen Hei"/>
        <family val="2"/>
      </rPr>
      <t xml:space="preserve">百万円 → </t>
    </r>
    <r>
      <rPr>
        <sz val="9"/>
        <color rgb="FF7F7F7F"/>
        <rFont val="Meiryo"/>
        <family val="0"/>
        <charset val="1"/>
      </rPr>
      <t xml:space="preserve">108</t>
    </r>
    <r>
      <rPr>
        <sz val="9"/>
        <color rgb="FF7F7F7F"/>
        <rFont val="WenQuanYi Zen Hei"/>
        <family val="2"/>
      </rPr>
      <t xml:space="preserve">百万円に圧縮。</t>
    </r>
  </si>
  <si>
    <t xml:space="preserve">うち分割対象額</t>
  </si>
  <si>
    <t xml:space="preserve">分割弁済額</t>
  </si>
  <si>
    <t xml:space="preserve">投資キャッシュアウト　計</t>
  </si>
  <si>
    <t xml:space="preserve">■ 分割払いスキーム</t>
  </si>
  <si>
    <r>
      <rPr>
        <sz val="9"/>
        <color rgb="FF7F7F7F"/>
        <rFont val="WenQuanYi Zen Hei"/>
        <family val="2"/>
      </rPr>
      <t xml:space="preserve">内装工事費</t>
    </r>
    <r>
      <rPr>
        <sz val="9"/>
        <color rgb="FF7F7F7F"/>
        <rFont val="Meiryo"/>
        <family val="0"/>
        <charset val="1"/>
      </rPr>
      <t xml:space="preserve">100</t>
    </r>
    <r>
      <rPr>
        <sz val="9"/>
        <color rgb="FF7F7F7F"/>
        <rFont val="WenQuanYi Zen Hei"/>
        <family val="2"/>
      </rPr>
      <t xml:space="preserve">百万円（月</t>
    </r>
    <r>
      <rPr>
        <sz val="9"/>
        <color rgb="FF7F7F7F"/>
        <rFont val="Meiryo"/>
        <family val="0"/>
        <charset val="1"/>
      </rPr>
      <t xml:space="preserve">833</t>
    </r>
    <r>
      <rPr>
        <sz val="9"/>
        <color rgb="FF7F7F7F"/>
        <rFont val="WenQuanYi Zen Hei"/>
        <family val="2"/>
      </rPr>
      <t xml:space="preserve">千円</t>
    </r>
    <r>
      <rPr>
        <sz val="9"/>
        <color rgb="FF7F7F7F"/>
        <rFont val="Meiryo"/>
        <family val="0"/>
        <charset val="1"/>
      </rPr>
      <t xml:space="preserve">×120</t>
    </r>
    <r>
      <rPr>
        <sz val="9"/>
        <color rgb="FF7F7F7F"/>
        <rFont val="WenQuanYi Zen Hei"/>
        <family val="2"/>
      </rPr>
      <t xml:space="preserve">回・</t>
    </r>
    <r>
      <rPr>
        <sz val="9"/>
        <color rgb="FF7F7F7F"/>
        <rFont val="Meiryo"/>
        <family val="0"/>
        <charset val="1"/>
      </rPr>
      <t xml:space="preserve">10</t>
    </r>
    <r>
      <rPr>
        <sz val="9"/>
        <color rgb="FF7F7F7F"/>
        <rFont val="WenQuanYi Zen Hei"/>
        <family val="2"/>
      </rPr>
      <t xml:space="preserve">年）／保証金</t>
    </r>
    <r>
      <rPr>
        <sz val="9"/>
        <color rgb="FF7F7F7F"/>
        <rFont val="Meiryo"/>
        <family val="0"/>
        <charset val="1"/>
      </rPr>
      <t xml:space="preserve">38.9</t>
    </r>
    <r>
      <rPr>
        <sz val="9"/>
        <color rgb="FF7F7F7F"/>
        <rFont val="WenQuanYi Zen Hei"/>
        <family val="2"/>
      </rPr>
      <t xml:space="preserve">百万円（月</t>
    </r>
    <r>
      <rPr>
        <sz val="9"/>
        <color rgb="FF7F7F7F"/>
        <rFont val="Meiryo"/>
        <family val="0"/>
        <charset val="1"/>
      </rPr>
      <t xml:space="preserve">463</t>
    </r>
    <r>
      <rPr>
        <sz val="9"/>
        <color rgb="FF7F7F7F"/>
        <rFont val="WenQuanYi Zen Hei"/>
        <family val="2"/>
      </rPr>
      <t xml:space="preserve">千円</t>
    </r>
    <r>
      <rPr>
        <sz val="9"/>
        <color rgb="FF7F7F7F"/>
        <rFont val="Meiryo"/>
        <family val="0"/>
        <charset val="1"/>
      </rPr>
      <t xml:space="preserve">×84</t>
    </r>
    <r>
      <rPr>
        <sz val="9"/>
        <color rgb="FF7F7F7F"/>
        <rFont val="WenQuanYi Zen Hei"/>
        <family val="2"/>
      </rPr>
      <t xml:space="preserve">回・</t>
    </r>
    <r>
      <rPr>
        <sz val="9"/>
        <color rgb="FF7F7F7F"/>
        <rFont val="Meiryo"/>
        <family val="0"/>
        <charset val="1"/>
      </rPr>
      <t xml:space="preserve">7</t>
    </r>
    <r>
      <rPr>
        <sz val="9"/>
        <color rgb="FF7F7F7F"/>
        <rFont val="WenQuanYi Zen Hei"/>
        <family val="2"/>
      </rPr>
      <t xml:space="preserve">年）。</t>
    </r>
    <r>
      <rPr>
        <sz val="9"/>
        <color rgb="FF7F7F7F"/>
        <rFont val="Meiryo"/>
        <family val="0"/>
        <charset val="1"/>
      </rPr>
      <t xml:space="preserve">1</t>
    </r>
    <r>
      <rPr>
        <sz val="9"/>
        <color rgb="FF7F7F7F"/>
        <rFont val="WenQuanYi Zen Hei"/>
        <family val="2"/>
      </rPr>
      <t xml:space="preserve">店あたり開業時現金支出 </t>
    </r>
    <r>
      <rPr>
        <sz val="9"/>
        <color rgb="FF7F7F7F"/>
        <rFont val="Meiryo"/>
        <family val="0"/>
        <charset val="1"/>
      </rPr>
      <t xml:space="preserve">247→108</t>
    </r>
    <r>
      <rPr>
        <sz val="9"/>
        <color rgb="FF7F7F7F"/>
        <rFont val="WenQuanYi Zen Hei"/>
        <family val="2"/>
      </rPr>
      <t xml:space="preserve">百万円。</t>
    </r>
  </si>
  <si>
    <r>
      <rPr>
        <sz val="9"/>
        <color rgb="FF7F7F7F"/>
        <rFont val="WenQuanYi Zen Hei"/>
        <family val="2"/>
      </rPr>
      <t xml:space="preserve">分割弁済は資産計上済みの繰延支払（損益は減価償却で費用化済み）のため、</t>
    </r>
    <r>
      <rPr>
        <sz val="9"/>
        <color rgb="FF7F7F7F"/>
        <rFont val="Meiryo"/>
        <family val="0"/>
        <charset val="1"/>
      </rPr>
      <t xml:space="preserve">P/L</t>
    </r>
    <r>
      <rPr>
        <sz val="9"/>
        <color rgb="FF7F7F7F"/>
        <rFont val="WenQuanYi Zen Hei"/>
        <family val="2"/>
      </rPr>
      <t xml:space="preserve">には影響させず</t>
    </r>
    <r>
      <rPr>
        <sz val="9"/>
        <color rgb="FF7F7F7F"/>
        <rFont val="Meiryo"/>
        <family val="0"/>
        <charset val="1"/>
      </rPr>
      <t xml:space="preserve">CF</t>
    </r>
    <r>
      <rPr>
        <sz val="9"/>
        <color rgb="FF7F7F7F"/>
        <rFont val="WenQuanYi Zen Hei"/>
        <family val="2"/>
      </rPr>
      <t xml:space="preserve">上のみ計上。</t>
    </r>
  </si>
  <si>
    <r>
      <rPr>
        <sz val="9"/>
        <color rgb="FF7F7F7F"/>
        <rFont val="WenQuanYi Zen Hei"/>
        <family val="2"/>
      </rPr>
      <t xml:space="preserve">※ 簡易</t>
    </r>
    <r>
      <rPr>
        <sz val="9"/>
        <color rgb="FF7F7F7F"/>
        <rFont val="Meiryo"/>
        <family val="0"/>
        <charset val="1"/>
      </rPr>
      <t xml:space="preserve">FCF</t>
    </r>
    <r>
      <rPr>
        <sz val="9"/>
        <color rgb="FF7F7F7F"/>
        <rFont val="WenQuanYi Zen Hei"/>
        <family val="2"/>
      </rPr>
      <t xml:space="preserve">＝連結</t>
    </r>
    <r>
      <rPr>
        <sz val="9"/>
        <color rgb="FF7F7F7F"/>
        <rFont val="Meiryo"/>
        <family val="0"/>
        <charset val="1"/>
      </rPr>
      <t xml:space="preserve">EBITDA</t>
    </r>
    <r>
      <rPr>
        <sz val="9"/>
        <color rgb="FF7F7F7F"/>
        <rFont val="WenQuanYi Zen Hei"/>
        <family val="2"/>
      </rPr>
      <t xml:space="preserve">－投資キャッシュアウト。法人税・運転資本増減・借入</t>
    </r>
    <r>
      <rPr>
        <sz val="9"/>
        <color rgb="FF7F7F7F"/>
        <rFont val="Meiryo"/>
        <family val="0"/>
        <charset val="1"/>
      </rPr>
      <t xml:space="preserve">/</t>
    </r>
    <r>
      <rPr>
        <sz val="9"/>
        <color rgb="FF7F7F7F"/>
        <rFont val="WenQuanYi Zen Hei"/>
        <family val="2"/>
      </rPr>
      <t xml:space="preserve">返済・分割払い金利相当は含まない。</t>
    </r>
  </si>
  <si>
    <r>
      <rPr>
        <b val="true"/>
        <sz val="10"/>
        <color rgb="FF000000"/>
        <rFont val="WenQuanYi Zen Hei"/>
        <family val="2"/>
      </rPr>
      <t xml:space="preserve">■ 単店の投資回収（</t>
    </r>
    <r>
      <rPr>
        <b val="true"/>
        <sz val="10"/>
        <color rgb="FF000000"/>
        <rFont val="Meiryo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〜</t>
    </r>
    <r>
      <rPr>
        <b val="true"/>
        <sz val="10"/>
        <color rgb="FF000000"/>
        <rFont val="Meiryo"/>
        <family val="0"/>
        <charset val="1"/>
      </rPr>
      <t xml:space="preserve">3</t>
    </r>
    <r>
      <rPr>
        <b val="true"/>
        <sz val="10"/>
        <color rgb="FF000000"/>
        <rFont val="WenQuanYi Zen Hei"/>
        <family val="2"/>
      </rPr>
      <t xml:space="preserve">号店・分割払い活用ベース）</t>
    </r>
  </si>
  <si>
    <r>
      <rPr>
        <b val="true"/>
        <sz val="10"/>
        <color rgb="FF000000"/>
        <rFont val="Meiryo"/>
        <family val="0"/>
        <charset val="1"/>
      </rPr>
      <t xml:space="preserve">3</t>
    </r>
    <r>
      <rPr>
        <b val="true"/>
        <sz val="10"/>
        <color rgb="FF000000"/>
        <rFont val="WenQuanYi Zen Hei"/>
        <family val="2"/>
      </rPr>
      <t xml:space="preserve">年目</t>
    </r>
  </si>
  <si>
    <r>
      <rPr>
        <b val="true"/>
        <sz val="10"/>
        <color rgb="FF000000"/>
        <rFont val="Meiryo"/>
        <family val="0"/>
        <charset val="1"/>
      </rPr>
      <t xml:space="preserve">4</t>
    </r>
    <r>
      <rPr>
        <b val="true"/>
        <sz val="10"/>
        <color rgb="FF000000"/>
        <rFont val="WenQuanYi Zen Hei"/>
        <family val="2"/>
      </rPr>
      <t xml:space="preserve">年目</t>
    </r>
  </si>
  <si>
    <r>
      <rPr>
        <b val="true"/>
        <sz val="10"/>
        <color rgb="FF000000"/>
        <rFont val="Meiryo"/>
        <family val="0"/>
        <charset val="1"/>
      </rPr>
      <t xml:space="preserve">5</t>
    </r>
    <r>
      <rPr>
        <b val="true"/>
        <sz val="10"/>
        <color rgb="FF000000"/>
        <rFont val="WenQuanYi Zen Hei"/>
        <family val="2"/>
      </rPr>
      <t xml:space="preserve">年目</t>
    </r>
  </si>
  <si>
    <t xml:space="preserve">分割弁済</t>
  </si>
  <si>
    <r>
      <rPr>
        <b val="true"/>
        <sz val="10"/>
        <color rgb="FF000000"/>
        <rFont val="WenQuanYi Zen Hei"/>
        <family val="2"/>
      </rPr>
      <t xml:space="preserve">単店</t>
    </r>
    <r>
      <rPr>
        <b val="true"/>
        <sz val="10"/>
        <color rgb="FF000000"/>
        <rFont val="Meiryo"/>
        <family val="0"/>
        <charset val="1"/>
      </rPr>
      <t xml:space="preserve">FCF</t>
    </r>
  </si>
  <si>
    <r>
      <rPr>
        <b val="true"/>
        <sz val="10"/>
        <color rgb="FF000000"/>
        <rFont val="WenQuanYi Zen Hei"/>
        <family val="2"/>
      </rPr>
      <t xml:space="preserve">累計</t>
    </r>
    <r>
      <rPr>
        <b val="true"/>
        <sz val="10"/>
        <color rgb="FF000000"/>
        <rFont val="Meiryo"/>
        <family val="0"/>
        <charset val="1"/>
      </rPr>
      <t xml:space="preserve">FCF</t>
    </r>
    <r>
      <rPr>
        <b val="true"/>
        <sz val="10"/>
        <color rgb="FF000000"/>
        <rFont val="WenQuanYi Zen Hei"/>
        <family val="2"/>
      </rPr>
      <t xml:space="preserve">（開業時支出△</t>
    </r>
    <r>
      <rPr>
        <b val="true"/>
        <sz val="10"/>
        <color rgb="FF000000"/>
        <rFont val="Meiryo"/>
        <family val="0"/>
        <charset val="1"/>
      </rPr>
      <t xml:space="preserve">108</t>
    </r>
    <r>
      <rPr>
        <b val="true"/>
        <sz val="10"/>
        <color rgb="FF000000"/>
        <rFont val="WenQuanYi Zen Hei"/>
        <family val="2"/>
      </rPr>
      <t xml:space="preserve">含む）</t>
    </r>
  </si>
  <si>
    <r>
      <rPr>
        <b val="true"/>
        <sz val="10"/>
        <color rgb="FFC00000"/>
        <rFont val="WenQuanYi Zen Hei"/>
        <family val="2"/>
      </rPr>
      <t xml:space="preserve">→ 開業</t>
    </r>
    <r>
      <rPr>
        <b val="true"/>
        <sz val="10"/>
        <color rgb="FFC00000"/>
        <rFont val="Meiryo"/>
        <family val="0"/>
        <charset val="1"/>
      </rPr>
      <t xml:space="preserve">3</t>
    </r>
    <r>
      <rPr>
        <b val="true"/>
        <sz val="10"/>
        <color rgb="FFC00000"/>
        <rFont val="WenQuanYi Zen Hei"/>
        <family val="2"/>
      </rPr>
      <t xml:space="preserve">年目に累計</t>
    </r>
    <r>
      <rPr>
        <b val="true"/>
        <sz val="10"/>
        <color rgb="FFC00000"/>
        <rFont val="Meiryo"/>
        <family val="0"/>
        <charset val="1"/>
      </rPr>
      <t xml:space="preserve">FCF</t>
    </r>
    <r>
      <rPr>
        <b val="true"/>
        <sz val="10"/>
        <color rgb="FFC00000"/>
        <rFont val="WenQuanYi Zen Hei"/>
        <family val="2"/>
      </rPr>
      <t xml:space="preserve">が黒字転換（投資回収 約</t>
    </r>
    <r>
      <rPr>
        <b val="true"/>
        <sz val="10"/>
        <color rgb="FFC00000"/>
        <rFont val="Meiryo"/>
        <family val="0"/>
        <charset val="1"/>
      </rPr>
      <t xml:space="preserve">2.8</t>
    </r>
    <r>
      <rPr>
        <b val="true"/>
        <sz val="10"/>
        <color rgb="FFC00000"/>
        <rFont val="WenQuanYi Zen Hei"/>
        <family val="2"/>
      </rPr>
      <t xml:space="preserve">年）。保証金</t>
    </r>
    <r>
      <rPr>
        <b val="true"/>
        <sz val="10"/>
        <color rgb="FFC00000"/>
        <rFont val="Meiryo"/>
        <family val="0"/>
        <charset val="1"/>
      </rPr>
      <t xml:space="preserve">39</t>
    </r>
    <r>
      <rPr>
        <b val="true"/>
        <sz val="10"/>
        <color rgb="FFC00000"/>
        <rFont val="WenQuanYi Zen Hei"/>
        <family val="2"/>
      </rPr>
      <t xml:space="preserve">百万円は退去時返還対象のため実質回収はさらに短期。</t>
    </r>
  </si>
  <si>
    <r>
      <rPr>
        <sz val="9"/>
        <color rgb="FF7F7F7F"/>
        <rFont val="WenQuanYi Zen Hei"/>
        <family val="2"/>
      </rPr>
      <t xml:space="preserve">※ 分割払いを使わない場合は開業時支出</t>
    </r>
    <r>
      <rPr>
        <sz val="9"/>
        <color rgb="FF7F7F7F"/>
        <rFont val="Meiryo"/>
        <family val="0"/>
        <charset val="1"/>
      </rPr>
      <t xml:space="preserve">247</t>
    </r>
    <r>
      <rPr>
        <sz val="9"/>
        <color rgb="FF7F7F7F"/>
        <rFont val="WenQuanYi Zen Hei"/>
        <family val="2"/>
      </rPr>
      <t xml:space="preserve">百万円・回収約</t>
    </r>
    <r>
      <rPr>
        <sz val="9"/>
        <color rgb="FF7F7F7F"/>
        <rFont val="Meiryo"/>
        <family val="0"/>
        <charset val="1"/>
      </rPr>
      <t xml:space="preserve">3.3</t>
    </r>
    <r>
      <rPr>
        <sz val="9"/>
        <color rgb="FF7F7F7F"/>
        <rFont val="WenQuanYi Zen Hei"/>
        <family val="2"/>
      </rPr>
      <t xml:space="preserve">年。定常期の年間</t>
    </r>
    <r>
      <rPr>
        <sz val="9"/>
        <color rgb="FF7F7F7F"/>
        <rFont val="Meiryo"/>
        <family val="0"/>
        <charset val="1"/>
      </rPr>
      <t xml:space="preserve">FCF</t>
    </r>
    <r>
      <rPr>
        <sz val="9"/>
        <color rgb="FF7F7F7F"/>
        <rFont val="WenQuanYi Zen Hei"/>
        <family val="2"/>
      </rPr>
      <t xml:space="preserve">は</t>
    </r>
    <r>
      <rPr>
        <sz val="9"/>
        <color rgb="FF7F7F7F"/>
        <rFont val="Meiryo"/>
        <family val="0"/>
        <charset val="1"/>
      </rPr>
      <t xml:space="preserve">60</t>
    </r>
    <r>
      <rPr>
        <sz val="9"/>
        <color rgb="FF7F7F7F"/>
        <rFont val="WenQuanYi Zen Hei"/>
        <family val="2"/>
      </rPr>
      <t xml:space="preserve">百万円で</t>
    </r>
    <r>
      <rPr>
        <sz val="9"/>
        <color rgb="FF7F7F7F"/>
        <rFont val="Meiryo"/>
        <family val="0"/>
        <charset val="1"/>
      </rPr>
      <t xml:space="preserve">2</t>
    </r>
    <r>
      <rPr>
        <sz val="9"/>
        <color rgb="FF7F7F7F"/>
        <rFont val="WenQuanYi Zen Hei"/>
        <family val="2"/>
      </rPr>
      <t xml:space="preserve">号店以降の出店原資となる。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</si>
</sst>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\(#,##0\);\-"/>
    <numFmt numFmtId="166" formatCode="#,##0.0;\(#,##0.0\);\-"/>
    <numFmt numFmtId="167" formatCode="0.0%;\(0.0%\);\-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Meiryo"/>
      <family val="0"/>
      <charset val="1"/>
    </font>
    <font>
      <b val="true"/>
      <sz val="11"/>
      <color rgb="FFFFFFFF"/>
      <name val="WenQuanYi Zen Hei"/>
      <family val="2"/>
    </font>
    <font>
      <sz val="9"/>
      <color rgb="FF7F7F7F"/>
      <name val="WenQuanYi Zen Hei"/>
      <family val="2"/>
    </font>
    <font>
      <sz val="9"/>
      <color rgb="FF7F7F7F"/>
      <name val="Meiryo"/>
      <family val="0"/>
      <charset val="1"/>
    </font>
    <font>
      <b val="true"/>
      <sz val="10"/>
      <color rgb="FF000000"/>
      <name val="WenQuanYi Zen Hei"/>
      <family val="2"/>
    </font>
    <font>
      <b val="true"/>
      <sz val="10"/>
      <color rgb="FF000000"/>
      <name val="Meiryo"/>
      <family val="0"/>
      <charset val="1"/>
    </font>
    <font>
      <sz val="10"/>
      <color rgb="FF000000"/>
      <name val="WenQuanYi Zen Hei"/>
      <family val="2"/>
    </font>
    <font>
      <sz val="10"/>
      <color rgb="FF000000"/>
      <name val="Meiryo"/>
      <family val="0"/>
      <charset val="1"/>
    </font>
    <font>
      <b val="true"/>
      <sz val="10"/>
      <color rgb="FFC00000"/>
      <name val="WenQuanYi Zen Hei"/>
      <family val="2"/>
    </font>
    <font>
      <b val="true"/>
      <sz val="10"/>
      <color rgb="FFC00000"/>
      <name val="Meiryo"/>
      <family val="0"/>
      <charset val="1"/>
    </font>
    <font>
      <sz val="10"/>
      <color rgb="FF008000"/>
      <name val="Meiryo"/>
      <family val="0"/>
      <charset val="1"/>
    </font>
    <font>
      <b val="true"/>
      <sz val="10"/>
      <color rgb="FF008000"/>
      <name val="Meiryo"/>
      <family val="0"/>
      <charset val="1"/>
    </font>
    <font>
      <b val="true"/>
      <sz val="11"/>
      <color rgb="FFC00000"/>
      <name val="WenQuanYi Zen Hei"/>
      <family val="2"/>
    </font>
    <font>
      <b val="true"/>
      <sz val="11"/>
      <color rgb="FFC00000"/>
      <name val="Meiryo"/>
      <family val="0"/>
      <charset val="1"/>
    </font>
    <font>
      <sz val="9"/>
      <color rgb="FF000000"/>
      <name val="WenQuanYi Zen Hei"/>
      <family val="2"/>
    </font>
    <font>
      <b val="true"/>
      <sz val="9"/>
      <color rgb="FF000000"/>
      <name val="Meiryo"/>
      <family val="0"/>
      <charset val="1"/>
    </font>
    <font>
      <b val="true"/>
      <sz val="9"/>
      <color rgb="FF000000"/>
      <name val="WenQuanYi Zen Hei"/>
      <family val="2"/>
    </font>
    <font>
      <sz val="10"/>
      <color rgb="FF0000FF"/>
      <name val="Meiryo"/>
      <family val="0"/>
      <charset val="1"/>
    </font>
    <font>
      <b val="true"/>
      <sz val="9"/>
      <name val="WenQuanYi Zen Hei"/>
      <family val="2"/>
    </font>
    <font>
      <b val="true"/>
      <sz val="9"/>
      <name val="Meiryo"/>
      <family val="0"/>
      <charset val="1"/>
    </font>
    <font>
      <b val="true"/>
      <sz val="9"/>
      <color rgb="FFC00000"/>
      <name val="Meiryo"/>
      <family val="0"/>
      <charset val="1"/>
    </font>
    <font>
      <b val="true"/>
      <sz val="9"/>
      <color rgb="FFC00000"/>
      <name val="WenQuanYi Zen Hei"/>
      <family val="2"/>
    </font>
    <font>
      <sz val="9"/>
      <color rgb="FF000000"/>
      <name val="Meiryo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2F2F2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8" min="3" style="0" width="14"/>
  </cols>
  <sheetData>
    <row r="1" customFormat="false" ht="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3"/>
      <c r="D4" s="3"/>
      <c r="E4" s="3"/>
      <c r="F4" s="3"/>
      <c r="G4" s="3"/>
      <c r="H4" s="3"/>
    </row>
    <row r="5" customFormat="false" ht="15" hidden="false" customHeight="false" outlineLevel="0" collapsed="false">
      <c r="A5" s="4" t="s">
        <v>3</v>
      </c>
      <c r="B5" s="5" t="s">
        <v>4</v>
      </c>
      <c r="E5" s="6" t="s">
        <v>5</v>
      </c>
    </row>
    <row r="6" customFormat="false" ht="15" hidden="false" customHeight="false" outlineLevel="0" collapsed="false">
      <c r="A6" s="4" t="s">
        <v>6</v>
      </c>
      <c r="B6" s="5" t="s">
        <v>7</v>
      </c>
      <c r="E6" s="6" t="s">
        <v>8</v>
      </c>
    </row>
    <row r="7" customFormat="false" ht="15" hidden="false" customHeight="false" outlineLevel="0" collapsed="false">
      <c r="A7" s="4" t="s">
        <v>9</v>
      </c>
      <c r="B7" s="5" t="s">
        <v>10</v>
      </c>
      <c r="E7" s="6" t="s">
        <v>11</v>
      </c>
    </row>
    <row r="8" customFormat="false" ht="15" hidden="false" customHeight="false" outlineLevel="0" collapsed="false">
      <c r="A8" s="4" t="s">
        <v>12</v>
      </c>
      <c r="B8" s="5" t="s">
        <v>13</v>
      </c>
      <c r="E8" s="6" t="s">
        <v>14</v>
      </c>
    </row>
    <row r="9" customFormat="false" ht="15" hidden="false" customHeight="false" outlineLevel="0" collapsed="false">
      <c r="A9" s="4" t="s">
        <v>15</v>
      </c>
      <c r="B9" s="5" t="s">
        <v>13</v>
      </c>
      <c r="E9" s="6" t="s">
        <v>16</v>
      </c>
    </row>
    <row r="11" customFormat="false" ht="15" hidden="false" customHeight="false" outlineLevel="0" collapsed="false">
      <c r="A11" s="3" t="s">
        <v>17</v>
      </c>
      <c r="B11" s="3"/>
      <c r="C11" s="3"/>
      <c r="D11" s="3"/>
      <c r="E11" s="3"/>
      <c r="F11" s="3"/>
      <c r="G11" s="3"/>
      <c r="H11" s="3"/>
    </row>
    <row r="12" customFormat="false" ht="15" hidden="false" customHeight="false" outlineLevel="0" collapsed="false">
      <c r="A12" s="7" t="s">
        <v>18</v>
      </c>
      <c r="C12" s="8" t="s">
        <v>3</v>
      </c>
      <c r="D12" s="8" t="s">
        <v>6</v>
      </c>
      <c r="E12" s="8" t="s">
        <v>9</v>
      </c>
      <c r="F12" s="8" t="s">
        <v>12</v>
      </c>
      <c r="G12" s="8" t="s">
        <v>15</v>
      </c>
      <c r="H12" s="8" t="s">
        <v>19</v>
      </c>
    </row>
    <row r="13" customFormat="false" ht="15" hidden="false" customHeight="false" outlineLevel="0" collapsed="false">
      <c r="A13" s="9" t="s">
        <v>20</v>
      </c>
      <c r="C13" s="10" t="n">
        <f aca="false">5カ年連結PL!C4</f>
        <v>1</v>
      </c>
      <c r="D13" s="10" t="n">
        <f aca="false">5カ年連結PL!D4</f>
        <v>3</v>
      </c>
      <c r="E13" s="10" t="n">
        <f aca="false">5カ年連結PL!E4</f>
        <v>5</v>
      </c>
      <c r="F13" s="10" t="n">
        <f aca="false">5カ年連結PL!F4</f>
        <v>7</v>
      </c>
      <c r="G13" s="10" t="n">
        <f aca="false">5カ年連結PL!G4</f>
        <v>9</v>
      </c>
    </row>
    <row r="14" customFormat="false" ht="15" hidden="false" customHeight="false" outlineLevel="0" collapsed="false">
      <c r="A14" s="9" t="s">
        <v>21</v>
      </c>
      <c r="C14" s="11" t="n">
        <f aca="false">5カ年連結PL!C5</f>
        <v>414</v>
      </c>
      <c r="D14" s="11" t="n">
        <f aca="false">5カ年連結PL!D5</f>
        <v>968.3</v>
      </c>
      <c r="E14" s="11" t="n">
        <f aca="false">5カ年連結PL!E5</f>
        <v>1879.1</v>
      </c>
      <c r="F14" s="11" t="n">
        <f aca="false">5カ年連結PL!F5</f>
        <v>2799.1</v>
      </c>
      <c r="G14" s="11" t="n">
        <f aca="false">5カ年連結PL!G5</f>
        <v>3719.1</v>
      </c>
      <c r="H14" s="12" t="n">
        <f aca="false">5カ年連結PL!H5</f>
        <v>9779.6</v>
      </c>
    </row>
    <row r="15" customFormat="false" ht="15" hidden="false" customHeight="false" outlineLevel="0" collapsed="false">
      <c r="A15" s="9" t="s">
        <v>22</v>
      </c>
      <c r="C15" s="11" t="n">
        <f aca="false">5カ年連結PL!C19</f>
        <v>52.448</v>
      </c>
      <c r="D15" s="11" t="n">
        <f aca="false">5カ年連結PL!D19</f>
        <v>131.5412</v>
      </c>
      <c r="E15" s="11" t="n">
        <f aca="false">5カ年連結PL!E19</f>
        <v>273.6604</v>
      </c>
      <c r="F15" s="11" t="n">
        <f aca="false">5カ年連結PL!F19</f>
        <v>425.9364</v>
      </c>
      <c r="G15" s="11" t="n">
        <f aca="false">5カ年連結PL!G19</f>
        <v>578.2124</v>
      </c>
      <c r="H15" s="12" t="n">
        <f aca="false">5カ年連結PL!H19</f>
        <v>1461.7984</v>
      </c>
    </row>
    <row r="16" customFormat="false" ht="15" hidden="false" customHeight="false" outlineLevel="0" collapsed="false">
      <c r="A16" s="9" t="s">
        <v>23</v>
      </c>
      <c r="C16" s="11" t="n">
        <f aca="false">5カ年連結PL!C20</f>
        <v>15</v>
      </c>
      <c r="D16" s="11" t="n">
        <f aca="false">5カ年連結PL!D20</f>
        <v>28</v>
      </c>
      <c r="E16" s="11" t="n">
        <f aca="false">5カ年連結PL!E20</f>
        <v>40</v>
      </c>
      <c r="F16" s="11" t="n">
        <f aca="false">5カ年連結PL!F20</f>
        <v>48</v>
      </c>
      <c r="G16" s="11" t="n">
        <f aca="false">5カ年連結PL!G20</f>
        <v>55</v>
      </c>
      <c r="H16" s="12" t="n">
        <f aca="false">5カ年連結PL!H20</f>
        <v>186</v>
      </c>
    </row>
    <row r="17" customFormat="false" ht="15" hidden="false" customHeight="false" outlineLevel="0" collapsed="false">
      <c r="A17" s="13" t="s">
        <v>24</v>
      </c>
      <c r="C17" s="14" t="n">
        <f aca="false">5カ年連結PL!C21</f>
        <v>37.448</v>
      </c>
      <c r="D17" s="14" t="n">
        <f aca="false">5カ年連結PL!D21</f>
        <v>103.5412</v>
      </c>
      <c r="E17" s="14" t="n">
        <f aca="false">5カ年連結PL!E21</f>
        <v>233.6604</v>
      </c>
      <c r="F17" s="14" t="n">
        <f aca="false">5カ年連結PL!F21</f>
        <v>377.9364</v>
      </c>
      <c r="G17" s="14" t="n">
        <f aca="false">5カ年連結PL!G21</f>
        <v>523.2124</v>
      </c>
      <c r="H17" s="12" t="n">
        <f aca="false">5カ年連結PL!H21</f>
        <v>1275.7984</v>
      </c>
    </row>
    <row r="18" customFormat="false" ht="15" hidden="false" customHeight="false" outlineLevel="0" collapsed="false">
      <c r="A18" s="13" t="s">
        <v>25</v>
      </c>
      <c r="C18" s="15" t="n">
        <f aca="false">5カ年連結PL!C22</f>
        <v>0.0904541062801933</v>
      </c>
      <c r="D18" s="15" t="n">
        <f aca="false">5カ年連結PL!D22</f>
        <v>0.106930909841991</v>
      </c>
      <c r="E18" s="15" t="n">
        <f aca="false">5カ年連結PL!E22</f>
        <v>0.124346974615507</v>
      </c>
      <c r="F18" s="15" t="n">
        <f aca="false">5カ年連結PL!F22</f>
        <v>0.135020685220249</v>
      </c>
      <c r="G18" s="15" t="n">
        <f aca="false">5カ年連結PL!G22</f>
        <v>0.140682530719798</v>
      </c>
      <c r="H18" s="16" t="n">
        <f aca="false">5カ年連結PL!H22</f>
        <v>0.130455069737004</v>
      </c>
    </row>
    <row r="19" customFormat="false" ht="15" hidden="false" customHeight="false" outlineLevel="0" collapsed="false">
      <c r="A19" s="9" t="s">
        <v>26</v>
      </c>
      <c r="C19" s="11" t="n">
        <f aca="false">5カ年連結PL!C23</f>
        <v>20.8</v>
      </c>
      <c r="D19" s="11" t="n">
        <f aca="false">5カ年連結PL!D23</f>
        <v>46.8</v>
      </c>
      <c r="E19" s="11" t="n">
        <f aca="false">5カ年連結PL!E23</f>
        <v>87.775</v>
      </c>
      <c r="F19" s="11" t="n">
        <f aca="false">5カ年連結PL!F23</f>
        <v>128.375</v>
      </c>
      <c r="G19" s="11" t="n">
        <f aca="false">5カ年連結PL!G23</f>
        <v>168.975</v>
      </c>
      <c r="H19" s="12" t="n">
        <f aca="false">5カ年連結PL!H23</f>
        <v>452.725</v>
      </c>
    </row>
    <row r="20" customFormat="false" ht="15" hidden="false" customHeight="false" outlineLevel="0" collapsed="false">
      <c r="A20" s="13" t="s">
        <v>27</v>
      </c>
      <c r="C20" s="14" t="n">
        <f aca="false">5カ年連結PL!C24</f>
        <v>16.648</v>
      </c>
      <c r="D20" s="14" t="n">
        <f aca="false">5カ年連結PL!D24</f>
        <v>56.7412</v>
      </c>
      <c r="E20" s="14" t="n">
        <f aca="false">5カ年連結PL!E24</f>
        <v>145.8854</v>
      </c>
      <c r="F20" s="14" t="n">
        <f aca="false">5カ年連結PL!F24</f>
        <v>249.5614</v>
      </c>
      <c r="G20" s="14" t="n">
        <f aca="false">5カ年連結PL!G24</f>
        <v>354.2374</v>
      </c>
      <c r="H20" s="12" t="n">
        <f aca="false">5カ年連結PL!H24</f>
        <v>823.0734</v>
      </c>
    </row>
    <row r="21" customFormat="false" ht="15" hidden="false" customHeight="false" outlineLevel="0" collapsed="false">
      <c r="A21" s="13" t="s">
        <v>28</v>
      </c>
      <c r="C21" s="15" t="n">
        <f aca="false">5カ年連結PL!C25</f>
        <v>0.0402125603864735</v>
      </c>
      <c r="D21" s="15" t="n">
        <f aca="false">5カ年連結PL!D25</f>
        <v>0.0585987813694103</v>
      </c>
      <c r="E21" s="15" t="n">
        <f aca="false">5カ年連結PL!E25</f>
        <v>0.0776357830876483</v>
      </c>
      <c r="F21" s="15" t="n">
        <f aca="false">5カ年連結PL!F25</f>
        <v>0.0891577292701225</v>
      </c>
      <c r="G21" s="15" t="n">
        <f aca="false">5カ年連結PL!G25</f>
        <v>0.0952481514344868</v>
      </c>
      <c r="H21" s="16" t="n">
        <f aca="false">5カ年連結PL!H25</f>
        <v>0.084162276575729</v>
      </c>
    </row>
    <row r="23" customFormat="false" ht="15" hidden="false" customHeight="false" outlineLevel="0" collapsed="false">
      <c r="A23" s="17" t="s">
        <v>29</v>
      </c>
    </row>
    <row r="25" customFormat="false" ht="15" hidden="false" customHeight="false" outlineLevel="0" collapsed="false">
      <c r="A25" s="3" t="s">
        <v>30</v>
      </c>
      <c r="B25" s="3"/>
      <c r="C25" s="3"/>
      <c r="D25" s="3"/>
      <c r="E25" s="3"/>
      <c r="F25" s="3"/>
      <c r="G25" s="3"/>
      <c r="H25" s="3"/>
    </row>
    <row r="26" customFormat="false" ht="15" hidden="false" customHeight="false" outlineLevel="0" collapsed="false">
      <c r="A26" s="7" t="s">
        <v>18</v>
      </c>
      <c r="C26" s="8" t="s">
        <v>31</v>
      </c>
      <c r="D26" s="8" t="s">
        <v>32</v>
      </c>
      <c r="E26" s="8" t="s">
        <v>33</v>
      </c>
    </row>
    <row r="27" customFormat="false" ht="15" hidden="false" customHeight="false" outlineLevel="0" collapsed="false">
      <c r="A27" s="9" t="s">
        <v>21</v>
      </c>
      <c r="C27" s="11" t="n">
        <f aca="false">単店モデルPL!C5</f>
        <v>414</v>
      </c>
      <c r="D27" s="11" t="n">
        <f aca="false">単店モデルPL!D5</f>
        <v>450.8</v>
      </c>
      <c r="E27" s="11" t="n">
        <f aca="false">単店モデルPL!E5</f>
        <v>460</v>
      </c>
    </row>
    <row r="28" customFormat="false" ht="15" hidden="false" customHeight="false" outlineLevel="0" collapsed="false">
      <c r="A28" s="18" t="s">
        <v>34</v>
      </c>
      <c r="C28" s="11" t="n">
        <f aca="false">単店モデルPL!C19</f>
        <v>52.448</v>
      </c>
      <c r="D28" s="11" t="n">
        <f aca="false">単店モデルPL!D19</f>
        <v>65.9812</v>
      </c>
      <c r="E28" s="11" t="n">
        <f aca="false">単店モデルPL!E19</f>
        <v>76.138</v>
      </c>
    </row>
    <row r="29" customFormat="false" ht="15" hidden="false" customHeight="false" outlineLevel="0" collapsed="false">
      <c r="A29" s="13" t="s">
        <v>25</v>
      </c>
      <c r="C29" s="15" t="n">
        <f aca="false">単店モデルPL!C22</f>
        <v>0.126685990338164</v>
      </c>
      <c r="D29" s="15" t="n">
        <f aca="false">単店モデルPL!D22</f>
        <v>0.146364685004437</v>
      </c>
      <c r="E29" s="15" t="n">
        <f aca="false">単店モデルPL!E22</f>
        <v>0.165517391304348</v>
      </c>
    </row>
    <row r="30" customFormat="false" ht="15" hidden="false" customHeight="false" outlineLevel="0" collapsed="false">
      <c r="A30" s="9" t="s">
        <v>27</v>
      </c>
      <c r="C30" s="11" t="n">
        <f aca="false">単店モデルPL!C21</f>
        <v>31.648</v>
      </c>
      <c r="D30" s="11" t="n">
        <f aca="false">単店モデルPL!D21</f>
        <v>45.1812</v>
      </c>
      <c r="E30" s="11" t="n">
        <f aca="false">単店モデルPL!E21</f>
        <v>55.338</v>
      </c>
    </row>
    <row r="31" customFormat="false" ht="15" hidden="false" customHeight="false" outlineLevel="0" collapsed="false">
      <c r="A31" s="13" t="s">
        <v>28</v>
      </c>
      <c r="C31" s="15" t="n">
        <f aca="false">単店モデルPL!C23</f>
        <v>0.0764444444444445</v>
      </c>
      <c r="D31" s="15" t="n">
        <f aca="false">単店モデルPL!D23</f>
        <v>0.100224489795918</v>
      </c>
      <c r="E31" s="15" t="n">
        <f aca="false">単店モデルPL!E23</f>
        <v>0.1203</v>
      </c>
    </row>
    <row r="33" customFormat="false" ht="15" hidden="false" customHeight="false" outlineLevel="0" collapsed="false">
      <c r="A33" s="3" t="s">
        <v>35</v>
      </c>
      <c r="B33" s="3"/>
      <c r="C33" s="3"/>
      <c r="D33" s="3"/>
      <c r="E33" s="3"/>
      <c r="F33" s="3"/>
      <c r="G33" s="3"/>
      <c r="H33" s="3"/>
    </row>
    <row r="34" customFormat="false" ht="15" hidden="false" customHeight="false" outlineLevel="0" collapsed="false">
      <c r="A34" s="7" t="s">
        <v>18</v>
      </c>
      <c r="C34" s="8" t="s">
        <v>3</v>
      </c>
      <c r="D34" s="8" t="s">
        <v>6</v>
      </c>
      <c r="E34" s="8" t="s">
        <v>9</v>
      </c>
      <c r="F34" s="8" t="s">
        <v>12</v>
      </c>
      <c r="G34" s="8" t="s">
        <v>15</v>
      </c>
      <c r="H34" s="8" t="s">
        <v>19</v>
      </c>
    </row>
    <row r="35" customFormat="false" ht="15" hidden="false" customHeight="false" outlineLevel="0" collapsed="false">
      <c r="A35" s="9" t="s">
        <v>36</v>
      </c>
      <c r="C35" s="10" t="n">
        <f aca="false">投資・キャッシュフロー!C4</f>
        <v>1</v>
      </c>
      <c r="D35" s="10" t="n">
        <f aca="false">投資・キャッシュフロー!D4</f>
        <v>2</v>
      </c>
      <c r="E35" s="10" t="n">
        <f aca="false">投資・キャッシュフロー!E4</f>
        <v>2</v>
      </c>
      <c r="F35" s="10" t="n">
        <f aca="false">投資・キャッシュフロー!F4</f>
        <v>2</v>
      </c>
      <c r="G35" s="10" t="n">
        <f aca="false">投資・キャッシュフロー!G4</f>
        <v>2</v>
      </c>
      <c r="H35" s="19" t="n">
        <f aca="false">投資・キャッシュフロー!H4</f>
        <v>9</v>
      </c>
    </row>
    <row r="36" customFormat="false" ht="15" hidden="false" customHeight="false" outlineLevel="0" collapsed="false">
      <c r="A36" s="9" t="s">
        <v>37</v>
      </c>
      <c r="C36" s="11" t="n">
        <f aca="false">投資・キャッシュフロー!C6</f>
        <v>-247</v>
      </c>
      <c r="D36" s="11" t="n">
        <f aca="false">投資・キャッシュフロー!D6</f>
        <v>-494</v>
      </c>
      <c r="E36" s="11" t="n">
        <f aca="false">投資・キャッシュフロー!E6</f>
        <v>-484</v>
      </c>
      <c r="F36" s="11" t="n">
        <f aca="false">投資・キャッシュフロー!F6</f>
        <v>-484</v>
      </c>
      <c r="G36" s="11" t="n">
        <f aca="false">投資・キャッシュフロー!G6</f>
        <v>-484</v>
      </c>
      <c r="H36" s="12" t="n">
        <f aca="false">投資・キャッシュフロー!H6</f>
        <v>-2193</v>
      </c>
    </row>
    <row r="37" customFormat="false" ht="15" hidden="false" customHeight="false" outlineLevel="0" collapsed="false">
      <c r="A37" s="9" t="s">
        <v>38</v>
      </c>
      <c r="C37" s="11" t="n">
        <f aca="false">投資・キャッシュフロー!C8</f>
        <v>-108.1</v>
      </c>
      <c r="D37" s="11" t="n">
        <f aca="false">投資・キャッシュフロー!D8</f>
        <v>-216.2</v>
      </c>
      <c r="E37" s="11" t="n">
        <f aca="false">投資・キャッシュフロー!E8</f>
        <v>-206.2</v>
      </c>
      <c r="F37" s="11" t="n">
        <f aca="false">投資・キャッシュフロー!F8</f>
        <v>-206.2</v>
      </c>
      <c r="G37" s="11" t="n">
        <f aca="false">投資・キャッシュフロー!G8</f>
        <v>-206.2</v>
      </c>
      <c r="H37" s="12" t="n">
        <f aca="false">投資・キャッシュフロー!H8</f>
        <v>-942.9</v>
      </c>
    </row>
    <row r="38" customFormat="false" ht="15" hidden="false" customHeight="false" outlineLevel="0" collapsed="false">
      <c r="A38" s="9" t="s">
        <v>39</v>
      </c>
      <c r="C38" s="11" t="n">
        <f aca="false">投資・キャッシュフロー!C10</f>
        <v>-123.7</v>
      </c>
      <c r="D38" s="11" t="n">
        <f aca="false">投資・キャッシュフロー!D10</f>
        <v>-251.3</v>
      </c>
      <c r="E38" s="11" t="n">
        <f aca="false">投資・キャッシュフロー!E10</f>
        <v>-272.5</v>
      </c>
      <c r="F38" s="11" t="n">
        <f aca="false">投資・キャッシュフロー!F10</f>
        <v>-303.7</v>
      </c>
      <c r="G38" s="11" t="n">
        <f aca="false">投資・キャッシュフロー!G10</f>
        <v>-334.9</v>
      </c>
      <c r="H38" s="12" t="n">
        <f aca="false">投資・キャッシュフロー!H10</f>
        <v>-1286.1</v>
      </c>
    </row>
    <row r="39" customFormat="false" ht="15" hidden="false" customHeight="false" outlineLevel="0" collapsed="false">
      <c r="A39" s="9" t="s">
        <v>40</v>
      </c>
      <c r="C39" s="11" t="n">
        <f aca="false">投資・キャッシュフロー!C12</f>
        <v>-86.252</v>
      </c>
      <c r="D39" s="11" t="n">
        <f aca="false">投資・キャッシュフロー!D12</f>
        <v>-147.7588</v>
      </c>
      <c r="E39" s="11" t="n">
        <f aca="false">投資・キャッシュフロー!E12</f>
        <v>-38.8396</v>
      </c>
      <c r="F39" s="11" t="n">
        <f aca="false">投資・キャッシュフロー!F12</f>
        <v>74.2364</v>
      </c>
      <c r="G39" s="11" t="n">
        <f aca="false">投資・キャッシュフロー!G12</f>
        <v>188.3124</v>
      </c>
      <c r="H39" s="12" t="n">
        <f aca="false">投資・キャッシュフロー!H12</f>
        <v>-10.3016000000001</v>
      </c>
    </row>
    <row r="40" customFormat="false" ht="15" hidden="false" customHeight="false" outlineLevel="0" collapsed="false">
      <c r="A40" s="9" t="s">
        <v>41</v>
      </c>
      <c r="C40" s="11" t="n">
        <f aca="false">投資・キャッシュフロー!C13</f>
        <v>-86.252</v>
      </c>
      <c r="D40" s="11" t="n">
        <f aca="false">投資・キャッシュフロー!D13</f>
        <v>-234.0108</v>
      </c>
      <c r="E40" s="11" t="n">
        <f aca="false">投資・キャッシュフロー!E13</f>
        <v>-272.8504</v>
      </c>
      <c r="F40" s="11" t="n">
        <f aca="false">投資・キャッシュフロー!F13</f>
        <v>-198.614</v>
      </c>
      <c r="G40" s="11" t="n">
        <f aca="false">投資・キャッシュフロー!G13</f>
        <v>-10.3016000000001</v>
      </c>
    </row>
    <row r="42" customFormat="false" ht="15" hidden="false" customHeight="false" outlineLevel="0" collapsed="false">
      <c r="A42" s="2" t="s">
        <v>42</v>
      </c>
    </row>
    <row r="43" customFormat="false" ht="15" hidden="false" customHeight="false" outlineLevel="0" collapsed="false">
      <c r="A43" s="2" t="s">
        <v>43</v>
      </c>
    </row>
    <row r="45" customFormat="false" ht="15" hidden="false" customHeight="false" outlineLevel="0" collapsed="false">
      <c r="A45" s="3" t="s">
        <v>44</v>
      </c>
      <c r="B45" s="3"/>
      <c r="C45" s="3"/>
      <c r="D45" s="3"/>
      <c r="E45" s="3"/>
      <c r="F45" s="3"/>
      <c r="G45" s="3"/>
      <c r="H45" s="3"/>
    </row>
    <row r="46" customFormat="false" ht="15" hidden="false" customHeight="false" outlineLevel="0" collapsed="false">
      <c r="A46" s="20" t="s">
        <v>45</v>
      </c>
      <c r="B46" s="21" t="s">
        <v>46</v>
      </c>
      <c r="C46" s="22" t="s">
        <v>47</v>
      </c>
      <c r="D46" s="22"/>
      <c r="E46" s="22"/>
      <c r="F46" s="22"/>
      <c r="G46" s="22"/>
      <c r="H46" s="22"/>
    </row>
    <row r="47" customFormat="false" ht="15" hidden="false" customHeight="false" outlineLevel="0" collapsed="false">
      <c r="A47" s="20" t="s">
        <v>48</v>
      </c>
      <c r="B47" s="21" t="s">
        <v>49</v>
      </c>
      <c r="C47" s="22" t="s">
        <v>50</v>
      </c>
      <c r="D47" s="22"/>
      <c r="E47" s="22"/>
      <c r="F47" s="22"/>
      <c r="G47" s="22"/>
      <c r="H47" s="22"/>
    </row>
    <row r="48" customFormat="false" ht="15" hidden="false" customHeight="false" outlineLevel="0" collapsed="false">
      <c r="A48" s="20" t="s">
        <v>51</v>
      </c>
      <c r="B48" s="21" t="s">
        <v>52</v>
      </c>
      <c r="C48" s="22" t="s">
        <v>53</v>
      </c>
      <c r="D48" s="22"/>
      <c r="E48" s="22"/>
      <c r="F48" s="22"/>
      <c r="G48" s="22"/>
      <c r="H48" s="22"/>
    </row>
    <row r="49" customFormat="false" ht="15" hidden="false" customHeight="false" outlineLevel="0" collapsed="false">
      <c r="A49" s="20" t="s">
        <v>54</v>
      </c>
      <c r="B49" s="21" t="s">
        <v>55</v>
      </c>
      <c r="C49" s="22" t="s">
        <v>56</v>
      </c>
      <c r="D49" s="22"/>
      <c r="E49" s="22"/>
      <c r="F49" s="22"/>
      <c r="G49" s="22"/>
      <c r="H49" s="22"/>
    </row>
    <row r="50" customFormat="false" ht="15" hidden="false" customHeight="false" outlineLevel="0" collapsed="false">
      <c r="A50" s="20" t="s">
        <v>57</v>
      </c>
      <c r="B50" s="21" t="s">
        <v>58</v>
      </c>
      <c r="C50" s="22" t="s">
        <v>59</v>
      </c>
      <c r="D50" s="22"/>
      <c r="E50" s="22"/>
      <c r="F50" s="22"/>
      <c r="G50" s="22"/>
      <c r="H50" s="22"/>
    </row>
    <row r="52" customFormat="false" ht="15" hidden="false" customHeight="false" outlineLevel="0" collapsed="false">
      <c r="A52" s="2" t="s">
        <v>60</v>
      </c>
    </row>
  </sheetData>
  <mergeCells count="5">
    <mergeCell ref="C46:H46"/>
    <mergeCell ref="C47:H47"/>
    <mergeCell ref="C48:H48"/>
    <mergeCell ref="C49:H49"/>
    <mergeCell ref="C50:H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6" min="2" style="0" width="13"/>
    <col collapsed="false" customWidth="true" hidden="false" outlineLevel="0" max="7" min="7" style="0" width="4"/>
    <col collapsed="false" customWidth="true" hidden="false" outlineLevel="0" max="8" min="8" style="0" width="52"/>
  </cols>
  <sheetData>
    <row r="1" customFormat="false" ht="15" hidden="false" customHeight="false" outlineLevel="0" collapsed="false">
      <c r="A1" s="23" t="s">
        <v>61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62</v>
      </c>
    </row>
    <row r="4" customFormat="false" ht="15" hidden="false" customHeight="false" outlineLevel="0" collapsed="false">
      <c r="A4" s="3" t="s">
        <v>63</v>
      </c>
      <c r="B4" s="3"/>
      <c r="C4" s="3"/>
      <c r="D4" s="3"/>
      <c r="E4" s="3"/>
      <c r="F4" s="3"/>
      <c r="G4" s="3"/>
      <c r="H4" s="3"/>
    </row>
    <row r="5" customFormat="false" ht="15" hidden="false" customHeight="false" outlineLevel="0" collapsed="false">
      <c r="A5" s="5" t="s">
        <v>64</v>
      </c>
      <c r="B5" s="24" t="n">
        <v>460</v>
      </c>
      <c r="H5" s="25" t="s">
        <v>65</v>
      </c>
    </row>
    <row r="6" customFormat="false" ht="15" hidden="false" customHeight="false" outlineLevel="0" collapsed="false">
      <c r="A6" s="5" t="s">
        <v>66</v>
      </c>
      <c r="B6" s="26" t="n">
        <v>0.9</v>
      </c>
      <c r="H6" s="2" t="s">
        <v>67</v>
      </c>
    </row>
    <row r="7" customFormat="false" ht="15" hidden="false" customHeight="false" outlineLevel="0" collapsed="false">
      <c r="A7" s="5" t="s">
        <v>68</v>
      </c>
      <c r="B7" s="26" t="n">
        <v>0.98</v>
      </c>
      <c r="H7" s="2"/>
    </row>
    <row r="8" customFormat="false" ht="15" hidden="false" customHeight="false" outlineLevel="0" collapsed="false">
      <c r="A8" s="5" t="s">
        <v>69</v>
      </c>
      <c r="B8" s="26" t="n">
        <v>1</v>
      </c>
      <c r="H8" s="2" t="s">
        <v>70</v>
      </c>
    </row>
    <row r="9" customFormat="false" ht="15" hidden="false" customHeight="false" outlineLevel="0" collapsed="false">
      <c r="A9" s="5" t="s">
        <v>71</v>
      </c>
      <c r="B9" s="24" t="n">
        <v>7.5</v>
      </c>
      <c r="H9" s="2" t="s">
        <v>72</v>
      </c>
    </row>
    <row r="10" customFormat="false" ht="15" hidden="false" customHeight="false" outlineLevel="0" collapsed="false">
      <c r="A10" s="5" t="s">
        <v>73</v>
      </c>
      <c r="B10" s="24" t="n">
        <v>12</v>
      </c>
      <c r="H10" s="25" t="s">
        <v>74</v>
      </c>
    </row>
    <row r="12" customFormat="false" ht="15" hidden="false" customHeight="false" outlineLevel="0" collapsed="false">
      <c r="A12" s="3" t="s">
        <v>75</v>
      </c>
      <c r="B12" s="3"/>
      <c r="C12" s="3"/>
      <c r="D12" s="3"/>
      <c r="E12" s="3"/>
      <c r="F12" s="3"/>
      <c r="G12" s="3"/>
      <c r="H12" s="3"/>
    </row>
    <row r="13" customFormat="false" ht="15" hidden="false" customHeight="false" outlineLevel="0" collapsed="false">
      <c r="A13" s="5" t="s">
        <v>76</v>
      </c>
      <c r="B13" s="24" t="n">
        <v>2.22</v>
      </c>
      <c r="H13" s="2" t="s">
        <v>77</v>
      </c>
    </row>
    <row r="14" customFormat="false" ht="15" hidden="false" customHeight="false" outlineLevel="0" collapsed="false">
      <c r="A14" s="5" t="s">
        <v>78</v>
      </c>
      <c r="B14" s="27" t="n">
        <f aca="false">B13*12</f>
        <v>26.64</v>
      </c>
      <c r="H14" s="2" t="s">
        <v>79</v>
      </c>
    </row>
    <row r="15" customFormat="false" ht="15" hidden="false" customHeight="false" outlineLevel="0" collapsed="false">
      <c r="A15" s="5" t="s">
        <v>80</v>
      </c>
      <c r="B15" s="26" t="n">
        <v>0.07</v>
      </c>
      <c r="H15" s="2" t="s">
        <v>81</v>
      </c>
    </row>
    <row r="16" customFormat="false" ht="15" hidden="false" customHeight="false" outlineLevel="0" collapsed="false">
      <c r="A16" s="5" t="s">
        <v>82</v>
      </c>
      <c r="B16" s="24" t="n">
        <v>331.4</v>
      </c>
      <c r="H16" s="2" t="s">
        <v>83</v>
      </c>
    </row>
    <row r="18" customFormat="false" ht="15" hidden="false" customHeight="false" outlineLevel="0" collapsed="false">
      <c r="A18" s="3" t="s">
        <v>84</v>
      </c>
      <c r="B18" s="3"/>
      <c r="C18" s="3"/>
      <c r="D18" s="3"/>
      <c r="E18" s="3"/>
      <c r="F18" s="3"/>
      <c r="G18" s="3"/>
      <c r="H18" s="3"/>
    </row>
    <row r="21" customFormat="false" ht="31.5" hidden="false" customHeight="true" outlineLevel="0" collapsed="false">
      <c r="A21" s="28" t="s">
        <v>85</v>
      </c>
      <c r="B21" s="29" t="s">
        <v>86</v>
      </c>
      <c r="C21" s="29" t="s">
        <v>87</v>
      </c>
      <c r="D21" s="29" t="s">
        <v>88</v>
      </c>
      <c r="H21" s="28" t="s">
        <v>89</v>
      </c>
    </row>
    <row r="22" customFormat="false" ht="15" hidden="false" customHeight="false" outlineLevel="0" collapsed="false">
      <c r="A22" s="9" t="s">
        <v>45</v>
      </c>
      <c r="B22" s="26" t="n">
        <v>0.295</v>
      </c>
      <c r="C22" s="26" t="n">
        <v>0.29</v>
      </c>
      <c r="D22" s="26" t="n">
        <v>0.285</v>
      </c>
      <c r="H22" s="2" t="s">
        <v>90</v>
      </c>
    </row>
    <row r="23" customFormat="false" ht="15" hidden="false" customHeight="false" outlineLevel="0" collapsed="false">
      <c r="A23" s="9" t="s">
        <v>48</v>
      </c>
      <c r="B23" s="26" t="n">
        <v>0.345</v>
      </c>
      <c r="C23" s="26" t="n">
        <v>0.335</v>
      </c>
      <c r="D23" s="26" t="n">
        <v>0.325</v>
      </c>
      <c r="H23" s="2" t="s">
        <v>91</v>
      </c>
    </row>
    <row r="24" customFormat="false" ht="15" hidden="false" customHeight="false" outlineLevel="0" collapsed="false">
      <c r="A24" s="9" t="s">
        <v>51</v>
      </c>
      <c r="B24" s="26" t="n">
        <v>0.024</v>
      </c>
      <c r="C24" s="26" t="n">
        <v>0.022</v>
      </c>
      <c r="D24" s="26" t="n">
        <v>0.02</v>
      </c>
      <c r="H24" s="2" t="s">
        <v>92</v>
      </c>
    </row>
    <row r="25" customFormat="false" ht="15" hidden="false" customHeight="false" outlineLevel="0" collapsed="false">
      <c r="A25" s="9" t="s">
        <v>93</v>
      </c>
      <c r="B25" s="26" t="n">
        <v>0.014</v>
      </c>
      <c r="C25" s="26" t="n">
        <v>0.014</v>
      </c>
      <c r="D25" s="26" t="n">
        <v>0.014</v>
      </c>
      <c r="H25" s="25" t="s">
        <v>94</v>
      </c>
    </row>
    <row r="26" customFormat="false" ht="15" hidden="false" customHeight="false" outlineLevel="0" collapsed="false">
      <c r="A26" s="9" t="s">
        <v>95</v>
      </c>
      <c r="B26" s="26" t="n">
        <v>0.005</v>
      </c>
      <c r="C26" s="26" t="n">
        <v>0.005</v>
      </c>
      <c r="D26" s="26" t="n">
        <v>0.005</v>
      </c>
      <c r="H26" s="2" t="s">
        <v>96</v>
      </c>
    </row>
    <row r="27" customFormat="false" ht="15" hidden="false" customHeight="false" outlineLevel="0" collapsed="false">
      <c r="A27" s="9" t="s">
        <v>54</v>
      </c>
      <c r="B27" s="26" t="n">
        <v>0.04</v>
      </c>
      <c r="C27" s="26" t="n">
        <v>0.038</v>
      </c>
      <c r="D27" s="26" t="n">
        <v>0.036</v>
      </c>
      <c r="H27" s="2" t="s">
        <v>97</v>
      </c>
    </row>
    <row r="28" customFormat="false" ht="15" hidden="false" customHeight="false" outlineLevel="0" collapsed="false">
      <c r="A28" s="9" t="s">
        <v>98</v>
      </c>
      <c r="B28" s="26" t="n">
        <v>0.04</v>
      </c>
      <c r="C28" s="26" t="n">
        <v>0.04</v>
      </c>
      <c r="D28" s="26" t="n">
        <v>0.04</v>
      </c>
      <c r="H28" s="2" t="s">
        <v>99</v>
      </c>
    </row>
    <row r="29" customFormat="false" ht="15" hidden="false" customHeight="false" outlineLevel="0" collapsed="false">
      <c r="A29" s="9" t="s">
        <v>100</v>
      </c>
      <c r="B29" s="26" t="n">
        <v>0.007</v>
      </c>
      <c r="C29" s="26" t="n">
        <v>0.007</v>
      </c>
      <c r="D29" s="26" t="n">
        <v>0.007</v>
      </c>
      <c r="H29" s="2" t="s">
        <v>96</v>
      </c>
    </row>
    <row r="30" customFormat="false" ht="15" hidden="false" customHeight="false" outlineLevel="0" collapsed="false">
      <c r="A30" s="9" t="s">
        <v>101</v>
      </c>
      <c r="B30" s="26" t="n">
        <v>0.025</v>
      </c>
      <c r="C30" s="26" t="n">
        <v>0.025</v>
      </c>
      <c r="D30" s="26" t="n">
        <v>0.025</v>
      </c>
      <c r="H30" s="2" t="s">
        <v>96</v>
      </c>
    </row>
    <row r="31" customFormat="false" ht="15" hidden="false" customHeight="false" outlineLevel="0" collapsed="false">
      <c r="A31" s="13" t="s">
        <v>102</v>
      </c>
      <c r="B31" s="30" t="n">
        <f aca="false">SUM(B22:B30)</f>
        <v>0.795</v>
      </c>
      <c r="C31" s="30" t="n">
        <f aca="false">SUM(C22:C30)</f>
        <v>0.776</v>
      </c>
      <c r="D31" s="30" t="n">
        <f aca="false">SUM(D22:D30)</f>
        <v>0.757</v>
      </c>
    </row>
    <row r="33" customFormat="false" ht="15" hidden="false" customHeight="false" outlineLevel="0" collapsed="false">
      <c r="A33" s="3" t="s">
        <v>103</v>
      </c>
      <c r="B33" s="3"/>
      <c r="C33" s="3"/>
      <c r="D33" s="3"/>
      <c r="E33" s="3"/>
      <c r="F33" s="3"/>
      <c r="G33" s="3"/>
      <c r="H33" s="3"/>
    </row>
    <row r="34" customFormat="false" ht="27.75" hidden="false" customHeight="true" outlineLevel="0" collapsed="false">
      <c r="A34" s="7" t="s">
        <v>18</v>
      </c>
      <c r="B34" s="31" t="s">
        <v>104</v>
      </c>
      <c r="C34" s="31" t="s">
        <v>105</v>
      </c>
    </row>
    <row r="35" customFormat="false" ht="15" hidden="false" customHeight="false" outlineLevel="0" collapsed="false">
      <c r="A35" s="9" t="s">
        <v>106</v>
      </c>
      <c r="B35" s="24" t="n">
        <v>10</v>
      </c>
      <c r="C35" s="24" t="n">
        <v>5</v>
      </c>
      <c r="H35" s="2" t="s">
        <v>107</v>
      </c>
    </row>
    <row r="36" customFormat="false" ht="15" hidden="false" customHeight="false" outlineLevel="0" collapsed="false">
      <c r="A36" s="9" t="s">
        <v>108</v>
      </c>
      <c r="B36" s="24" t="n">
        <v>194</v>
      </c>
      <c r="C36" s="24" t="n">
        <v>194</v>
      </c>
      <c r="H36" s="2"/>
    </row>
    <row r="37" customFormat="false" ht="15" hidden="false" customHeight="false" outlineLevel="0" collapsed="false">
      <c r="A37" s="9" t="s">
        <v>109</v>
      </c>
      <c r="B37" s="24" t="n">
        <v>4</v>
      </c>
      <c r="C37" s="24" t="n">
        <v>4</v>
      </c>
      <c r="H37" s="2"/>
    </row>
    <row r="38" customFormat="false" ht="15" hidden="false" customHeight="false" outlineLevel="0" collapsed="false">
      <c r="A38" s="9" t="s">
        <v>110</v>
      </c>
      <c r="B38" s="24" t="n">
        <v>39</v>
      </c>
      <c r="C38" s="24" t="n">
        <v>39</v>
      </c>
      <c r="H38" s="2" t="s">
        <v>111</v>
      </c>
    </row>
    <row r="39" customFormat="false" ht="15" hidden="false" customHeight="false" outlineLevel="0" collapsed="false">
      <c r="A39" s="13" t="s">
        <v>112</v>
      </c>
      <c r="B39" s="32" t="n">
        <f aca="false">SUM(B35:B38)</f>
        <v>247</v>
      </c>
      <c r="C39" s="32" t="n">
        <f aca="false">SUM(C35:C38)</f>
        <v>242</v>
      </c>
      <c r="H39" s="33" t="s">
        <v>113</v>
      </c>
    </row>
    <row r="40" customFormat="false" ht="15" hidden="false" customHeight="false" outlineLevel="0" collapsed="false">
      <c r="A40" s="13" t="s">
        <v>114</v>
      </c>
      <c r="B40" s="34" t="n">
        <f aca="false">B39-B38</f>
        <v>208</v>
      </c>
      <c r="C40" s="34" t="n">
        <f aca="false">C39-C38</f>
        <v>203</v>
      </c>
    </row>
    <row r="41" customFormat="false" ht="15" hidden="false" customHeight="false" outlineLevel="0" collapsed="false">
      <c r="A41" s="9" t="s">
        <v>115</v>
      </c>
      <c r="B41" s="24" t="n">
        <v>10</v>
      </c>
      <c r="C41" s="24" t="n">
        <v>10</v>
      </c>
    </row>
    <row r="42" customFormat="false" ht="15" hidden="false" customHeight="false" outlineLevel="0" collapsed="false">
      <c r="A42" s="13" t="s">
        <v>116</v>
      </c>
      <c r="B42" s="34" t="n">
        <f aca="false">B40/B41</f>
        <v>20.8</v>
      </c>
      <c r="C42" s="34" t="n">
        <f aca="false">C40/C41</f>
        <v>20.3</v>
      </c>
    </row>
    <row r="44" customFormat="false" ht="15" hidden="false" customHeight="false" outlineLevel="0" collapsed="false">
      <c r="A44" s="3" t="s">
        <v>117</v>
      </c>
      <c r="B44" s="3"/>
      <c r="C44" s="3"/>
      <c r="D44" s="3"/>
      <c r="E44" s="3"/>
      <c r="F44" s="3"/>
      <c r="G44" s="3"/>
      <c r="H44" s="3"/>
    </row>
    <row r="45" customFormat="false" ht="15" hidden="false" customHeight="false" outlineLevel="0" collapsed="false">
      <c r="A45" s="5" t="s">
        <v>118</v>
      </c>
      <c r="B45" s="24" t="n">
        <v>100</v>
      </c>
      <c r="H45" s="2" t="s">
        <v>119</v>
      </c>
    </row>
    <row r="46" customFormat="false" ht="15" hidden="false" customHeight="false" outlineLevel="0" collapsed="false">
      <c r="A46" s="5" t="s">
        <v>120</v>
      </c>
      <c r="B46" s="24" t="n">
        <v>38.9</v>
      </c>
      <c r="H46" s="2" t="s">
        <v>121</v>
      </c>
    </row>
    <row r="47" customFormat="false" ht="15" hidden="false" customHeight="false" outlineLevel="0" collapsed="false">
      <c r="A47" s="35" t="s">
        <v>122</v>
      </c>
      <c r="B47" s="34" t="n">
        <f aca="false">B45+B46</f>
        <v>138.9</v>
      </c>
      <c r="H47" s="2" t="s">
        <v>123</v>
      </c>
    </row>
    <row r="48" customFormat="false" ht="15" hidden="false" customHeight="false" outlineLevel="0" collapsed="false">
      <c r="A48" s="5" t="s">
        <v>124</v>
      </c>
      <c r="B48" s="24" t="n">
        <v>15.6</v>
      </c>
      <c r="H48" s="2" t="s">
        <v>125</v>
      </c>
    </row>
    <row r="50" customFormat="false" ht="15" hidden="false" customHeight="false" outlineLevel="0" collapsed="false">
      <c r="A50" s="2" t="s">
        <v>126</v>
      </c>
    </row>
    <row r="52" customFormat="false" ht="15" hidden="false" customHeight="false" outlineLevel="0" collapsed="false">
      <c r="A52" s="3" t="s">
        <v>127</v>
      </c>
      <c r="B52" s="3"/>
      <c r="C52" s="3"/>
      <c r="D52" s="3"/>
      <c r="E52" s="3"/>
      <c r="F52" s="3"/>
      <c r="G52" s="3"/>
      <c r="H52" s="3"/>
    </row>
    <row r="53" customFormat="false" ht="15" hidden="false" customHeight="false" outlineLevel="0" collapsed="false">
      <c r="A53" s="7" t="s">
        <v>18</v>
      </c>
      <c r="B53" s="8" t="s">
        <v>3</v>
      </c>
      <c r="C53" s="8" t="s">
        <v>6</v>
      </c>
      <c r="D53" s="8" t="s">
        <v>9</v>
      </c>
      <c r="E53" s="8" t="s">
        <v>12</v>
      </c>
      <c r="F53" s="8" t="s">
        <v>15</v>
      </c>
    </row>
    <row r="54" customFormat="false" ht="15" hidden="false" customHeight="false" outlineLevel="0" collapsed="false">
      <c r="A54" s="5" t="s">
        <v>128</v>
      </c>
      <c r="B54" s="36" t="n">
        <v>1</v>
      </c>
      <c r="C54" s="36" t="n">
        <v>2</v>
      </c>
      <c r="D54" s="36" t="n">
        <v>2</v>
      </c>
      <c r="E54" s="36" t="n">
        <v>2</v>
      </c>
      <c r="F54" s="36" t="n">
        <v>2</v>
      </c>
      <c r="H54" s="25" t="s">
        <v>129</v>
      </c>
    </row>
    <row r="55" customFormat="false" ht="15" hidden="false" customHeight="false" outlineLevel="0" collapsed="false">
      <c r="A55" s="35" t="s">
        <v>20</v>
      </c>
      <c r="B55" s="37" t="n">
        <f aca="false">B54</f>
        <v>1</v>
      </c>
      <c r="C55" s="37" t="n">
        <f aca="false">B55+C54</f>
        <v>3</v>
      </c>
      <c r="D55" s="37" t="n">
        <f aca="false">C55+D54</f>
        <v>5</v>
      </c>
      <c r="E55" s="37" t="n">
        <f aca="false">D55+E54</f>
        <v>7</v>
      </c>
      <c r="F55" s="37" t="n">
        <f aca="false">E55+F54</f>
        <v>9</v>
      </c>
    </row>
    <row r="56" customFormat="false" ht="15" hidden="false" customHeight="false" outlineLevel="0" collapsed="false">
      <c r="A56" s="5" t="s">
        <v>130</v>
      </c>
      <c r="B56" s="24" t="n">
        <v>15</v>
      </c>
      <c r="C56" s="24" t="n">
        <v>28</v>
      </c>
      <c r="D56" s="24" t="n">
        <v>40</v>
      </c>
      <c r="E56" s="24" t="n">
        <v>48</v>
      </c>
      <c r="F56" s="24" t="n">
        <v>55</v>
      </c>
      <c r="H56" s="2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5" min="2" style="0" width="15"/>
    <col collapsed="false" customWidth="true" hidden="false" outlineLevel="0" max="6" min="6" style="0" width="4"/>
    <col collapsed="false" customWidth="true" hidden="false" outlineLevel="0" max="7" min="7" style="0" width="40"/>
  </cols>
  <sheetData>
    <row r="1" customFormat="false" ht="15" hidden="false" customHeight="false" outlineLevel="0" collapsed="false">
      <c r="A1" s="23" t="s">
        <v>132</v>
      </c>
      <c r="B1" s="1"/>
      <c r="C1" s="1"/>
      <c r="D1" s="1"/>
      <c r="E1" s="1"/>
    </row>
    <row r="2" customFormat="false" ht="15" hidden="false" customHeight="false" outlineLevel="0" collapsed="false">
      <c r="A2" s="2" t="s">
        <v>133</v>
      </c>
    </row>
    <row r="4" customFormat="false" ht="30" hidden="false" customHeight="true" outlineLevel="0" collapsed="false">
      <c r="A4" s="7" t="s">
        <v>134</v>
      </c>
      <c r="B4" s="38" t="s">
        <v>135</v>
      </c>
      <c r="C4" s="39" t="s">
        <v>31</v>
      </c>
      <c r="D4" s="39" t="s">
        <v>32</v>
      </c>
      <c r="E4" s="39" t="s">
        <v>33</v>
      </c>
    </row>
    <row r="5" customFormat="false" ht="15" hidden="false" customHeight="false" outlineLevel="0" collapsed="false">
      <c r="A5" s="13" t="s">
        <v>21</v>
      </c>
      <c r="B5" s="40" t="n">
        <f aca="false">前提条件!$B$5*前提条件!$B$8</f>
        <v>460</v>
      </c>
      <c r="C5" s="40" t="n">
        <f aca="false">前提条件!$B$5*前提条件!$B$6</f>
        <v>414</v>
      </c>
      <c r="D5" s="40" t="n">
        <f aca="false">前提条件!$B$5*前提条件!$B$7</f>
        <v>450.8</v>
      </c>
      <c r="E5" s="40" t="n">
        <f aca="false">前提条件!$B$5*前提条件!$B$8</f>
        <v>460</v>
      </c>
    </row>
    <row r="6" customFormat="false" ht="15" hidden="false" customHeight="false" outlineLevel="0" collapsed="false">
      <c r="A6" s="9" t="s">
        <v>45</v>
      </c>
      <c r="B6" s="41" t="n">
        <f aca="false">B$5*前提条件!$B$22</f>
        <v>135.7</v>
      </c>
      <c r="C6" s="41" t="n">
        <f aca="false">C$5*前提条件!$B$22</f>
        <v>122.13</v>
      </c>
      <c r="D6" s="41" t="n">
        <f aca="false">D$5*前提条件!$C$22</f>
        <v>130.732</v>
      </c>
      <c r="E6" s="41" t="n">
        <f aca="false">E$5*前提条件!$D$22</f>
        <v>131.1</v>
      </c>
    </row>
    <row r="7" customFormat="false" ht="15" hidden="false" customHeight="false" outlineLevel="0" collapsed="false">
      <c r="A7" s="9" t="s">
        <v>48</v>
      </c>
      <c r="B7" s="41" t="n">
        <f aca="false">B$5*前提条件!$B$23</f>
        <v>158.7</v>
      </c>
      <c r="C7" s="41" t="n">
        <f aca="false">C$5*前提条件!$B$23</f>
        <v>142.83</v>
      </c>
      <c r="D7" s="41" t="n">
        <f aca="false">D$5*前提条件!$C$23</f>
        <v>151.018</v>
      </c>
      <c r="E7" s="41" t="n">
        <f aca="false">E$5*前提条件!$D$23</f>
        <v>149.5</v>
      </c>
    </row>
    <row r="8" customFormat="false" ht="15" hidden="false" customHeight="false" outlineLevel="0" collapsed="false">
      <c r="A8" s="9" t="s">
        <v>51</v>
      </c>
      <c r="B8" s="41" t="n">
        <f aca="false">B$5*前提条件!$B$24</f>
        <v>11.04</v>
      </c>
      <c r="C8" s="41" t="n">
        <f aca="false">C$5*前提条件!$B$24</f>
        <v>9.936</v>
      </c>
      <c r="D8" s="41" t="n">
        <f aca="false">D$5*前提条件!$C$24</f>
        <v>9.9176</v>
      </c>
      <c r="E8" s="41" t="n">
        <f aca="false">E$5*前提条件!$D$24</f>
        <v>9.2</v>
      </c>
    </row>
    <row r="9" customFormat="false" ht="15" hidden="false" customHeight="false" outlineLevel="0" collapsed="false">
      <c r="A9" s="13" t="s">
        <v>136</v>
      </c>
      <c r="B9" s="42" t="n">
        <f aca="false">B5-SUM(B6:B8)</f>
        <v>154.56</v>
      </c>
      <c r="C9" s="42" t="n">
        <f aca="false">C5-SUM(C6:C8)</f>
        <v>139.104</v>
      </c>
      <c r="D9" s="42" t="n">
        <f aca="false">D5-SUM(D6:D8)</f>
        <v>159.1324</v>
      </c>
      <c r="E9" s="42" t="n">
        <f aca="false">E5-SUM(E6:E8)</f>
        <v>170.2</v>
      </c>
    </row>
    <row r="10" customFormat="false" ht="15" hidden="false" customHeight="false" outlineLevel="0" collapsed="false">
      <c r="A10" s="9" t="s">
        <v>93</v>
      </c>
      <c r="B10" s="41" t="n">
        <f aca="false">B$5*前提条件!$B$25</f>
        <v>6.44</v>
      </c>
      <c r="C10" s="41" t="n">
        <f aca="false">C$5*前提条件!$B$25</f>
        <v>5.796</v>
      </c>
      <c r="D10" s="41" t="n">
        <f aca="false">D$5*前提条件!$C$25</f>
        <v>6.3112</v>
      </c>
      <c r="E10" s="41" t="n">
        <f aca="false">E$5*前提条件!$D$25</f>
        <v>6.44</v>
      </c>
    </row>
    <row r="11" customFormat="false" ht="15" hidden="false" customHeight="false" outlineLevel="0" collapsed="false">
      <c r="A11" s="9" t="s">
        <v>95</v>
      </c>
      <c r="B11" s="41" t="n">
        <f aca="false">B$5*前提条件!$B$26</f>
        <v>2.3</v>
      </c>
      <c r="C11" s="41" t="n">
        <f aca="false">C$5*前提条件!$B$26</f>
        <v>2.07</v>
      </c>
      <c r="D11" s="41" t="n">
        <f aca="false">D$5*前提条件!$C$26</f>
        <v>2.254</v>
      </c>
      <c r="E11" s="41" t="n">
        <f aca="false">E$5*前提条件!$D$26</f>
        <v>2.3</v>
      </c>
    </row>
    <row r="12" customFormat="false" ht="15" hidden="false" customHeight="false" outlineLevel="0" collapsed="false">
      <c r="A12" s="9" t="s">
        <v>54</v>
      </c>
      <c r="B12" s="41" t="n">
        <f aca="false">B$5*前提条件!$B$27</f>
        <v>18.4</v>
      </c>
      <c r="C12" s="41" t="n">
        <f aca="false">C$5*前提条件!$B$27</f>
        <v>16.56</v>
      </c>
      <c r="D12" s="41" t="n">
        <f aca="false">D$5*前提条件!$C$27</f>
        <v>17.1304</v>
      </c>
      <c r="E12" s="41" t="n">
        <f aca="false">E$5*前提条件!$D$27</f>
        <v>16.56</v>
      </c>
    </row>
    <row r="13" customFormat="false" ht="15" hidden="false" customHeight="false" outlineLevel="0" collapsed="false">
      <c r="A13" s="43" t="s">
        <v>137</v>
      </c>
      <c r="B13" s="42" t="n">
        <f aca="false">B9-SUM(B10:B12)</f>
        <v>127.42</v>
      </c>
      <c r="C13" s="42" t="n">
        <f aca="false">C9-SUM(C10:C12)</f>
        <v>114.678</v>
      </c>
      <c r="D13" s="42" t="n">
        <f aca="false">D9-SUM(D10:D12)</f>
        <v>133.4368</v>
      </c>
      <c r="E13" s="42" t="n">
        <f aca="false">E9-SUM(E10:E12)</f>
        <v>144.9</v>
      </c>
    </row>
    <row r="14" customFormat="false" ht="15" hidden="false" customHeight="false" outlineLevel="0" collapsed="false">
      <c r="A14" s="9" t="s">
        <v>98</v>
      </c>
      <c r="B14" s="41" t="n">
        <f aca="false">B$5*前提条件!$B$28</f>
        <v>18.4</v>
      </c>
      <c r="C14" s="41" t="n">
        <f aca="false">C$5*前提条件!$B$28</f>
        <v>16.56</v>
      </c>
      <c r="D14" s="41" t="n">
        <f aca="false">D$5*前提条件!$C$28</f>
        <v>18.032</v>
      </c>
      <c r="E14" s="41" t="n">
        <f aca="false">E$5*前提条件!$D$28</f>
        <v>18.4</v>
      </c>
    </row>
    <row r="15" customFormat="false" ht="15" hidden="false" customHeight="false" outlineLevel="0" collapsed="false">
      <c r="A15" s="9" t="s">
        <v>100</v>
      </c>
      <c r="B15" s="41" t="n">
        <f aca="false">B$5*前提条件!$B$29</f>
        <v>3.22</v>
      </c>
      <c r="C15" s="41" t="n">
        <f aca="false">C$5*前提条件!$B$29</f>
        <v>2.898</v>
      </c>
      <c r="D15" s="41" t="n">
        <f aca="false">D$5*前提条件!$C$29</f>
        <v>3.1556</v>
      </c>
      <c r="E15" s="41" t="n">
        <f aca="false">E$5*前提条件!$D$29</f>
        <v>3.22</v>
      </c>
    </row>
    <row r="16" customFormat="false" ht="15" hidden="false" customHeight="false" outlineLevel="0" collapsed="false">
      <c r="A16" s="9" t="s">
        <v>138</v>
      </c>
      <c r="B16" s="41" t="n">
        <f aca="false">前提条件!$B$14</f>
        <v>26.64</v>
      </c>
      <c r="C16" s="41" t="n">
        <f aca="false">前提条件!$B$14</f>
        <v>26.64</v>
      </c>
      <c r="D16" s="41" t="n">
        <f aca="false">前提条件!$B$14</f>
        <v>26.64</v>
      </c>
      <c r="E16" s="41" t="n">
        <f aca="false">前提条件!$B$14</f>
        <v>26.64</v>
      </c>
    </row>
    <row r="17" customFormat="false" ht="15" hidden="false" customHeight="false" outlineLevel="0" collapsed="false">
      <c r="A17" s="9" t="s">
        <v>139</v>
      </c>
      <c r="B17" s="41" t="n">
        <f aca="false">MAX(0,B5-前提条件!$B$16)*前提条件!$B$15</f>
        <v>9.002</v>
      </c>
      <c r="C17" s="41" t="n">
        <f aca="false">MAX(0,C5-前提条件!$B$16)*前提条件!$B$15</f>
        <v>5.782</v>
      </c>
      <c r="D17" s="41" t="n">
        <f aca="false">MAX(0,D5-前提条件!$B$16)*前提条件!$B$15</f>
        <v>8.358</v>
      </c>
      <c r="E17" s="41" t="n">
        <f aca="false">MAX(0,E5-前提条件!$B$16)*前提条件!$B$15</f>
        <v>9.002</v>
      </c>
    </row>
    <row r="18" customFormat="false" ht="15" hidden="false" customHeight="false" outlineLevel="0" collapsed="false">
      <c r="A18" s="9" t="s">
        <v>101</v>
      </c>
      <c r="B18" s="41" t="n">
        <f aca="false">B$5*前提条件!$B$30</f>
        <v>11.5</v>
      </c>
      <c r="C18" s="41" t="n">
        <f aca="false">C$5*前提条件!$B$30</f>
        <v>10.35</v>
      </c>
      <c r="D18" s="41" t="n">
        <f aca="false">D$5*前提条件!$C$30</f>
        <v>11.27</v>
      </c>
      <c r="E18" s="41" t="n">
        <f aca="false">E$5*前提条件!$D$30</f>
        <v>11.5</v>
      </c>
    </row>
    <row r="19" customFormat="false" ht="15" hidden="false" customHeight="false" outlineLevel="0" collapsed="false">
      <c r="A19" s="43" t="s">
        <v>34</v>
      </c>
      <c r="B19" s="44" t="n">
        <f aca="false">B13-SUM(B14:B18)</f>
        <v>58.658</v>
      </c>
      <c r="C19" s="44" t="n">
        <f aca="false">C13-SUM(C14:C18)</f>
        <v>52.448</v>
      </c>
      <c r="D19" s="44" t="n">
        <f aca="false">D13-SUM(D14:D18)</f>
        <v>65.9812</v>
      </c>
      <c r="E19" s="44" t="n">
        <f aca="false">E13-SUM(E14:E18)</f>
        <v>76.138</v>
      </c>
      <c r="G19" s="45" t="s">
        <v>140</v>
      </c>
    </row>
    <row r="20" customFormat="false" ht="15" hidden="false" customHeight="false" outlineLevel="0" collapsed="false">
      <c r="A20" s="9" t="s">
        <v>26</v>
      </c>
      <c r="B20" s="11" t="n">
        <f aca="false">前提条件!$B$42</f>
        <v>20.8</v>
      </c>
      <c r="C20" s="11" t="n">
        <f aca="false">前提条件!$B$42</f>
        <v>20.8</v>
      </c>
      <c r="D20" s="11" t="n">
        <f aca="false">前提条件!$B$42</f>
        <v>20.8</v>
      </c>
      <c r="E20" s="11" t="n">
        <f aca="false">前提条件!$B$42</f>
        <v>20.8</v>
      </c>
    </row>
    <row r="21" customFormat="false" ht="15" hidden="false" customHeight="false" outlineLevel="0" collapsed="false">
      <c r="A21" s="13" t="s">
        <v>27</v>
      </c>
      <c r="B21" s="44" t="n">
        <f aca="false">B19-B20</f>
        <v>37.858</v>
      </c>
      <c r="C21" s="44" t="n">
        <f aca="false">C19-C20</f>
        <v>31.648</v>
      </c>
      <c r="D21" s="44" t="n">
        <f aca="false">D19-D20</f>
        <v>45.1812</v>
      </c>
      <c r="E21" s="44" t="n">
        <f aca="false">E19-E20</f>
        <v>55.338</v>
      </c>
    </row>
    <row r="22" customFormat="false" ht="15" hidden="false" customHeight="false" outlineLevel="0" collapsed="false">
      <c r="A22" s="13" t="s">
        <v>25</v>
      </c>
      <c r="B22" s="46" t="n">
        <f aca="false">B19/B5</f>
        <v>0.127517391304348</v>
      </c>
      <c r="C22" s="46" t="n">
        <f aca="false">C19/C5</f>
        <v>0.126685990338164</v>
      </c>
      <c r="D22" s="46" t="n">
        <f aca="false">D19/D5</f>
        <v>0.146364685004437</v>
      </c>
      <c r="E22" s="46" t="n">
        <f aca="false">E19/E5</f>
        <v>0.165517391304348</v>
      </c>
    </row>
    <row r="23" customFormat="false" ht="15" hidden="false" customHeight="false" outlineLevel="0" collapsed="false">
      <c r="A23" s="13" t="s">
        <v>28</v>
      </c>
      <c r="B23" s="46" t="n">
        <f aca="false">B21/B5</f>
        <v>0.0823</v>
      </c>
      <c r="C23" s="46" t="n">
        <f aca="false">C21/C5</f>
        <v>0.0764444444444445</v>
      </c>
      <c r="D23" s="46" t="n">
        <f aca="false">D21/D5</f>
        <v>0.100224489795918</v>
      </c>
      <c r="E23" s="46" t="n">
        <f aca="false">E21/E5</f>
        <v>0.1203</v>
      </c>
    </row>
    <row r="25" customFormat="false" ht="15" hidden="false" customHeight="false" outlineLevel="0" collapsed="false">
      <c r="A25" s="2" t="s">
        <v>141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"/>
    <col collapsed="false" customWidth="true" hidden="false" outlineLevel="0" max="7" min="3" style="0" width="13"/>
  </cols>
  <sheetData>
    <row r="1" customFormat="false" ht="15" hidden="false" customHeight="false" outlineLevel="0" collapsed="false">
      <c r="A1" s="23" t="s">
        <v>142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143</v>
      </c>
    </row>
    <row r="3" customFormat="false" ht="15" hidden="false" customHeight="false" outlineLevel="0" collapsed="false">
      <c r="A3" s="7" t="s">
        <v>144</v>
      </c>
      <c r="B3" s="47" t="s">
        <v>145</v>
      </c>
      <c r="C3" s="8" t="s">
        <v>3</v>
      </c>
      <c r="D3" s="8" t="s">
        <v>6</v>
      </c>
      <c r="E3" s="8" t="s">
        <v>9</v>
      </c>
      <c r="F3" s="8" t="s">
        <v>12</v>
      </c>
      <c r="G3" s="8" t="s">
        <v>15</v>
      </c>
    </row>
    <row r="5" customFormat="false" ht="15" hidden="false" customHeight="false" outlineLevel="0" collapsed="false">
      <c r="A5" s="3" t="s">
        <v>146</v>
      </c>
      <c r="B5" s="3"/>
      <c r="C5" s="3"/>
      <c r="D5" s="3"/>
      <c r="E5" s="3"/>
      <c r="F5" s="3"/>
      <c r="G5" s="3"/>
    </row>
    <row r="6" customFormat="false" ht="15" hidden="false" customHeight="false" outlineLevel="0" collapsed="false">
      <c r="A6" s="48" t="s">
        <v>147</v>
      </c>
      <c r="B6" s="36" t="n">
        <v>1</v>
      </c>
    </row>
    <row r="7" customFormat="false" ht="15" hidden="false" customHeight="false" outlineLevel="0" collapsed="false">
      <c r="A7" s="48" t="s">
        <v>148</v>
      </c>
      <c r="B7" s="49" t="n">
        <f aca="false">前提条件!$B$10</f>
        <v>12</v>
      </c>
    </row>
    <row r="8" customFormat="false" ht="15" hidden="false" customHeight="false" outlineLevel="0" collapsed="false">
      <c r="A8" s="48" t="s">
        <v>149</v>
      </c>
      <c r="C8" s="36" t="n">
        <v>1</v>
      </c>
      <c r="D8" s="36" t="n">
        <v>2</v>
      </c>
      <c r="E8" s="36" t="n">
        <v>3</v>
      </c>
      <c r="F8" s="36" t="n">
        <v>3</v>
      </c>
      <c r="G8" s="36" t="n">
        <v>3</v>
      </c>
    </row>
    <row r="9" customFormat="false" ht="15" hidden="false" customHeight="false" outlineLevel="0" collapsed="false">
      <c r="A9" s="13" t="s">
        <v>21</v>
      </c>
      <c r="C9" s="40" t="n">
        <f aca="false">IF(C8=0,0,前提条件!$B$5*INDEX(前提条件!$B$6:$B$8,C8)*$B$6*IF(C8=1,$B$7/12,1))</f>
        <v>414</v>
      </c>
      <c r="D9" s="40" t="n">
        <f aca="false">IF(D8=0,0,前提条件!$B$5*INDEX(前提条件!$B$6:$B$8,D8)*$B$6*IF(D8=1,$B$7/12,1))</f>
        <v>450.8</v>
      </c>
      <c r="E9" s="40" t="n">
        <f aca="false">IF(E8=0,0,前提条件!$B$5*INDEX(前提条件!$B$6:$B$8,E8)*$B$6*IF(E8=1,$B$7/12,1))</f>
        <v>460</v>
      </c>
      <c r="F9" s="40" t="n">
        <f aca="false">IF(F8=0,0,前提条件!$B$5*INDEX(前提条件!$B$6:$B$8,F8)*$B$6*IF(F8=1,$B$7/12,1))</f>
        <v>460</v>
      </c>
      <c r="G9" s="40" t="n">
        <f aca="false">IF(G8=0,0,前提条件!$B$5*INDEX(前提条件!$B$6:$B$8,G8)*$B$6*IF(G8=1,$B$7/12,1))</f>
        <v>460</v>
      </c>
    </row>
    <row r="10" customFormat="false" ht="15" hidden="false" customHeight="false" outlineLevel="0" collapsed="false">
      <c r="A10" s="20" t="s">
        <v>45</v>
      </c>
      <c r="C10" s="41" t="n">
        <f aca="false">IF(C$8=0,0,C$9*INDEX(前提条件!$B$22:$D$22,1,C$8))</f>
        <v>122.13</v>
      </c>
      <c r="D10" s="41" t="n">
        <f aca="false">IF(D$8=0,0,D$9*INDEX(前提条件!$B$22:$D$22,1,D$8))</f>
        <v>130.732</v>
      </c>
      <c r="E10" s="41" t="n">
        <f aca="false">IF(E$8=0,0,E$9*INDEX(前提条件!$B$22:$D$22,1,E$8))</f>
        <v>131.1</v>
      </c>
      <c r="F10" s="41" t="n">
        <f aca="false">IF(F$8=0,0,F$9*INDEX(前提条件!$B$22:$D$22,1,F$8))</f>
        <v>131.1</v>
      </c>
      <c r="G10" s="41" t="n">
        <f aca="false">IF(G$8=0,0,G$9*INDEX(前提条件!$B$22:$D$22,1,G$8))</f>
        <v>131.1</v>
      </c>
    </row>
    <row r="11" customFormat="false" ht="15" hidden="false" customHeight="false" outlineLevel="0" collapsed="false">
      <c r="A11" s="20" t="s">
        <v>48</v>
      </c>
      <c r="C11" s="41" t="n">
        <f aca="false">IF(C$8=0,0,C$9*INDEX(前提条件!$B$23:$D$23,1,C$8))</f>
        <v>142.83</v>
      </c>
      <c r="D11" s="41" t="n">
        <f aca="false">IF(D$8=0,0,D$9*INDEX(前提条件!$B$23:$D$23,1,D$8))</f>
        <v>151.018</v>
      </c>
      <c r="E11" s="41" t="n">
        <f aca="false">IF(E$8=0,0,E$9*INDEX(前提条件!$B$23:$D$23,1,E$8))</f>
        <v>149.5</v>
      </c>
      <c r="F11" s="41" t="n">
        <f aca="false">IF(F$8=0,0,F$9*INDEX(前提条件!$B$23:$D$23,1,F$8))</f>
        <v>149.5</v>
      </c>
      <c r="G11" s="41" t="n">
        <f aca="false">IF(G$8=0,0,G$9*INDEX(前提条件!$B$23:$D$23,1,G$8))</f>
        <v>149.5</v>
      </c>
    </row>
    <row r="12" customFormat="false" ht="15" hidden="false" customHeight="false" outlineLevel="0" collapsed="false">
      <c r="A12" s="20" t="s">
        <v>51</v>
      </c>
      <c r="C12" s="41" t="n">
        <f aca="false">IF(C$8=0,0,C$9*INDEX(前提条件!$B$24:$D$24,1,C$8))</f>
        <v>9.936</v>
      </c>
      <c r="D12" s="41" t="n">
        <f aca="false">IF(D$8=0,0,D$9*INDEX(前提条件!$B$24:$D$24,1,D$8))</f>
        <v>9.9176</v>
      </c>
      <c r="E12" s="41" t="n">
        <f aca="false">IF(E$8=0,0,E$9*INDEX(前提条件!$B$24:$D$24,1,E$8))</f>
        <v>9.2</v>
      </c>
      <c r="F12" s="41" t="n">
        <f aca="false">IF(F$8=0,0,F$9*INDEX(前提条件!$B$24:$D$24,1,F$8))</f>
        <v>9.2</v>
      </c>
      <c r="G12" s="41" t="n">
        <f aca="false">IF(G$8=0,0,G$9*INDEX(前提条件!$B$24:$D$24,1,G$8))</f>
        <v>9.2</v>
      </c>
    </row>
    <row r="13" customFormat="false" ht="15" hidden="false" customHeight="false" outlineLevel="0" collapsed="false">
      <c r="A13" s="50" t="s">
        <v>136</v>
      </c>
      <c r="C13" s="42" t="n">
        <f aca="false">C9-SUM(C10:C12)</f>
        <v>139.104</v>
      </c>
      <c r="D13" s="42" t="n">
        <f aca="false">D9-SUM(D10:D12)</f>
        <v>159.1324</v>
      </c>
      <c r="E13" s="42" t="n">
        <f aca="false">E9-SUM(E10:E12)</f>
        <v>170.2</v>
      </c>
      <c r="F13" s="42" t="n">
        <f aca="false">F9-SUM(F10:F12)</f>
        <v>170.2</v>
      </c>
      <c r="G13" s="42" t="n">
        <f aca="false">G9-SUM(G10:G12)</f>
        <v>170.2</v>
      </c>
    </row>
    <row r="14" customFormat="false" ht="15" hidden="false" customHeight="false" outlineLevel="0" collapsed="false">
      <c r="A14" s="20" t="s">
        <v>93</v>
      </c>
      <c r="C14" s="41" t="n">
        <f aca="false">IF(C$8=0,0,C$9*INDEX(前提条件!$B$25:$D$25,1,C$8))</f>
        <v>5.796</v>
      </c>
      <c r="D14" s="41" t="n">
        <f aca="false">IF(D$8=0,0,D$9*INDEX(前提条件!$B$25:$D$25,1,D$8))</f>
        <v>6.3112</v>
      </c>
      <c r="E14" s="41" t="n">
        <f aca="false">IF(E$8=0,0,E$9*INDEX(前提条件!$B$25:$D$25,1,E$8))</f>
        <v>6.44</v>
      </c>
      <c r="F14" s="41" t="n">
        <f aca="false">IF(F$8=0,0,F$9*INDEX(前提条件!$B$25:$D$25,1,F$8))</f>
        <v>6.44</v>
      </c>
      <c r="G14" s="41" t="n">
        <f aca="false">IF(G$8=0,0,G$9*INDEX(前提条件!$B$25:$D$25,1,G$8))</f>
        <v>6.44</v>
      </c>
    </row>
    <row r="15" customFormat="false" ht="15" hidden="false" customHeight="false" outlineLevel="0" collapsed="false">
      <c r="A15" s="20" t="s">
        <v>95</v>
      </c>
      <c r="C15" s="41" t="n">
        <f aca="false">IF(C$8=0,0,C$9*INDEX(前提条件!$B$26:$D$26,1,C$8))</f>
        <v>2.07</v>
      </c>
      <c r="D15" s="41" t="n">
        <f aca="false">IF(D$8=0,0,D$9*INDEX(前提条件!$B$26:$D$26,1,D$8))</f>
        <v>2.254</v>
      </c>
      <c r="E15" s="41" t="n">
        <f aca="false">IF(E$8=0,0,E$9*INDEX(前提条件!$B$26:$D$26,1,E$8))</f>
        <v>2.3</v>
      </c>
      <c r="F15" s="41" t="n">
        <f aca="false">IF(F$8=0,0,F$9*INDEX(前提条件!$B$26:$D$26,1,F$8))</f>
        <v>2.3</v>
      </c>
      <c r="G15" s="41" t="n">
        <f aca="false">IF(G$8=0,0,G$9*INDEX(前提条件!$B$26:$D$26,1,G$8))</f>
        <v>2.3</v>
      </c>
    </row>
    <row r="16" customFormat="false" ht="15" hidden="false" customHeight="false" outlineLevel="0" collapsed="false">
      <c r="A16" s="20" t="s">
        <v>54</v>
      </c>
      <c r="C16" s="41" t="n">
        <f aca="false">IF(C$8=0,0,C$9*INDEX(前提条件!$B$27:$D$27,1,C$8))</f>
        <v>16.56</v>
      </c>
      <c r="D16" s="41" t="n">
        <f aca="false">IF(D$8=0,0,D$9*INDEX(前提条件!$B$27:$D$27,1,D$8))</f>
        <v>17.1304</v>
      </c>
      <c r="E16" s="41" t="n">
        <f aca="false">IF(E$8=0,0,E$9*INDEX(前提条件!$B$27:$D$27,1,E$8))</f>
        <v>16.56</v>
      </c>
      <c r="F16" s="41" t="n">
        <f aca="false">IF(F$8=0,0,F$9*INDEX(前提条件!$B$27:$D$27,1,F$8))</f>
        <v>16.56</v>
      </c>
      <c r="G16" s="41" t="n">
        <f aca="false">IF(G$8=0,0,G$9*INDEX(前提条件!$B$27:$D$27,1,G$8))</f>
        <v>16.56</v>
      </c>
    </row>
    <row r="17" customFormat="false" ht="15" hidden="false" customHeight="false" outlineLevel="0" collapsed="false">
      <c r="A17" s="51" t="s">
        <v>150</v>
      </c>
      <c r="C17" s="42" t="n">
        <f aca="false">C13-SUM(C14:C16)</f>
        <v>114.678</v>
      </c>
      <c r="D17" s="42" t="n">
        <f aca="false">D13-SUM(D14:D16)</f>
        <v>133.4368</v>
      </c>
      <c r="E17" s="42" t="n">
        <f aca="false">E13-SUM(E14:E16)</f>
        <v>144.9</v>
      </c>
      <c r="F17" s="42" t="n">
        <f aca="false">F13-SUM(F14:F16)</f>
        <v>144.9</v>
      </c>
      <c r="G17" s="42" t="n">
        <f aca="false">G13-SUM(G14:G16)</f>
        <v>144.9</v>
      </c>
    </row>
    <row r="18" customFormat="false" ht="15" hidden="false" customHeight="false" outlineLevel="0" collapsed="false">
      <c r="A18" s="20" t="s">
        <v>98</v>
      </c>
      <c r="C18" s="41" t="n">
        <f aca="false">IF(C$8=0,0,C$9*INDEX(前提条件!$B$28:$D$28,1,C$8))</f>
        <v>16.56</v>
      </c>
      <c r="D18" s="41" t="n">
        <f aca="false">IF(D$8=0,0,D$9*INDEX(前提条件!$B$28:$D$28,1,D$8))</f>
        <v>18.032</v>
      </c>
      <c r="E18" s="41" t="n">
        <f aca="false">IF(E$8=0,0,E$9*INDEX(前提条件!$B$28:$D$28,1,E$8))</f>
        <v>18.4</v>
      </c>
      <c r="F18" s="41" t="n">
        <f aca="false">IF(F$8=0,0,F$9*INDEX(前提条件!$B$28:$D$28,1,F$8))</f>
        <v>18.4</v>
      </c>
      <c r="G18" s="41" t="n">
        <f aca="false">IF(G$8=0,0,G$9*INDEX(前提条件!$B$28:$D$28,1,G$8))</f>
        <v>18.4</v>
      </c>
    </row>
    <row r="19" customFormat="false" ht="15" hidden="false" customHeight="false" outlineLevel="0" collapsed="false">
      <c r="A19" s="20" t="s">
        <v>100</v>
      </c>
      <c r="C19" s="41" t="n">
        <f aca="false">IF(C$8=0,0,C$9*INDEX(前提条件!$B$29:$D$29,1,C$8))</f>
        <v>2.898</v>
      </c>
      <c r="D19" s="41" t="n">
        <f aca="false">IF(D$8=0,0,D$9*INDEX(前提条件!$B$29:$D$29,1,D$8))</f>
        <v>3.1556</v>
      </c>
      <c r="E19" s="41" t="n">
        <f aca="false">IF(E$8=0,0,E$9*INDEX(前提条件!$B$29:$D$29,1,E$8))</f>
        <v>3.22</v>
      </c>
      <c r="F19" s="41" t="n">
        <f aca="false">IF(F$8=0,0,F$9*INDEX(前提条件!$B$29:$D$29,1,F$8))</f>
        <v>3.22</v>
      </c>
      <c r="G19" s="41" t="n">
        <f aca="false">IF(G$8=0,0,G$9*INDEX(前提条件!$B$29:$D$29,1,G$8))</f>
        <v>3.22</v>
      </c>
    </row>
    <row r="20" customFormat="false" ht="15" hidden="false" customHeight="false" outlineLevel="0" collapsed="false">
      <c r="A20" s="20" t="s">
        <v>138</v>
      </c>
      <c r="C20" s="41" t="n">
        <f aca="false">IF(C8=0,0,前提条件!$B$14*$B$6*IF(C8=1,$B$7/12,1))</f>
        <v>26.64</v>
      </c>
      <c r="D20" s="41" t="n">
        <f aca="false">IF(D8=0,0,前提条件!$B$14*$B$6*IF(D8=1,$B$7/12,1))</f>
        <v>26.64</v>
      </c>
      <c r="E20" s="41" t="n">
        <f aca="false">IF(E8=0,0,前提条件!$B$14*$B$6*IF(E8=1,$B$7/12,1))</f>
        <v>26.64</v>
      </c>
      <c r="F20" s="41" t="n">
        <f aca="false">IF(F8=0,0,前提条件!$B$14*$B$6*IF(F8=1,$B$7/12,1))</f>
        <v>26.64</v>
      </c>
      <c r="G20" s="41" t="n">
        <f aca="false">IF(G8=0,0,前提条件!$B$14*$B$6*IF(G8=1,$B$7/12,1))</f>
        <v>26.64</v>
      </c>
    </row>
    <row r="21" customFormat="false" ht="15" hidden="false" customHeight="false" outlineLevel="0" collapsed="false">
      <c r="A21" s="20" t="s">
        <v>139</v>
      </c>
      <c r="C21" s="41" t="n">
        <f aca="false">IF(C8=0,0,MAX(0,C9/$B$6-前提条件!$B$16*IF(C8=1,$B$7/12,1))*前提条件!$B$15*$B$6)</f>
        <v>5.782</v>
      </c>
      <c r="D21" s="41" t="n">
        <f aca="false">IF(D8=0,0,MAX(0,D9/$B$6-前提条件!$B$16*IF(D8=1,$B$7/12,1))*前提条件!$B$15*$B$6)</f>
        <v>8.358</v>
      </c>
      <c r="E21" s="41" t="n">
        <f aca="false">IF(E8=0,0,MAX(0,E9/$B$6-前提条件!$B$16*IF(E8=1,$B$7/12,1))*前提条件!$B$15*$B$6)</f>
        <v>9.002</v>
      </c>
      <c r="F21" s="41" t="n">
        <f aca="false">IF(F8=0,0,MAX(0,F9/$B$6-前提条件!$B$16*IF(F8=1,$B$7/12,1))*前提条件!$B$15*$B$6)</f>
        <v>9.002</v>
      </c>
      <c r="G21" s="41" t="n">
        <f aca="false">IF(G8=0,0,MAX(0,G9/$B$6-前提条件!$B$16*IF(G8=1,$B$7/12,1))*前提条件!$B$15*$B$6)</f>
        <v>9.002</v>
      </c>
    </row>
    <row r="22" customFormat="false" ht="15" hidden="false" customHeight="false" outlineLevel="0" collapsed="false">
      <c r="A22" s="20" t="s">
        <v>151</v>
      </c>
      <c r="C22" s="41" t="n">
        <f aca="false">IF(C$8=0,0,C$9*INDEX(前提条件!$B$30:$D$30,1,C$8))</f>
        <v>10.35</v>
      </c>
      <c r="D22" s="41" t="n">
        <f aca="false">IF(D$8=0,0,D$9*INDEX(前提条件!$B$30:$D$30,1,D$8))</f>
        <v>11.27</v>
      </c>
      <c r="E22" s="41" t="n">
        <f aca="false">IF(E$8=0,0,E$9*INDEX(前提条件!$B$30:$D$30,1,E$8))</f>
        <v>11.5</v>
      </c>
      <c r="F22" s="41" t="n">
        <f aca="false">IF(F$8=0,0,F$9*INDEX(前提条件!$B$30:$D$30,1,F$8))</f>
        <v>11.5</v>
      </c>
      <c r="G22" s="41" t="n">
        <f aca="false">IF(G$8=0,0,G$9*INDEX(前提条件!$B$30:$D$30,1,G$8))</f>
        <v>11.5</v>
      </c>
    </row>
    <row r="23" customFormat="false" ht="15" hidden="false" customHeight="false" outlineLevel="0" collapsed="false">
      <c r="A23" s="13" t="s">
        <v>152</v>
      </c>
      <c r="C23" s="42" t="n">
        <f aca="false">C17-SUM(C18:C22)</f>
        <v>52.448</v>
      </c>
      <c r="D23" s="42" t="n">
        <f aca="false">D17-SUM(D18:D22)</f>
        <v>65.9812</v>
      </c>
      <c r="E23" s="42" t="n">
        <f aca="false">E17-SUM(E18:E22)</f>
        <v>76.138</v>
      </c>
      <c r="F23" s="42" t="n">
        <f aca="false">F17-SUM(F18:F22)</f>
        <v>76.138</v>
      </c>
      <c r="G23" s="42" t="n">
        <f aca="false">G17-SUM(G18:G22)</f>
        <v>76.138</v>
      </c>
    </row>
    <row r="24" customFormat="false" ht="15" hidden="false" customHeight="false" outlineLevel="0" collapsed="false">
      <c r="A24" s="9" t="s">
        <v>26</v>
      </c>
      <c r="C24" s="41" t="n">
        <f aca="false">IF(C8=0,0,前提条件!$B$42*$B$6*IF(C8=1,$B$7/12,1))</f>
        <v>20.8</v>
      </c>
      <c r="D24" s="41" t="n">
        <f aca="false">IF(D8=0,0,前提条件!$B$42*$B$6*IF(D8=1,$B$7/12,1))</f>
        <v>20.8</v>
      </c>
      <c r="E24" s="41" t="n">
        <f aca="false">IF(E8=0,0,前提条件!$B$42*$B$6*IF(E8=1,$B$7/12,1))</f>
        <v>20.8</v>
      </c>
      <c r="F24" s="41" t="n">
        <f aca="false">IF(F8=0,0,前提条件!$B$42*$B$6*IF(F8=1,$B$7/12,1))</f>
        <v>20.8</v>
      </c>
      <c r="G24" s="41" t="n">
        <f aca="false">IF(G8=0,0,前提条件!$B$42*$B$6*IF(G8=1,$B$7/12,1))</f>
        <v>20.8</v>
      </c>
    </row>
    <row r="25" customFormat="false" ht="15" hidden="false" customHeight="false" outlineLevel="0" collapsed="false">
      <c r="A25" s="13" t="s">
        <v>153</v>
      </c>
      <c r="C25" s="42" t="n">
        <f aca="false">C23-C24</f>
        <v>31.648</v>
      </c>
      <c r="D25" s="42" t="n">
        <f aca="false">D23-D24</f>
        <v>45.1812</v>
      </c>
      <c r="E25" s="42" t="n">
        <f aca="false">E23-E24</f>
        <v>55.338</v>
      </c>
      <c r="F25" s="42" t="n">
        <f aca="false">F23-F24</f>
        <v>55.338</v>
      </c>
      <c r="G25" s="42" t="n">
        <f aca="false">G23-G24</f>
        <v>55.338</v>
      </c>
    </row>
    <row r="27" customFormat="false" ht="15" hidden="false" customHeight="false" outlineLevel="0" collapsed="false">
      <c r="A27" s="3" t="s">
        <v>154</v>
      </c>
      <c r="B27" s="3"/>
      <c r="C27" s="3"/>
      <c r="D27" s="3"/>
      <c r="E27" s="3"/>
      <c r="F27" s="3"/>
      <c r="G27" s="3"/>
    </row>
    <row r="28" customFormat="false" ht="15" hidden="false" customHeight="false" outlineLevel="0" collapsed="false">
      <c r="A28" s="48" t="s">
        <v>147</v>
      </c>
      <c r="B28" s="36" t="n">
        <v>2</v>
      </c>
    </row>
    <row r="29" customFormat="false" ht="15" hidden="false" customHeight="false" outlineLevel="0" collapsed="false">
      <c r="A29" s="48" t="s">
        <v>148</v>
      </c>
      <c r="B29" s="49" t="n">
        <f aca="false">前提条件!$B$9</f>
        <v>7.5</v>
      </c>
    </row>
    <row r="30" customFormat="false" ht="15" hidden="false" customHeight="false" outlineLevel="0" collapsed="false">
      <c r="A30" s="48" t="s">
        <v>149</v>
      </c>
      <c r="C30" s="36" t="n">
        <v>0</v>
      </c>
      <c r="D30" s="36" t="n">
        <v>1</v>
      </c>
      <c r="E30" s="36" t="n">
        <v>2</v>
      </c>
      <c r="F30" s="36" t="n">
        <v>3</v>
      </c>
      <c r="G30" s="36" t="n">
        <v>3</v>
      </c>
    </row>
    <row r="31" customFormat="false" ht="15" hidden="false" customHeight="false" outlineLevel="0" collapsed="false">
      <c r="A31" s="13" t="s">
        <v>21</v>
      </c>
      <c r="C31" s="40" t="n">
        <f aca="false">IF(C30=0,0,前提条件!$B$5*INDEX(前提条件!$B$6:$B$8,C30)*$B$28*IF(C30=1,$B$29/12,1))</f>
        <v>0</v>
      </c>
      <c r="D31" s="40" t="n">
        <f aca="false">IF(D30=0,0,前提条件!$B$5*INDEX(前提条件!$B$6:$B$8,D30)*$B$28*IF(D30=1,$B$29/12,1))</f>
        <v>517.5</v>
      </c>
      <c r="E31" s="40" t="n">
        <f aca="false">IF(E30=0,0,前提条件!$B$5*INDEX(前提条件!$B$6:$B$8,E30)*$B$28*IF(E30=1,$B$29/12,1))</f>
        <v>901.6</v>
      </c>
      <c r="F31" s="40" t="n">
        <f aca="false">IF(F30=0,0,前提条件!$B$5*INDEX(前提条件!$B$6:$B$8,F30)*$B$28*IF(F30=1,$B$29/12,1))</f>
        <v>920</v>
      </c>
      <c r="G31" s="40" t="n">
        <f aca="false">IF(G30=0,0,前提条件!$B$5*INDEX(前提条件!$B$6:$B$8,G30)*$B$28*IF(G30=1,$B$29/12,1))</f>
        <v>920</v>
      </c>
    </row>
    <row r="32" customFormat="false" ht="15" hidden="false" customHeight="false" outlineLevel="0" collapsed="false">
      <c r="A32" s="20" t="s">
        <v>45</v>
      </c>
      <c r="C32" s="41" t="n">
        <f aca="false">IF(C$30=0,0,C$31*INDEX(前提条件!$B$22:$D$22,1,C$30))</f>
        <v>0</v>
      </c>
      <c r="D32" s="41" t="n">
        <f aca="false">IF(D$30=0,0,D$31*INDEX(前提条件!$B$22:$D$22,1,D$30))</f>
        <v>152.6625</v>
      </c>
      <c r="E32" s="41" t="n">
        <f aca="false">IF(E$30=0,0,E$31*INDEX(前提条件!$B$22:$D$22,1,E$30))</f>
        <v>261.464</v>
      </c>
      <c r="F32" s="41" t="n">
        <f aca="false">IF(F$30=0,0,F$31*INDEX(前提条件!$B$22:$D$22,1,F$30))</f>
        <v>262.2</v>
      </c>
      <c r="G32" s="41" t="n">
        <f aca="false">IF(G$30=0,0,G$31*INDEX(前提条件!$B$22:$D$22,1,G$30))</f>
        <v>262.2</v>
      </c>
    </row>
    <row r="33" customFormat="false" ht="15" hidden="false" customHeight="false" outlineLevel="0" collapsed="false">
      <c r="A33" s="20" t="s">
        <v>48</v>
      </c>
      <c r="C33" s="41" t="n">
        <f aca="false">IF(C$30=0,0,C$31*INDEX(前提条件!$B$23:$D$23,1,C$30))</f>
        <v>0</v>
      </c>
      <c r="D33" s="41" t="n">
        <f aca="false">IF(D$30=0,0,D$31*INDEX(前提条件!$B$23:$D$23,1,D$30))</f>
        <v>178.5375</v>
      </c>
      <c r="E33" s="41" t="n">
        <f aca="false">IF(E$30=0,0,E$31*INDEX(前提条件!$B$23:$D$23,1,E$30))</f>
        <v>302.036</v>
      </c>
      <c r="F33" s="41" t="n">
        <f aca="false">IF(F$30=0,0,F$31*INDEX(前提条件!$B$23:$D$23,1,F$30))</f>
        <v>299</v>
      </c>
      <c r="G33" s="41" t="n">
        <f aca="false">IF(G$30=0,0,G$31*INDEX(前提条件!$B$23:$D$23,1,G$30))</f>
        <v>299</v>
      </c>
    </row>
    <row r="34" customFormat="false" ht="15" hidden="false" customHeight="false" outlineLevel="0" collapsed="false">
      <c r="A34" s="20" t="s">
        <v>51</v>
      </c>
      <c r="C34" s="41" t="n">
        <f aca="false">IF(C$30=0,0,C$31*INDEX(前提条件!$B$24:$D$24,1,C$30))</f>
        <v>0</v>
      </c>
      <c r="D34" s="41" t="n">
        <f aca="false">IF(D$30=0,0,D$31*INDEX(前提条件!$B$24:$D$24,1,D$30))</f>
        <v>12.42</v>
      </c>
      <c r="E34" s="41" t="n">
        <f aca="false">IF(E$30=0,0,E$31*INDEX(前提条件!$B$24:$D$24,1,E$30))</f>
        <v>19.8352</v>
      </c>
      <c r="F34" s="41" t="n">
        <f aca="false">IF(F$30=0,0,F$31*INDEX(前提条件!$B$24:$D$24,1,F$30))</f>
        <v>18.4</v>
      </c>
      <c r="G34" s="41" t="n">
        <f aca="false">IF(G$30=0,0,G$31*INDEX(前提条件!$B$24:$D$24,1,G$30))</f>
        <v>18.4</v>
      </c>
    </row>
    <row r="35" customFormat="false" ht="15" hidden="false" customHeight="false" outlineLevel="0" collapsed="false">
      <c r="A35" s="50" t="s">
        <v>136</v>
      </c>
      <c r="C35" s="42" t="n">
        <f aca="false">C31-SUM(C32:C34)</f>
        <v>0</v>
      </c>
      <c r="D35" s="42" t="n">
        <f aca="false">D31-SUM(D32:D34)</f>
        <v>173.88</v>
      </c>
      <c r="E35" s="42" t="n">
        <f aca="false">E31-SUM(E32:E34)</f>
        <v>318.2648</v>
      </c>
      <c r="F35" s="42" t="n">
        <f aca="false">F31-SUM(F32:F34)</f>
        <v>340.4</v>
      </c>
      <c r="G35" s="42" t="n">
        <f aca="false">G31-SUM(G32:G34)</f>
        <v>340.4</v>
      </c>
    </row>
    <row r="36" customFormat="false" ht="15" hidden="false" customHeight="false" outlineLevel="0" collapsed="false">
      <c r="A36" s="20" t="s">
        <v>93</v>
      </c>
      <c r="C36" s="41" t="n">
        <f aca="false">IF(C$30=0,0,C$31*INDEX(前提条件!$B$25:$D$25,1,C$30))</f>
        <v>0</v>
      </c>
      <c r="D36" s="41" t="n">
        <f aca="false">IF(D$30=0,0,D$31*INDEX(前提条件!$B$25:$D$25,1,D$30))</f>
        <v>7.245</v>
      </c>
      <c r="E36" s="41" t="n">
        <f aca="false">IF(E$30=0,0,E$31*INDEX(前提条件!$B$25:$D$25,1,E$30))</f>
        <v>12.6224</v>
      </c>
      <c r="F36" s="41" t="n">
        <f aca="false">IF(F$30=0,0,F$31*INDEX(前提条件!$B$25:$D$25,1,F$30))</f>
        <v>12.88</v>
      </c>
      <c r="G36" s="41" t="n">
        <f aca="false">IF(G$30=0,0,G$31*INDEX(前提条件!$B$25:$D$25,1,G$30))</f>
        <v>12.88</v>
      </c>
    </row>
    <row r="37" customFormat="false" ht="15" hidden="false" customHeight="false" outlineLevel="0" collapsed="false">
      <c r="A37" s="20" t="s">
        <v>95</v>
      </c>
      <c r="C37" s="41" t="n">
        <f aca="false">IF(C$30=0,0,C$31*INDEX(前提条件!$B$26:$D$26,1,C$30))</f>
        <v>0</v>
      </c>
      <c r="D37" s="41" t="n">
        <f aca="false">IF(D$30=0,0,D$31*INDEX(前提条件!$B$26:$D$26,1,D$30))</f>
        <v>2.5875</v>
      </c>
      <c r="E37" s="41" t="n">
        <f aca="false">IF(E$30=0,0,E$31*INDEX(前提条件!$B$26:$D$26,1,E$30))</f>
        <v>4.508</v>
      </c>
      <c r="F37" s="41" t="n">
        <f aca="false">IF(F$30=0,0,F$31*INDEX(前提条件!$B$26:$D$26,1,F$30))</f>
        <v>4.6</v>
      </c>
      <c r="G37" s="41" t="n">
        <f aca="false">IF(G$30=0,0,G$31*INDEX(前提条件!$B$26:$D$26,1,G$30))</f>
        <v>4.6</v>
      </c>
    </row>
    <row r="38" customFormat="false" ht="15" hidden="false" customHeight="false" outlineLevel="0" collapsed="false">
      <c r="A38" s="20" t="s">
        <v>54</v>
      </c>
      <c r="C38" s="41" t="n">
        <f aca="false">IF(C$30=0,0,C$31*INDEX(前提条件!$B$27:$D$27,1,C$30))</f>
        <v>0</v>
      </c>
      <c r="D38" s="41" t="n">
        <f aca="false">IF(D$30=0,0,D$31*INDEX(前提条件!$B$27:$D$27,1,D$30))</f>
        <v>20.7</v>
      </c>
      <c r="E38" s="41" t="n">
        <f aca="false">IF(E$30=0,0,E$31*INDEX(前提条件!$B$27:$D$27,1,E$30))</f>
        <v>34.2608</v>
      </c>
      <c r="F38" s="41" t="n">
        <f aca="false">IF(F$30=0,0,F$31*INDEX(前提条件!$B$27:$D$27,1,F$30))</f>
        <v>33.12</v>
      </c>
      <c r="G38" s="41" t="n">
        <f aca="false">IF(G$30=0,0,G$31*INDEX(前提条件!$B$27:$D$27,1,G$30))</f>
        <v>33.12</v>
      </c>
    </row>
    <row r="39" customFormat="false" ht="15" hidden="false" customHeight="false" outlineLevel="0" collapsed="false">
      <c r="A39" s="51" t="s">
        <v>150</v>
      </c>
      <c r="C39" s="42" t="n">
        <f aca="false">C35-SUM(C36:C38)</f>
        <v>0</v>
      </c>
      <c r="D39" s="42" t="n">
        <f aca="false">D35-SUM(D36:D38)</f>
        <v>143.3475</v>
      </c>
      <c r="E39" s="42" t="n">
        <f aca="false">E35-SUM(E36:E38)</f>
        <v>266.8736</v>
      </c>
      <c r="F39" s="42" t="n">
        <f aca="false">F35-SUM(F36:F38)</f>
        <v>289.8</v>
      </c>
      <c r="G39" s="42" t="n">
        <f aca="false">G35-SUM(G36:G38)</f>
        <v>289.8</v>
      </c>
    </row>
    <row r="40" customFormat="false" ht="15" hidden="false" customHeight="false" outlineLevel="0" collapsed="false">
      <c r="A40" s="20" t="s">
        <v>98</v>
      </c>
      <c r="C40" s="41" t="n">
        <f aca="false">IF(C$30=0,0,C$31*INDEX(前提条件!$B$28:$D$28,1,C$30))</f>
        <v>0</v>
      </c>
      <c r="D40" s="41" t="n">
        <f aca="false">IF(D$30=0,0,D$31*INDEX(前提条件!$B$28:$D$28,1,D$30))</f>
        <v>20.7</v>
      </c>
      <c r="E40" s="41" t="n">
        <f aca="false">IF(E$30=0,0,E$31*INDEX(前提条件!$B$28:$D$28,1,E$30))</f>
        <v>36.064</v>
      </c>
      <c r="F40" s="41" t="n">
        <f aca="false">IF(F$30=0,0,F$31*INDEX(前提条件!$B$28:$D$28,1,F$30))</f>
        <v>36.8</v>
      </c>
      <c r="G40" s="41" t="n">
        <f aca="false">IF(G$30=0,0,G$31*INDEX(前提条件!$B$28:$D$28,1,G$30))</f>
        <v>36.8</v>
      </c>
    </row>
    <row r="41" customFormat="false" ht="15" hidden="false" customHeight="false" outlineLevel="0" collapsed="false">
      <c r="A41" s="20" t="s">
        <v>100</v>
      </c>
      <c r="C41" s="41" t="n">
        <f aca="false">IF(C$30=0,0,C$31*INDEX(前提条件!$B$29:$D$29,1,C$30))</f>
        <v>0</v>
      </c>
      <c r="D41" s="41" t="n">
        <f aca="false">IF(D$30=0,0,D$31*INDEX(前提条件!$B$29:$D$29,1,D$30))</f>
        <v>3.6225</v>
      </c>
      <c r="E41" s="41" t="n">
        <f aca="false">IF(E$30=0,0,E$31*INDEX(前提条件!$B$29:$D$29,1,E$30))</f>
        <v>6.3112</v>
      </c>
      <c r="F41" s="41" t="n">
        <f aca="false">IF(F$30=0,0,F$31*INDEX(前提条件!$B$29:$D$29,1,F$30))</f>
        <v>6.44</v>
      </c>
      <c r="G41" s="41" t="n">
        <f aca="false">IF(G$30=0,0,G$31*INDEX(前提条件!$B$29:$D$29,1,G$30))</f>
        <v>6.44</v>
      </c>
    </row>
    <row r="42" customFormat="false" ht="15" hidden="false" customHeight="false" outlineLevel="0" collapsed="false">
      <c r="A42" s="20" t="s">
        <v>138</v>
      </c>
      <c r="C42" s="41" t="n">
        <f aca="false">IF(C30=0,0,前提条件!$B$14*$B$28*IF(C30=1,$B$29/12,1))</f>
        <v>0</v>
      </c>
      <c r="D42" s="41" t="n">
        <f aca="false">IF(D30=0,0,前提条件!$B$14*$B$28*IF(D30=1,$B$29/12,1))</f>
        <v>33.3</v>
      </c>
      <c r="E42" s="41" t="n">
        <f aca="false">IF(E30=0,0,前提条件!$B$14*$B$28*IF(E30=1,$B$29/12,1))</f>
        <v>53.28</v>
      </c>
      <c r="F42" s="41" t="n">
        <f aca="false">IF(F30=0,0,前提条件!$B$14*$B$28*IF(F30=1,$B$29/12,1))</f>
        <v>53.28</v>
      </c>
      <c r="G42" s="41" t="n">
        <f aca="false">IF(G30=0,0,前提条件!$B$14*$B$28*IF(G30=1,$B$29/12,1))</f>
        <v>53.28</v>
      </c>
    </row>
    <row r="43" customFormat="false" ht="15" hidden="false" customHeight="false" outlineLevel="0" collapsed="false">
      <c r="A43" s="20" t="s">
        <v>139</v>
      </c>
      <c r="C43" s="41" t="n">
        <f aca="false">IF(C30=0,0,MAX(0,C31/$B$28-前提条件!$B$16*IF(C30=1,$B$29/12,1))*前提条件!$B$15*$B$28)</f>
        <v>0</v>
      </c>
      <c r="D43" s="41" t="n">
        <f aca="false">IF(D30=0,0,MAX(0,D31/$B$28-前提条件!$B$16*IF(D30=1,$B$29/12,1))*前提条件!$B$15*$B$28)</f>
        <v>7.2275</v>
      </c>
      <c r="E43" s="41" t="n">
        <f aca="false">IF(E30=0,0,MAX(0,E31/$B$28-前提条件!$B$16*IF(E30=1,$B$29/12,1))*前提条件!$B$15*$B$28)</f>
        <v>16.716</v>
      </c>
      <c r="F43" s="41" t="n">
        <f aca="false">IF(F30=0,0,MAX(0,F31/$B$28-前提条件!$B$16*IF(F30=1,$B$29/12,1))*前提条件!$B$15*$B$28)</f>
        <v>18.004</v>
      </c>
      <c r="G43" s="41" t="n">
        <f aca="false">IF(G30=0,0,MAX(0,G31/$B$28-前提条件!$B$16*IF(G30=1,$B$29/12,1))*前提条件!$B$15*$B$28)</f>
        <v>18.004</v>
      </c>
    </row>
    <row r="44" customFormat="false" ht="15" hidden="false" customHeight="false" outlineLevel="0" collapsed="false">
      <c r="A44" s="20" t="s">
        <v>151</v>
      </c>
      <c r="C44" s="41" t="n">
        <f aca="false">IF(C$30=0,0,C$31*INDEX(前提条件!$B$30:$D$30,1,C$30))</f>
        <v>0</v>
      </c>
      <c r="D44" s="41" t="n">
        <f aca="false">IF(D$30=0,0,D$31*INDEX(前提条件!$B$30:$D$30,1,D$30))</f>
        <v>12.9375</v>
      </c>
      <c r="E44" s="41" t="n">
        <f aca="false">IF(E$30=0,0,E$31*INDEX(前提条件!$B$30:$D$30,1,E$30))</f>
        <v>22.54</v>
      </c>
      <c r="F44" s="41" t="n">
        <f aca="false">IF(F$30=0,0,F$31*INDEX(前提条件!$B$30:$D$30,1,F$30))</f>
        <v>23</v>
      </c>
      <c r="G44" s="41" t="n">
        <f aca="false">IF(G$30=0,0,G$31*INDEX(前提条件!$B$30:$D$30,1,G$30))</f>
        <v>23</v>
      </c>
    </row>
    <row r="45" customFormat="false" ht="15" hidden="false" customHeight="false" outlineLevel="0" collapsed="false">
      <c r="A45" s="13" t="s">
        <v>152</v>
      </c>
      <c r="C45" s="42" t="n">
        <f aca="false">C39-SUM(C40:C44)</f>
        <v>0</v>
      </c>
      <c r="D45" s="42" t="n">
        <f aca="false">D39-SUM(D40:D44)</f>
        <v>65.56</v>
      </c>
      <c r="E45" s="42" t="n">
        <f aca="false">E39-SUM(E40:E44)</f>
        <v>131.9624</v>
      </c>
      <c r="F45" s="42" t="n">
        <f aca="false">F39-SUM(F40:F44)</f>
        <v>152.276</v>
      </c>
      <c r="G45" s="42" t="n">
        <f aca="false">G39-SUM(G40:G44)</f>
        <v>152.276</v>
      </c>
    </row>
    <row r="46" customFormat="false" ht="15" hidden="false" customHeight="false" outlineLevel="0" collapsed="false">
      <c r="A46" s="9" t="s">
        <v>26</v>
      </c>
      <c r="C46" s="41" t="n">
        <f aca="false">IF(C30=0,0,前提条件!$B$42*$B$28*IF(C30=1,$B$29/12,1))</f>
        <v>0</v>
      </c>
      <c r="D46" s="41" t="n">
        <f aca="false">IF(D30=0,0,前提条件!$B$42*$B$28*IF(D30=1,$B$29/12,1))</f>
        <v>26</v>
      </c>
      <c r="E46" s="41" t="n">
        <f aca="false">IF(E30=0,0,前提条件!$B$42*$B$28*IF(E30=1,$B$29/12,1))</f>
        <v>41.6</v>
      </c>
      <c r="F46" s="41" t="n">
        <f aca="false">IF(F30=0,0,前提条件!$B$42*$B$28*IF(F30=1,$B$29/12,1))</f>
        <v>41.6</v>
      </c>
      <c r="G46" s="41" t="n">
        <f aca="false">IF(G30=0,0,前提条件!$B$42*$B$28*IF(G30=1,$B$29/12,1))</f>
        <v>41.6</v>
      </c>
    </row>
    <row r="47" customFormat="false" ht="15" hidden="false" customHeight="false" outlineLevel="0" collapsed="false">
      <c r="A47" s="13" t="s">
        <v>153</v>
      </c>
      <c r="C47" s="42" t="n">
        <f aca="false">C45-C46</f>
        <v>0</v>
      </c>
      <c r="D47" s="42" t="n">
        <f aca="false">D45-D46</f>
        <v>39.56</v>
      </c>
      <c r="E47" s="42" t="n">
        <f aca="false">E45-E46</f>
        <v>90.3624</v>
      </c>
      <c r="F47" s="42" t="n">
        <f aca="false">F45-F46</f>
        <v>110.676</v>
      </c>
      <c r="G47" s="42" t="n">
        <f aca="false">G45-G46</f>
        <v>110.676</v>
      </c>
    </row>
    <row r="49" customFormat="false" ht="15" hidden="false" customHeight="false" outlineLevel="0" collapsed="false">
      <c r="A49" s="3" t="s">
        <v>155</v>
      </c>
      <c r="B49" s="3"/>
      <c r="C49" s="3"/>
      <c r="D49" s="3"/>
      <c r="E49" s="3"/>
      <c r="F49" s="3"/>
      <c r="G49" s="3"/>
    </row>
    <row r="50" customFormat="false" ht="15" hidden="false" customHeight="false" outlineLevel="0" collapsed="false">
      <c r="A50" s="48" t="s">
        <v>147</v>
      </c>
      <c r="B50" s="36" t="n">
        <v>2</v>
      </c>
    </row>
    <row r="51" customFormat="false" ht="15" hidden="false" customHeight="false" outlineLevel="0" collapsed="false">
      <c r="A51" s="48" t="s">
        <v>148</v>
      </c>
      <c r="B51" s="49" t="n">
        <f aca="false">前提条件!$B$9</f>
        <v>7.5</v>
      </c>
    </row>
    <row r="52" customFormat="false" ht="15" hidden="false" customHeight="false" outlineLevel="0" collapsed="false">
      <c r="A52" s="48" t="s">
        <v>149</v>
      </c>
      <c r="C52" s="36" t="n">
        <v>0</v>
      </c>
      <c r="D52" s="36" t="n">
        <v>0</v>
      </c>
      <c r="E52" s="36" t="n">
        <v>1</v>
      </c>
      <c r="F52" s="36" t="n">
        <v>2</v>
      </c>
      <c r="G52" s="36" t="n">
        <v>3</v>
      </c>
    </row>
    <row r="53" customFormat="false" ht="15" hidden="false" customHeight="false" outlineLevel="0" collapsed="false">
      <c r="A53" s="13" t="s">
        <v>21</v>
      </c>
      <c r="C53" s="40" t="n">
        <f aca="false">IF(C52=0,0,前提条件!$B$5*INDEX(前提条件!$B$6:$B$8,C52)*$B$50*IF(C52=1,$B$51/12,1))</f>
        <v>0</v>
      </c>
      <c r="D53" s="40" t="n">
        <f aca="false">IF(D52=0,0,前提条件!$B$5*INDEX(前提条件!$B$6:$B$8,D52)*$B$50*IF(D52=1,$B$51/12,1))</f>
        <v>0</v>
      </c>
      <c r="E53" s="40" t="n">
        <f aca="false">IF(E52=0,0,前提条件!$B$5*INDEX(前提条件!$B$6:$B$8,E52)*$B$50*IF(E52=1,$B$51/12,1))</f>
        <v>517.5</v>
      </c>
      <c r="F53" s="40" t="n">
        <f aca="false">IF(F52=0,0,前提条件!$B$5*INDEX(前提条件!$B$6:$B$8,F52)*$B$50*IF(F52=1,$B$51/12,1))</f>
        <v>901.6</v>
      </c>
      <c r="G53" s="40" t="n">
        <f aca="false">IF(G52=0,0,前提条件!$B$5*INDEX(前提条件!$B$6:$B$8,G52)*$B$50*IF(G52=1,$B$51/12,1))</f>
        <v>920</v>
      </c>
    </row>
    <row r="54" customFormat="false" ht="15" hidden="false" customHeight="false" outlineLevel="0" collapsed="false">
      <c r="A54" s="20" t="s">
        <v>45</v>
      </c>
      <c r="C54" s="41" t="n">
        <f aca="false">IF(C$52=0,0,C$53*INDEX(前提条件!$B$22:$D$22,1,C$52))</f>
        <v>0</v>
      </c>
      <c r="D54" s="41" t="n">
        <f aca="false">IF(D$52=0,0,D$53*INDEX(前提条件!$B$22:$D$22,1,D$52))</f>
        <v>0</v>
      </c>
      <c r="E54" s="41" t="n">
        <f aca="false">IF(E$52=0,0,E$53*INDEX(前提条件!$B$22:$D$22,1,E$52))</f>
        <v>152.6625</v>
      </c>
      <c r="F54" s="41" t="n">
        <f aca="false">IF(F$52=0,0,F$53*INDEX(前提条件!$B$22:$D$22,1,F$52))</f>
        <v>261.464</v>
      </c>
      <c r="G54" s="41" t="n">
        <f aca="false">IF(G$52=0,0,G$53*INDEX(前提条件!$B$22:$D$22,1,G$52))</f>
        <v>262.2</v>
      </c>
    </row>
    <row r="55" customFormat="false" ht="15" hidden="false" customHeight="false" outlineLevel="0" collapsed="false">
      <c r="A55" s="20" t="s">
        <v>48</v>
      </c>
      <c r="C55" s="41" t="n">
        <f aca="false">IF(C$52=0,0,C$53*INDEX(前提条件!$B$23:$D$23,1,C$52))</f>
        <v>0</v>
      </c>
      <c r="D55" s="41" t="n">
        <f aca="false">IF(D$52=0,0,D$53*INDEX(前提条件!$B$23:$D$23,1,D$52))</f>
        <v>0</v>
      </c>
      <c r="E55" s="41" t="n">
        <f aca="false">IF(E$52=0,0,E$53*INDEX(前提条件!$B$23:$D$23,1,E$52))</f>
        <v>178.5375</v>
      </c>
      <c r="F55" s="41" t="n">
        <f aca="false">IF(F$52=0,0,F$53*INDEX(前提条件!$B$23:$D$23,1,F$52))</f>
        <v>302.036</v>
      </c>
      <c r="G55" s="41" t="n">
        <f aca="false">IF(G$52=0,0,G$53*INDEX(前提条件!$B$23:$D$23,1,G$52))</f>
        <v>299</v>
      </c>
    </row>
    <row r="56" customFormat="false" ht="15" hidden="false" customHeight="false" outlineLevel="0" collapsed="false">
      <c r="A56" s="20" t="s">
        <v>51</v>
      </c>
      <c r="C56" s="41" t="n">
        <f aca="false">IF(C$52=0,0,C$53*INDEX(前提条件!$B$24:$D$24,1,C$52))</f>
        <v>0</v>
      </c>
      <c r="D56" s="41" t="n">
        <f aca="false">IF(D$52=0,0,D$53*INDEX(前提条件!$B$24:$D$24,1,D$52))</f>
        <v>0</v>
      </c>
      <c r="E56" s="41" t="n">
        <f aca="false">IF(E$52=0,0,E$53*INDEX(前提条件!$B$24:$D$24,1,E$52))</f>
        <v>12.42</v>
      </c>
      <c r="F56" s="41" t="n">
        <f aca="false">IF(F$52=0,0,F$53*INDEX(前提条件!$B$24:$D$24,1,F$52))</f>
        <v>19.8352</v>
      </c>
      <c r="G56" s="41" t="n">
        <f aca="false">IF(G$52=0,0,G$53*INDEX(前提条件!$B$24:$D$24,1,G$52))</f>
        <v>18.4</v>
      </c>
    </row>
    <row r="57" customFormat="false" ht="15" hidden="false" customHeight="false" outlineLevel="0" collapsed="false">
      <c r="A57" s="50" t="s">
        <v>136</v>
      </c>
      <c r="C57" s="42" t="n">
        <f aca="false">C53-SUM(C54:C56)</f>
        <v>0</v>
      </c>
      <c r="D57" s="42" t="n">
        <f aca="false">D53-SUM(D54:D56)</f>
        <v>0</v>
      </c>
      <c r="E57" s="42" t="n">
        <f aca="false">E53-SUM(E54:E56)</f>
        <v>173.88</v>
      </c>
      <c r="F57" s="42" t="n">
        <f aca="false">F53-SUM(F54:F56)</f>
        <v>318.2648</v>
      </c>
      <c r="G57" s="42" t="n">
        <f aca="false">G53-SUM(G54:G56)</f>
        <v>340.4</v>
      </c>
    </row>
    <row r="58" customFormat="false" ht="15" hidden="false" customHeight="false" outlineLevel="0" collapsed="false">
      <c r="A58" s="20" t="s">
        <v>93</v>
      </c>
      <c r="C58" s="41" t="n">
        <f aca="false">IF(C$52=0,0,C$53*INDEX(前提条件!$B$25:$D$25,1,C$52))</f>
        <v>0</v>
      </c>
      <c r="D58" s="41" t="n">
        <f aca="false">IF(D$52=0,0,D$53*INDEX(前提条件!$B$25:$D$25,1,D$52))</f>
        <v>0</v>
      </c>
      <c r="E58" s="41" t="n">
        <f aca="false">IF(E$52=0,0,E$53*INDEX(前提条件!$B$25:$D$25,1,E$52))</f>
        <v>7.245</v>
      </c>
      <c r="F58" s="41" t="n">
        <f aca="false">IF(F$52=0,0,F$53*INDEX(前提条件!$B$25:$D$25,1,F$52))</f>
        <v>12.6224</v>
      </c>
      <c r="G58" s="41" t="n">
        <f aca="false">IF(G$52=0,0,G$53*INDEX(前提条件!$B$25:$D$25,1,G$52))</f>
        <v>12.88</v>
      </c>
    </row>
    <row r="59" customFormat="false" ht="15" hidden="false" customHeight="false" outlineLevel="0" collapsed="false">
      <c r="A59" s="20" t="s">
        <v>95</v>
      </c>
      <c r="C59" s="41" t="n">
        <f aca="false">IF(C$52=0,0,C$53*INDEX(前提条件!$B$26:$D$26,1,C$52))</f>
        <v>0</v>
      </c>
      <c r="D59" s="41" t="n">
        <f aca="false">IF(D$52=0,0,D$53*INDEX(前提条件!$B$26:$D$26,1,D$52))</f>
        <v>0</v>
      </c>
      <c r="E59" s="41" t="n">
        <f aca="false">IF(E$52=0,0,E$53*INDEX(前提条件!$B$26:$D$26,1,E$52))</f>
        <v>2.5875</v>
      </c>
      <c r="F59" s="41" t="n">
        <f aca="false">IF(F$52=0,0,F$53*INDEX(前提条件!$B$26:$D$26,1,F$52))</f>
        <v>4.508</v>
      </c>
      <c r="G59" s="41" t="n">
        <f aca="false">IF(G$52=0,0,G$53*INDEX(前提条件!$B$26:$D$26,1,G$52))</f>
        <v>4.6</v>
      </c>
    </row>
    <row r="60" customFormat="false" ht="15" hidden="false" customHeight="false" outlineLevel="0" collapsed="false">
      <c r="A60" s="20" t="s">
        <v>54</v>
      </c>
      <c r="C60" s="41" t="n">
        <f aca="false">IF(C$52=0,0,C$53*INDEX(前提条件!$B$27:$D$27,1,C$52))</f>
        <v>0</v>
      </c>
      <c r="D60" s="41" t="n">
        <f aca="false">IF(D$52=0,0,D$53*INDEX(前提条件!$B$27:$D$27,1,D$52))</f>
        <v>0</v>
      </c>
      <c r="E60" s="41" t="n">
        <f aca="false">IF(E$52=0,0,E$53*INDEX(前提条件!$B$27:$D$27,1,E$52))</f>
        <v>20.7</v>
      </c>
      <c r="F60" s="41" t="n">
        <f aca="false">IF(F$52=0,0,F$53*INDEX(前提条件!$B$27:$D$27,1,F$52))</f>
        <v>34.2608</v>
      </c>
      <c r="G60" s="41" t="n">
        <f aca="false">IF(G$52=0,0,G$53*INDEX(前提条件!$B$27:$D$27,1,G$52))</f>
        <v>33.12</v>
      </c>
    </row>
    <row r="61" customFormat="false" ht="15" hidden="false" customHeight="false" outlineLevel="0" collapsed="false">
      <c r="A61" s="51" t="s">
        <v>150</v>
      </c>
      <c r="C61" s="42" t="n">
        <f aca="false">C57-SUM(C58:C60)</f>
        <v>0</v>
      </c>
      <c r="D61" s="42" t="n">
        <f aca="false">D57-SUM(D58:D60)</f>
        <v>0</v>
      </c>
      <c r="E61" s="42" t="n">
        <f aca="false">E57-SUM(E58:E60)</f>
        <v>143.3475</v>
      </c>
      <c r="F61" s="42" t="n">
        <f aca="false">F57-SUM(F58:F60)</f>
        <v>266.8736</v>
      </c>
      <c r="G61" s="42" t="n">
        <f aca="false">G57-SUM(G58:G60)</f>
        <v>289.8</v>
      </c>
    </row>
    <row r="62" customFormat="false" ht="15" hidden="false" customHeight="false" outlineLevel="0" collapsed="false">
      <c r="A62" s="20" t="s">
        <v>98</v>
      </c>
      <c r="C62" s="41" t="n">
        <f aca="false">IF(C$52=0,0,C$53*INDEX(前提条件!$B$28:$D$28,1,C$52))</f>
        <v>0</v>
      </c>
      <c r="D62" s="41" t="n">
        <f aca="false">IF(D$52=0,0,D$53*INDEX(前提条件!$B$28:$D$28,1,D$52))</f>
        <v>0</v>
      </c>
      <c r="E62" s="41" t="n">
        <f aca="false">IF(E$52=0,0,E$53*INDEX(前提条件!$B$28:$D$28,1,E$52))</f>
        <v>20.7</v>
      </c>
      <c r="F62" s="41" t="n">
        <f aca="false">IF(F$52=0,0,F$53*INDEX(前提条件!$B$28:$D$28,1,F$52))</f>
        <v>36.064</v>
      </c>
      <c r="G62" s="41" t="n">
        <f aca="false">IF(G$52=0,0,G$53*INDEX(前提条件!$B$28:$D$28,1,G$52))</f>
        <v>36.8</v>
      </c>
    </row>
    <row r="63" customFormat="false" ht="15" hidden="false" customHeight="false" outlineLevel="0" collapsed="false">
      <c r="A63" s="20" t="s">
        <v>100</v>
      </c>
      <c r="C63" s="41" t="n">
        <f aca="false">IF(C$52=0,0,C$53*INDEX(前提条件!$B$29:$D$29,1,C$52))</f>
        <v>0</v>
      </c>
      <c r="D63" s="41" t="n">
        <f aca="false">IF(D$52=0,0,D$53*INDEX(前提条件!$B$29:$D$29,1,D$52))</f>
        <v>0</v>
      </c>
      <c r="E63" s="41" t="n">
        <f aca="false">IF(E$52=0,0,E$53*INDEX(前提条件!$B$29:$D$29,1,E$52))</f>
        <v>3.6225</v>
      </c>
      <c r="F63" s="41" t="n">
        <f aca="false">IF(F$52=0,0,F$53*INDEX(前提条件!$B$29:$D$29,1,F$52))</f>
        <v>6.3112</v>
      </c>
      <c r="G63" s="41" t="n">
        <f aca="false">IF(G$52=0,0,G$53*INDEX(前提条件!$B$29:$D$29,1,G$52))</f>
        <v>6.44</v>
      </c>
    </row>
    <row r="64" customFormat="false" ht="15" hidden="false" customHeight="false" outlineLevel="0" collapsed="false">
      <c r="A64" s="20" t="s">
        <v>138</v>
      </c>
      <c r="C64" s="41" t="n">
        <f aca="false">IF(C52=0,0,前提条件!$B$14*$B$50*IF(C52=1,$B$51/12,1))</f>
        <v>0</v>
      </c>
      <c r="D64" s="41" t="n">
        <f aca="false">IF(D52=0,0,前提条件!$B$14*$B$50*IF(D52=1,$B$51/12,1))</f>
        <v>0</v>
      </c>
      <c r="E64" s="41" t="n">
        <f aca="false">IF(E52=0,0,前提条件!$B$14*$B$50*IF(E52=1,$B$51/12,1))</f>
        <v>33.3</v>
      </c>
      <c r="F64" s="41" t="n">
        <f aca="false">IF(F52=0,0,前提条件!$B$14*$B$50*IF(F52=1,$B$51/12,1))</f>
        <v>53.28</v>
      </c>
      <c r="G64" s="41" t="n">
        <f aca="false">IF(G52=0,0,前提条件!$B$14*$B$50*IF(G52=1,$B$51/12,1))</f>
        <v>53.28</v>
      </c>
    </row>
    <row r="65" customFormat="false" ht="15" hidden="false" customHeight="false" outlineLevel="0" collapsed="false">
      <c r="A65" s="20" t="s">
        <v>139</v>
      </c>
      <c r="C65" s="41" t="n">
        <f aca="false">IF(C52=0,0,MAX(0,C53/$B$50-前提条件!$B$16*IF(C52=1,$B$51/12,1))*前提条件!$B$15*$B$50)</f>
        <v>0</v>
      </c>
      <c r="D65" s="41" t="n">
        <f aca="false">IF(D52=0,0,MAX(0,D53/$B$50-前提条件!$B$16*IF(D52=1,$B$51/12,1))*前提条件!$B$15*$B$50)</f>
        <v>0</v>
      </c>
      <c r="E65" s="41" t="n">
        <f aca="false">IF(E52=0,0,MAX(0,E53/$B$50-前提条件!$B$16*IF(E52=1,$B$51/12,1))*前提条件!$B$15*$B$50)</f>
        <v>7.2275</v>
      </c>
      <c r="F65" s="41" t="n">
        <f aca="false">IF(F52=0,0,MAX(0,F53/$B$50-前提条件!$B$16*IF(F52=1,$B$51/12,1))*前提条件!$B$15*$B$50)</f>
        <v>16.716</v>
      </c>
      <c r="G65" s="41" t="n">
        <f aca="false">IF(G52=0,0,MAX(0,G53/$B$50-前提条件!$B$16*IF(G52=1,$B$51/12,1))*前提条件!$B$15*$B$50)</f>
        <v>18.004</v>
      </c>
    </row>
    <row r="66" customFormat="false" ht="15" hidden="false" customHeight="false" outlineLevel="0" collapsed="false">
      <c r="A66" s="20" t="s">
        <v>151</v>
      </c>
      <c r="C66" s="41" t="n">
        <f aca="false">IF(C$52=0,0,C$53*INDEX(前提条件!$B$30:$D$30,1,C$52))</f>
        <v>0</v>
      </c>
      <c r="D66" s="41" t="n">
        <f aca="false">IF(D$52=0,0,D$53*INDEX(前提条件!$B$30:$D$30,1,D$52))</f>
        <v>0</v>
      </c>
      <c r="E66" s="41" t="n">
        <f aca="false">IF(E$52=0,0,E$53*INDEX(前提条件!$B$30:$D$30,1,E$52))</f>
        <v>12.9375</v>
      </c>
      <c r="F66" s="41" t="n">
        <f aca="false">IF(F$52=0,0,F$53*INDEX(前提条件!$B$30:$D$30,1,F$52))</f>
        <v>22.54</v>
      </c>
      <c r="G66" s="41" t="n">
        <f aca="false">IF(G$52=0,0,G$53*INDEX(前提条件!$B$30:$D$30,1,G$52))</f>
        <v>23</v>
      </c>
    </row>
    <row r="67" customFormat="false" ht="15" hidden="false" customHeight="false" outlineLevel="0" collapsed="false">
      <c r="A67" s="13" t="s">
        <v>152</v>
      </c>
      <c r="C67" s="42" t="n">
        <f aca="false">C61-SUM(C62:C66)</f>
        <v>0</v>
      </c>
      <c r="D67" s="42" t="n">
        <f aca="false">D61-SUM(D62:D66)</f>
        <v>0</v>
      </c>
      <c r="E67" s="42" t="n">
        <f aca="false">E61-SUM(E62:E66)</f>
        <v>65.56</v>
      </c>
      <c r="F67" s="42" t="n">
        <f aca="false">F61-SUM(F62:F66)</f>
        <v>131.9624</v>
      </c>
      <c r="G67" s="42" t="n">
        <f aca="false">G61-SUM(G62:G66)</f>
        <v>152.276</v>
      </c>
    </row>
    <row r="68" customFormat="false" ht="15" hidden="false" customHeight="false" outlineLevel="0" collapsed="false">
      <c r="A68" s="9" t="s">
        <v>26</v>
      </c>
      <c r="C68" s="41" t="n">
        <f aca="false">IF(C52=0,0,前提条件!$C$42*$B$50*IF(C52=1,$B$51/12,1))</f>
        <v>0</v>
      </c>
      <c r="D68" s="41" t="n">
        <f aca="false">IF(D52=0,0,前提条件!$C$42*$B$50*IF(D52=1,$B$51/12,1))</f>
        <v>0</v>
      </c>
      <c r="E68" s="41" t="n">
        <f aca="false">IF(E52=0,0,前提条件!$C$42*$B$50*IF(E52=1,$B$51/12,1))</f>
        <v>25.375</v>
      </c>
      <c r="F68" s="41" t="n">
        <f aca="false">IF(F52=0,0,前提条件!$C$42*$B$50*IF(F52=1,$B$51/12,1))</f>
        <v>40.6</v>
      </c>
      <c r="G68" s="41" t="n">
        <f aca="false">IF(G52=0,0,前提条件!$C$42*$B$50*IF(G52=1,$B$51/12,1))</f>
        <v>40.6</v>
      </c>
    </row>
    <row r="69" customFormat="false" ht="15" hidden="false" customHeight="false" outlineLevel="0" collapsed="false">
      <c r="A69" s="13" t="s">
        <v>153</v>
      </c>
      <c r="C69" s="42" t="n">
        <f aca="false">C67-C68</f>
        <v>0</v>
      </c>
      <c r="D69" s="42" t="n">
        <f aca="false">D67-D68</f>
        <v>0</v>
      </c>
      <c r="E69" s="42" t="n">
        <f aca="false">E67-E68</f>
        <v>40.185</v>
      </c>
      <c r="F69" s="42" t="n">
        <f aca="false">F67-F68</f>
        <v>91.3624</v>
      </c>
      <c r="G69" s="42" t="n">
        <f aca="false">G67-G68</f>
        <v>111.676</v>
      </c>
    </row>
    <row r="71" customFormat="false" ht="15" hidden="false" customHeight="false" outlineLevel="0" collapsed="false">
      <c r="A71" s="3" t="s">
        <v>156</v>
      </c>
      <c r="B71" s="3"/>
      <c r="C71" s="3"/>
      <c r="D71" s="3"/>
      <c r="E71" s="3"/>
      <c r="F71" s="3"/>
      <c r="G71" s="3"/>
    </row>
    <row r="72" customFormat="false" ht="15" hidden="false" customHeight="false" outlineLevel="0" collapsed="false">
      <c r="A72" s="48" t="s">
        <v>147</v>
      </c>
      <c r="B72" s="36" t="n">
        <v>2</v>
      </c>
    </row>
    <row r="73" customFormat="false" ht="15" hidden="false" customHeight="false" outlineLevel="0" collapsed="false">
      <c r="A73" s="48" t="s">
        <v>148</v>
      </c>
      <c r="B73" s="49" t="n">
        <f aca="false">前提条件!$B$9</f>
        <v>7.5</v>
      </c>
    </row>
    <row r="74" customFormat="false" ht="15" hidden="false" customHeight="false" outlineLevel="0" collapsed="false">
      <c r="A74" s="48" t="s">
        <v>149</v>
      </c>
      <c r="C74" s="36" t="n">
        <v>0</v>
      </c>
      <c r="D74" s="36" t="n">
        <v>0</v>
      </c>
      <c r="E74" s="36" t="n">
        <v>0</v>
      </c>
      <c r="F74" s="36" t="n">
        <v>1</v>
      </c>
      <c r="G74" s="36" t="n">
        <v>2</v>
      </c>
    </row>
    <row r="75" customFormat="false" ht="15" hidden="false" customHeight="false" outlineLevel="0" collapsed="false">
      <c r="A75" s="13" t="s">
        <v>21</v>
      </c>
      <c r="C75" s="40" t="n">
        <f aca="false">IF(C74=0,0,前提条件!$B$5*INDEX(前提条件!$B$6:$B$8,C74)*$B$72*IF(C74=1,$B$73/12,1))</f>
        <v>0</v>
      </c>
      <c r="D75" s="40" t="n">
        <f aca="false">IF(D74=0,0,前提条件!$B$5*INDEX(前提条件!$B$6:$B$8,D74)*$B$72*IF(D74=1,$B$73/12,1))</f>
        <v>0</v>
      </c>
      <c r="E75" s="40" t="n">
        <f aca="false">IF(E74=0,0,前提条件!$B$5*INDEX(前提条件!$B$6:$B$8,E74)*$B$72*IF(E74=1,$B$73/12,1))</f>
        <v>0</v>
      </c>
      <c r="F75" s="40" t="n">
        <f aca="false">IF(F74=0,0,前提条件!$B$5*INDEX(前提条件!$B$6:$B$8,F74)*$B$72*IF(F74=1,$B$73/12,1))</f>
        <v>517.5</v>
      </c>
      <c r="G75" s="40" t="n">
        <f aca="false">IF(G74=0,0,前提条件!$B$5*INDEX(前提条件!$B$6:$B$8,G74)*$B$72*IF(G74=1,$B$73/12,1))</f>
        <v>901.6</v>
      </c>
    </row>
    <row r="76" customFormat="false" ht="15" hidden="false" customHeight="false" outlineLevel="0" collapsed="false">
      <c r="A76" s="20" t="s">
        <v>45</v>
      </c>
      <c r="C76" s="41" t="n">
        <f aca="false">IF(C$74=0,0,C$75*INDEX(前提条件!$B$22:$D$22,1,C$74))</f>
        <v>0</v>
      </c>
      <c r="D76" s="41" t="n">
        <f aca="false">IF(D$74=0,0,D$75*INDEX(前提条件!$B$22:$D$22,1,D$74))</f>
        <v>0</v>
      </c>
      <c r="E76" s="41" t="n">
        <f aca="false">IF(E$74=0,0,E$75*INDEX(前提条件!$B$22:$D$22,1,E$74))</f>
        <v>0</v>
      </c>
      <c r="F76" s="41" t="n">
        <f aca="false">IF(F$74=0,0,F$75*INDEX(前提条件!$B$22:$D$22,1,F$74))</f>
        <v>152.6625</v>
      </c>
      <c r="G76" s="41" t="n">
        <f aca="false">IF(G$74=0,0,G$75*INDEX(前提条件!$B$22:$D$22,1,G$74))</f>
        <v>261.464</v>
      </c>
    </row>
    <row r="77" customFormat="false" ht="15" hidden="false" customHeight="false" outlineLevel="0" collapsed="false">
      <c r="A77" s="20" t="s">
        <v>48</v>
      </c>
      <c r="C77" s="41" t="n">
        <f aca="false">IF(C$74=0,0,C$75*INDEX(前提条件!$B$23:$D$23,1,C$74))</f>
        <v>0</v>
      </c>
      <c r="D77" s="41" t="n">
        <f aca="false">IF(D$74=0,0,D$75*INDEX(前提条件!$B$23:$D$23,1,D$74))</f>
        <v>0</v>
      </c>
      <c r="E77" s="41" t="n">
        <f aca="false">IF(E$74=0,0,E$75*INDEX(前提条件!$B$23:$D$23,1,E$74))</f>
        <v>0</v>
      </c>
      <c r="F77" s="41" t="n">
        <f aca="false">IF(F$74=0,0,F$75*INDEX(前提条件!$B$23:$D$23,1,F$74))</f>
        <v>178.5375</v>
      </c>
      <c r="G77" s="41" t="n">
        <f aca="false">IF(G$74=0,0,G$75*INDEX(前提条件!$B$23:$D$23,1,G$74))</f>
        <v>302.036</v>
      </c>
    </row>
    <row r="78" customFormat="false" ht="15" hidden="false" customHeight="false" outlineLevel="0" collapsed="false">
      <c r="A78" s="20" t="s">
        <v>51</v>
      </c>
      <c r="C78" s="41" t="n">
        <f aca="false">IF(C$74=0,0,C$75*INDEX(前提条件!$B$24:$D$24,1,C$74))</f>
        <v>0</v>
      </c>
      <c r="D78" s="41" t="n">
        <f aca="false">IF(D$74=0,0,D$75*INDEX(前提条件!$B$24:$D$24,1,D$74))</f>
        <v>0</v>
      </c>
      <c r="E78" s="41" t="n">
        <f aca="false">IF(E$74=0,0,E$75*INDEX(前提条件!$B$24:$D$24,1,E$74))</f>
        <v>0</v>
      </c>
      <c r="F78" s="41" t="n">
        <f aca="false">IF(F$74=0,0,F$75*INDEX(前提条件!$B$24:$D$24,1,F$74))</f>
        <v>12.42</v>
      </c>
      <c r="G78" s="41" t="n">
        <f aca="false">IF(G$74=0,0,G$75*INDEX(前提条件!$B$24:$D$24,1,G$74))</f>
        <v>19.8352</v>
      </c>
    </row>
    <row r="79" customFormat="false" ht="15" hidden="false" customHeight="false" outlineLevel="0" collapsed="false">
      <c r="A79" s="50" t="s">
        <v>136</v>
      </c>
      <c r="C79" s="42" t="n">
        <f aca="false">C75-SUM(C76:C78)</f>
        <v>0</v>
      </c>
      <c r="D79" s="42" t="n">
        <f aca="false">D75-SUM(D76:D78)</f>
        <v>0</v>
      </c>
      <c r="E79" s="42" t="n">
        <f aca="false">E75-SUM(E76:E78)</f>
        <v>0</v>
      </c>
      <c r="F79" s="42" t="n">
        <f aca="false">F75-SUM(F76:F78)</f>
        <v>173.88</v>
      </c>
      <c r="G79" s="42" t="n">
        <f aca="false">G75-SUM(G76:G78)</f>
        <v>318.2648</v>
      </c>
    </row>
    <row r="80" customFormat="false" ht="15" hidden="false" customHeight="false" outlineLevel="0" collapsed="false">
      <c r="A80" s="20" t="s">
        <v>93</v>
      </c>
      <c r="C80" s="41" t="n">
        <f aca="false">IF(C$74=0,0,C$75*INDEX(前提条件!$B$25:$D$25,1,C$74))</f>
        <v>0</v>
      </c>
      <c r="D80" s="41" t="n">
        <f aca="false">IF(D$74=0,0,D$75*INDEX(前提条件!$B$25:$D$25,1,D$74))</f>
        <v>0</v>
      </c>
      <c r="E80" s="41" t="n">
        <f aca="false">IF(E$74=0,0,E$75*INDEX(前提条件!$B$25:$D$25,1,E$74))</f>
        <v>0</v>
      </c>
      <c r="F80" s="41" t="n">
        <f aca="false">IF(F$74=0,0,F$75*INDEX(前提条件!$B$25:$D$25,1,F$74))</f>
        <v>7.245</v>
      </c>
      <c r="G80" s="41" t="n">
        <f aca="false">IF(G$74=0,0,G$75*INDEX(前提条件!$B$25:$D$25,1,G$74))</f>
        <v>12.6224</v>
      </c>
    </row>
    <row r="81" customFormat="false" ht="15" hidden="false" customHeight="false" outlineLevel="0" collapsed="false">
      <c r="A81" s="20" t="s">
        <v>95</v>
      </c>
      <c r="C81" s="41" t="n">
        <f aca="false">IF(C$74=0,0,C$75*INDEX(前提条件!$B$26:$D$26,1,C$74))</f>
        <v>0</v>
      </c>
      <c r="D81" s="41" t="n">
        <f aca="false">IF(D$74=0,0,D$75*INDEX(前提条件!$B$26:$D$26,1,D$74))</f>
        <v>0</v>
      </c>
      <c r="E81" s="41" t="n">
        <f aca="false">IF(E$74=0,0,E$75*INDEX(前提条件!$B$26:$D$26,1,E$74))</f>
        <v>0</v>
      </c>
      <c r="F81" s="41" t="n">
        <f aca="false">IF(F$74=0,0,F$75*INDEX(前提条件!$B$26:$D$26,1,F$74))</f>
        <v>2.5875</v>
      </c>
      <c r="G81" s="41" t="n">
        <f aca="false">IF(G$74=0,0,G$75*INDEX(前提条件!$B$26:$D$26,1,G$74))</f>
        <v>4.508</v>
      </c>
    </row>
    <row r="82" customFormat="false" ht="15" hidden="false" customHeight="false" outlineLevel="0" collapsed="false">
      <c r="A82" s="20" t="s">
        <v>54</v>
      </c>
      <c r="C82" s="41" t="n">
        <f aca="false">IF(C$74=0,0,C$75*INDEX(前提条件!$B$27:$D$27,1,C$74))</f>
        <v>0</v>
      </c>
      <c r="D82" s="41" t="n">
        <f aca="false">IF(D$74=0,0,D$75*INDEX(前提条件!$B$27:$D$27,1,D$74))</f>
        <v>0</v>
      </c>
      <c r="E82" s="41" t="n">
        <f aca="false">IF(E$74=0,0,E$75*INDEX(前提条件!$B$27:$D$27,1,E$74))</f>
        <v>0</v>
      </c>
      <c r="F82" s="41" t="n">
        <f aca="false">IF(F$74=0,0,F$75*INDEX(前提条件!$B$27:$D$27,1,F$74))</f>
        <v>20.7</v>
      </c>
      <c r="G82" s="41" t="n">
        <f aca="false">IF(G$74=0,0,G$75*INDEX(前提条件!$B$27:$D$27,1,G$74))</f>
        <v>34.2608</v>
      </c>
    </row>
    <row r="83" customFormat="false" ht="15" hidden="false" customHeight="false" outlineLevel="0" collapsed="false">
      <c r="A83" s="51" t="s">
        <v>150</v>
      </c>
      <c r="C83" s="42" t="n">
        <f aca="false">C79-SUM(C80:C82)</f>
        <v>0</v>
      </c>
      <c r="D83" s="42" t="n">
        <f aca="false">D79-SUM(D80:D82)</f>
        <v>0</v>
      </c>
      <c r="E83" s="42" t="n">
        <f aca="false">E79-SUM(E80:E82)</f>
        <v>0</v>
      </c>
      <c r="F83" s="42" t="n">
        <f aca="false">F79-SUM(F80:F82)</f>
        <v>143.3475</v>
      </c>
      <c r="G83" s="42" t="n">
        <f aca="false">G79-SUM(G80:G82)</f>
        <v>266.8736</v>
      </c>
    </row>
    <row r="84" customFormat="false" ht="15" hidden="false" customHeight="false" outlineLevel="0" collapsed="false">
      <c r="A84" s="20" t="s">
        <v>98</v>
      </c>
      <c r="C84" s="41" t="n">
        <f aca="false">IF(C$74=0,0,C$75*INDEX(前提条件!$B$28:$D$28,1,C$74))</f>
        <v>0</v>
      </c>
      <c r="D84" s="41" t="n">
        <f aca="false">IF(D$74=0,0,D$75*INDEX(前提条件!$B$28:$D$28,1,D$74))</f>
        <v>0</v>
      </c>
      <c r="E84" s="41" t="n">
        <f aca="false">IF(E$74=0,0,E$75*INDEX(前提条件!$B$28:$D$28,1,E$74))</f>
        <v>0</v>
      </c>
      <c r="F84" s="41" t="n">
        <f aca="false">IF(F$74=0,0,F$75*INDEX(前提条件!$B$28:$D$28,1,F$74))</f>
        <v>20.7</v>
      </c>
      <c r="G84" s="41" t="n">
        <f aca="false">IF(G$74=0,0,G$75*INDEX(前提条件!$B$28:$D$28,1,G$74))</f>
        <v>36.064</v>
      </c>
    </row>
    <row r="85" customFormat="false" ht="15" hidden="false" customHeight="false" outlineLevel="0" collapsed="false">
      <c r="A85" s="20" t="s">
        <v>100</v>
      </c>
      <c r="C85" s="41" t="n">
        <f aca="false">IF(C$74=0,0,C$75*INDEX(前提条件!$B$29:$D$29,1,C$74))</f>
        <v>0</v>
      </c>
      <c r="D85" s="41" t="n">
        <f aca="false">IF(D$74=0,0,D$75*INDEX(前提条件!$B$29:$D$29,1,D$74))</f>
        <v>0</v>
      </c>
      <c r="E85" s="41" t="n">
        <f aca="false">IF(E$74=0,0,E$75*INDEX(前提条件!$B$29:$D$29,1,E$74))</f>
        <v>0</v>
      </c>
      <c r="F85" s="41" t="n">
        <f aca="false">IF(F$74=0,0,F$75*INDEX(前提条件!$B$29:$D$29,1,F$74))</f>
        <v>3.6225</v>
      </c>
      <c r="G85" s="41" t="n">
        <f aca="false">IF(G$74=0,0,G$75*INDEX(前提条件!$B$29:$D$29,1,G$74))</f>
        <v>6.3112</v>
      </c>
    </row>
    <row r="86" customFormat="false" ht="15" hidden="false" customHeight="false" outlineLevel="0" collapsed="false">
      <c r="A86" s="20" t="s">
        <v>138</v>
      </c>
      <c r="C86" s="41" t="n">
        <f aca="false">IF(C74=0,0,前提条件!$B$14*$B$72*IF(C74=1,$B$73/12,1))</f>
        <v>0</v>
      </c>
      <c r="D86" s="41" t="n">
        <f aca="false">IF(D74=0,0,前提条件!$B$14*$B$72*IF(D74=1,$B$73/12,1))</f>
        <v>0</v>
      </c>
      <c r="E86" s="41" t="n">
        <f aca="false">IF(E74=0,0,前提条件!$B$14*$B$72*IF(E74=1,$B$73/12,1))</f>
        <v>0</v>
      </c>
      <c r="F86" s="41" t="n">
        <f aca="false">IF(F74=0,0,前提条件!$B$14*$B$72*IF(F74=1,$B$73/12,1))</f>
        <v>33.3</v>
      </c>
      <c r="G86" s="41" t="n">
        <f aca="false">IF(G74=0,0,前提条件!$B$14*$B$72*IF(G74=1,$B$73/12,1))</f>
        <v>53.28</v>
      </c>
    </row>
    <row r="87" customFormat="false" ht="15" hidden="false" customHeight="false" outlineLevel="0" collapsed="false">
      <c r="A87" s="20" t="s">
        <v>139</v>
      </c>
      <c r="C87" s="41" t="n">
        <f aca="false">IF(C74=0,0,MAX(0,C75/$B$72-前提条件!$B$16*IF(C74=1,$B$73/12,1))*前提条件!$B$15*$B$72)</f>
        <v>0</v>
      </c>
      <c r="D87" s="41" t="n">
        <f aca="false">IF(D74=0,0,MAX(0,D75/$B$72-前提条件!$B$16*IF(D74=1,$B$73/12,1))*前提条件!$B$15*$B$72)</f>
        <v>0</v>
      </c>
      <c r="E87" s="41" t="n">
        <f aca="false">IF(E74=0,0,MAX(0,E75/$B$72-前提条件!$B$16*IF(E74=1,$B$73/12,1))*前提条件!$B$15*$B$72)</f>
        <v>0</v>
      </c>
      <c r="F87" s="41" t="n">
        <f aca="false">IF(F74=0,0,MAX(0,F75/$B$72-前提条件!$B$16*IF(F74=1,$B$73/12,1))*前提条件!$B$15*$B$72)</f>
        <v>7.2275</v>
      </c>
      <c r="G87" s="41" t="n">
        <f aca="false">IF(G74=0,0,MAX(0,G75/$B$72-前提条件!$B$16*IF(G74=1,$B$73/12,1))*前提条件!$B$15*$B$72)</f>
        <v>16.716</v>
      </c>
    </row>
    <row r="88" customFormat="false" ht="15" hidden="false" customHeight="false" outlineLevel="0" collapsed="false">
      <c r="A88" s="20" t="s">
        <v>151</v>
      </c>
      <c r="C88" s="41" t="n">
        <f aca="false">IF(C$74=0,0,C$75*INDEX(前提条件!$B$30:$D$30,1,C$74))</f>
        <v>0</v>
      </c>
      <c r="D88" s="41" t="n">
        <f aca="false">IF(D$74=0,0,D$75*INDEX(前提条件!$B$30:$D$30,1,D$74))</f>
        <v>0</v>
      </c>
      <c r="E88" s="41" t="n">
        <f aca="false">IF(E$74=0,0,E$75*INDEX(前提条件!$B$30:$D$30,1,E$74))</f>
        <v>0</v>
      </c>
      <c r="F88" s="41" t="n">
        <f aca="false">IF(F$74=0,0,F$75*INDEX(前提条件!$B$30:$D$30,1,F$74))</f>
        <v>12.9375</v>
      </c>
      <c r="G88" s="41" t="n">
        <f aca="false">IF(G$74=0,0,G$75*INDEX(前提条件!$B$30:$D$30,1,G$74))</f>
        <v>22.54</v>
      </c>
    </row>
    <row r="89" customFormat="false" ht="15" hidden="false" customHeight="false" outlineLevel="0" collapsed="false">
      <c r="A89" s="13" t="s">
        <v>152</v>
      </c>
      <c r="C89" s="42" t="n">
        <f aca="false">C83-SUM(C84:C88)</f>
        <v>0</v>
      </c>
      <c r="D89" s="42" t="n">
        <f aca="false">D83-SUM(D84:D88)</f>
        <v>0</v>
      </c>
      <c r="E89" s="42" t="n">
        <f aca="false">E83-SUM(E84:E88)</f>
        <v>0</v>
      </c>
      <c r="F89" s="42" t="n">
        <f aca="false">F83-SUM(F84:F88)</f>
        <v>65.56</v>
      </c>
      <c r="G89" s="42" t="n">
        <f aca="false">G83-SUM(G84:G88)</f>
        <v>131.9624</v>
      </c>
    </row>
    <row r="90" customFormat="false" ht="15" hidden="false" customHeight="false" outlineLevel="0" collapsed="false">
      <c r="A90" s="9" t="s">
        <v>26</v>
      </c>
      <c r="C90" s="41" t="n">
        <f aca="false">IF(C74=0,0,前提条件!$C$42*$B$72*IF(C74=1,$B$73/12,1))</f>
        <v>0</v>
      </c>
      <c r="D90" s="41" t="n">
        <f aca="false">IF(D74=0,0,前提条件!$C$42*$B$72*IF(D74=1,$B$73/12,1))</f>
        <v>0</v>
      </c>
      <c r="E90" s="41" t="n">
        <f aca="false">IF(E74=0,0,前提条件!$C$42*$B$72*IF(E74=1,$B$73/12,1))</f>
        <v>0</v>
      </c>
      <c r="F90" s="41" t="n">
        <f aca="false">IF(F74=0,0,前提条件!$C$42*$B$72*IF(F74=1,$B$73/12,1))</f>
        <v>25.375</v>
      </c>
      <c r="G90" s="41" t="n">
        <f aca="false">IF(G74=0,0,前提条件!$C$42*$B$72*IF(G74=1,$B$73/12,1))</f>
        <v>40.6</v>
      </c>
    </row>
    <row r="91" customFormat="false" ht="15" hidden="false" customHeight="false" outlineLevel="0" collapsed="false">
      <c r="A91" s="13" t="s">
        <v>153</v>
      </c>
      <c r="C91" s="42" t="n">
        <f aca="false">C89-C90</f>
        <v>0</v>
      </c>
      <c r="D91" s="42" t="n">
        <f aca="false">D89-D90</f>
        <v>0</v>
      </c>
      <c r="E91" s="42" t="n">
        <f aca="false">E89-E90</f>
        <v>0</v>
      </c>
      <c r="F91" s="42" t="n">
        <f aca="false">F89-F90</f>
        <v>40.185</v>
      </c>
      <c r="G91" s="42" t="n">
        <f aca="false">G89-G90</f>
        <v>91.3624</v>
      </c>
    </row>
    <row r="93" customFormat="false" ht="15" hidden="false" customHeight="false" outlineLevel="0" collapsed="false">
      <c r="A93" s="3" t="s">
        <v>157</v>
      </c>
      <c r="B93" s="3"/>
      <c r="C93" s="3"/>
      <c r="D93" s="3"/>
      <c r="E93" s="3"/>
      <c r="F93" s="3"/>
      <c r="G93" s="3"/>
    </row>
    <row r="94" customFormat="false" ht="15" hidden="false" customHeight="false" outlineLevel="0" collapsed="false">
      <c r="A94" s="48" t="s">
        <v>147</v>
      </c>
      <c r="B94" s="36" t="n">
        <v>2</v>
      </c>
    </row>
    <row r="95" customFormat="false" ht="15" hidden="false" customHeight="false" outlineLevel="0" collapsed="false">
      <c r="A95" s="48" t="s">
        <v>148</v>
      </c>
      <c r="B95" s="49" t="n">
        <f aca="false">前提条件!$B$9</f>
        <v>7.5</v>
      </c>
    </row>
    <row r="96" customFormat="false" ht="15" hidden="false" customHeight="false" outlineLevel="0" collapsed="false">
      <c r="A96" s="48" t="s">
        <v>149</v>
      </c>
      <c r="C96" s="36" t="n">
        <v>0</v>
      </c>
      <c r="D96" s="36" t="n">
        <v>0</v>
      </c>
      <c r="E96" s="36" t="n">
        <v>0</v>
      </c>
      <c r="F96" s="36" t="n">
        <v>0</v>
      </c>
      <c r="G96" s="36" t="n">
        <v>1</v>
      </c>
    </row>
    <row r="97" customFormat="false" ht="15" hidden="false" customHeight="false" outlineLevel="0" collapsed="false">
      <c r="A97" s="13" t="s">
        <v>21</v>
      </c>
      <c r="C97" s="40" t="n">
        <f aca="false">IF(C96=0,0,前提条件!$B$5*INDEX(前提条件!$B$6:$B$8,C96)*$B$94*IF(C96=1,$B$95/12,1))</f>
        <v>0</v>
      </c>
      <c r="D97" s="40" t="n">
        <f aca="false">IF(D96=0,0,前提条件!$B$5*INDEX(前提条件!$B$6:$B$8,D96)*$B$94*IF(D96=1,$B$95/12,1))</f>
        <v>0</v>
      </c>
      <c r="E97" s="40" t="n">
        <f aca="false">IF(E96=0,0,前提条件!$B$5*INDEX(前提条件!$B$6:$B$8,E96)*$B$94*IF(E96=1,$B$95/12,1))</f>
        <v>0</v>
      </c>
      <c r="F97" s="40" t="n">
        <f aca="false">IF(F96=0,0,前提条件!$B$5*INDEX(前提条件!$B$6:$B$8,F96)*$B$94*IF(F96=1,$B$95/12,1))</f>
        <v>0</v>
      </c>
      <c r="G97" s="40" t="n">
        <f aca="false">IF(G96=0,0,前提条件!$B$5*INDEX(前提条件!$B$6:$B$8,G96)*$B$94*IF(G96=1,$B$95/12,1))</f>
        <v>517.5</v>
      </c>
    </row>
    <row r="98" customFormat="false" ht="15" hidden="false" customHeight="false" outlineLevel="0" collapsed="false">
      <c r="A98" s="20" t="s">
        <v>45</v>
      </c>
      <c r="C98" s="41" t="n">
        <f aca="false">IF(C$96=0,0,C$97*INDEX(前提条件!$B$22:$D$22,1,C$96))</f>
        <v>0</v>
      </c>
      <c r="D98" s="41" t="n">
        <f aca="false">IF(D$96=0,0,D$97*INDEX(前提条件!$B$22:$D$22,1,D$96))</f>
        <v>0</v>
      </c>
      <c r="E98" s="41" t="n">
        <f aca="false">IF(E$96=0,0,E$97*INDEX(前提条件!$B$22:$D$22,1,E$96))</f>
        <v>0</v>
      </c>
      <c r="F98" s="41" t="n">
        <f aca="false">IF(F$96=0,0,F$97*INDEX(前提条件!$B$22:$D$22,1,F$96))</f>
        <v>0</v>
      </c>
      <c r="G98" s="41" t="n">
        <f aca="false">IF(G$96=0,0,G$97*INDEX(前提条件!$B$22:$D$22,1,G$96))</f>
        <v>152.6625</v>
      </c>
    </row>
    <row r="99" customFormat="false" ht="15" hidden="false" customHeight="false" outlineLevel="0" collapsed="false">
      <c r="A99" s="20" t="s">
        <v>48</v>
      </c>
      <c r="C99" s="41" t="n">
        <f aca="false">IF(C$96=0,0,C$97*INDEX(前提条件!$B$23:$D$23,1,C$96))</f>
        <v>0</v>
      </c>
      <c r="D99" s="41" t="n">
        <f aca="false">IF(D$96=0,0,D$97*INDEX(前提条件!$B$23:$D$23,1,D$96))</f>
        <v>0</v>
      </c>
      <c r="E99" s="41" t="n">
        <f aca="false">IF(E$96=0,0,E$97*INDEX(前提条件!$B$23:$D$23,1,E$96))</f>
        <v>0</v>
      </c>
      <c r="F99" s="41" t="n">
        <f aca="false">IF(F$96=0,0,F$97*INDEX(前提条件!$B$23:$D$23,1,F$96))</f>
        <v>0</v>
      </c>
      <c r="G99" s="41" t="n">
        <f aca="false">IF(G$96=0,0,G$97*INDEX(前提条件!$B$23:$D$23,1,G$96))</f>
        <v>178.5375</v>
      </c>
    </row>
    <row r="100" customFormat="false" ht="15" hidden="false" customHeight="false" outlineLevel="0" collapsed="false">
      <c r="A100" s="20" t="s">
        <v>51</v>
      </c>
      <c r="C100" s="41" t="n">
        <f aca="false">IF(C$96=0,0,C$97*INDEX(前提条件!$B$24:$D$24,1,C$96))</f>
        <v>0</v>
      </c>
      <c r="D100" s="41" t="n">
        <f aca="false">IF(D$96=0,0,D$97*INDEX(前提条件!$B$24:$D$24,1,D$96))</f>
        <v>0</v>
      </c>
      <c r="E100" s="41" t="n">
        <f aca="false">IF(E$96=0,0,E$97*INDEX(前提条件!$B$24:$D$24,1,E$96))</f>
        <v>0</v>
      </c>
      <c r="F100" s="41" t="n">
        <f aca="false">IF(F$96=0,0,F$97*INDEX(前提条件!$B$24:$D$24,1,F$96))</f>
        <v>0</v>
      </c>
      <c r="G100" s="41" t="n">
        <f aca="false">IF(G$96=0,0,G$97*INDEX(前提条件!$B$24:$D$24,1,G$96))</f>
        <v>12.42</v>
      </c>
    </row>
    <row r="101" customFormat="false" ht="15" hidden="false" customHeight="false" outlineLevel="0" collapsed="false">
      <c r="A101" s="50" t="s">
        <v>136</v>
      </c>
      <c r="C101" s="42" t="n">
        <f aca="false">C97-SUM(C98:C100)</f>
        <v>0</v>
      </c>
      <c r="D101" s="42" t="n">
        <f aca="false">D97-SUM(D98:D100)</f>
        <v>0</v>
      </c>
      <c r="E101" s="42" t="n">
        <f aca="false">E97-SUM(E98:E100)</f>
        <v>0</v>
      </c>
      <c r="F101" s="42" t="n">
        <f aca="false">F97-SUM(F98:F100)</f>
        <v>0</v>
      </c>
      <c r="G101" s="42" t="n">
        <f aca="false">G97-SUM(G98:G100)</f>
        <v>173.88</v>
      </c>
    </row>
    <row r="102" customFormat="false" ht="15" hidden="false" customHeight="false" outlineLevel="0" collapsed="false">
      <c r="A102" s="20" t="s">
        <v>93</v>
      </c>
      <c r="C102" s="41" t="n">
        <f aca="false">IF(C$96=0,0,C$97*INDEX(前提条件!$B$25:$D$25,1,C$96))</f>
        <v>0</v>
      </c>
      <c r="D102" s="41" t="n">
        <f aca="false">IF(D$96=0,0,D$97*INDEX(前提条件!$B$25:$D$25,1,D$96))</f>
        <v>0</v>
      </c>
      <c r="E102" s="41" t="n">
        <f aca="false">IF(E$96=0,0,E$97*INDEX(前提条件!$B$25:$D$25,1,E$96))</f>
        <v>0</v>
      </c>
      <c r="F102" s="41" t="n">
        <f aca="false">IF(F$96=0,0,F$97*INDEX(前提条件!$B$25:$D$25,1,F$96))</f>
        <v>0</v>
      </c>
      <c r="G102" s="41" t="n">
        <f aca="false">IF(G$96=0,0,G$97*INDEX(前提条件!$B$25:$D$25,1,G$96))</f>
        <v>7.245</v>
      </c>
    </row>
    <row r="103" customFormat="false" ht="15" hidden="false" customHeight="false" outlineLevel="0" collapsed="false">
      <c r="A103" s="20" t="s">
        <v>95</v>
      </c>
      <c r="C103" s="41" t="n">
        <f aca="false">IF(C$96=0,0,C$97*INDEX(前提条件!$B$26:$D$26,1,C$96))</f>
        <v>0</v>
      </c>
      <c r="D103" s="41" t="n">
        <f aca="false">IF(D$96=0,0,D$97*INDEX(前提条件!$B$26:$D$26,1,D$96))</f>
        <v>0</v>
      </c>
      <c r="E103" s="41" t="n">
        <f aca="false">IF(E$96=0,0,E$97*INDEX(前提条件!$B$26:$D$26,1,E$96))</f>
        <v>0</v>
      </c>
      <c r="F103" s="41" t="n">
        <f aca="false">IF(F$96=0,0,F$97*INDEX(前提条件!$B$26:$D$26,1,F$96))</f>
        <v>0</v>
      </c>
      <c r="G103" s="41" t="n">
        <f aca="false">IF(G$96=0,0,G$97*INDEX(前提条件!$B$26:$D$26,1,G$96))</f>
        <v>2.5875</v>
      </c>
    </row>
    <row r="104" customFormat="false" ht="15" hidden="false" customHeight="false" outlineLevel="0" collapsed="false">
      <c r="A104" s="20" t="s">
        <v>54</v>
      </c>
      <c r="C104" s="41" t="n">
        <f aca="false">IF(C$96=0,0,C$97*INDEX(前提条件!$B$27:$D$27,1,C$96))</f>
        <v>0</v>
      </c>
      <c r="D104" s="41" t="n">
        <f aca="false">IF(D$96=0,0,D$97*INDEX(前提条件!$B$27:$D$27,1,D$96))</f>
        <v>0</v>
      </c>
      <c r="E104" s="41" t="n">
        <f aca="false">IF(E$96=0,0,E$97*INDEX(前提条件!$B$27:$D$27,1,E$96))</f>
        <v>0</v>
      </c>
      <c r="F104" s="41" t="n">
        <f aca="false">IF(F$96=0,0,F$97*INDEX(前提条件!$B$27:$D$27,1,F$96))</f>
        <v>0</v>
      </c>
      <c r="G104" s="41" t="n">
        <f aca="false">IF(G$96=0,0,G$97*INDEX(前提条件!$B$27:$D$27,1,G$96))</f>
        <v>20.7</v>
      </c>
    </row>
    <row r="105" customFormat="false" ht="15" hidden="false" customHeight="false" outlineLevel="0" collapsed="false">
      <c r="A105" s="51" t="s">
        <v>150</v>
      </c>
      <c r="C105" s="42" t="n">
        <f aca="false">C101-SUM(C102:C104)</f>
        <v>0</v>
      </c>
      <c r="D105" s="42" t="n">
        <f aca="false">D101-SUM(D102:D104)</f>
        <v>0</v>
      </c>
      <c r="E105" s="42" t="n">
        <f aca="false">E101-SUM(E102:E104)</f>
        <v>0</v>
      </c>
      <c r="F105" s="42" t="n">
        <f aca="false">F101-SUM(F102:F104)</f>
        <v>0</v>
      </c>
      <c r="G105" s="42" t="n">
        <f aca="false">G101-SUM(G102:G104)</f>
        <v>143.3475</v>
      </c>
    </row>
    <row r="106" customFormat="false" ht="15" hidden="false" customHeight="false" outlineLevel="0" collapsed="false">
      <c r="A106" s="20" t="s">
        <v>98</v>
      </c>
      <c r="C106" s="41" t="n">
        <f aca="false">IF(C$96=0,0,C$97*INDEX(前提条件!$B$28:$D$28,1,C$96))</f>
        <v>0</v>
      </c>
      <c r="D106" s="41" t="n">
        <f aca="false">IF(D$96=0,0,D$97*INDEX(前提条件!$B$28:$D$28,1,D$96))</f>
        <v>0</v>
      </c>
      <c r="E106" s="41" t="n">
        <f aca="false">IF(E$96=0,0,E$97*INDEX(前提条件!$B$28:$D$28,1,E$96))</f>
        <v>0</v>
      </c>
      <c r="F106" s="41" t="n">
        <f aca="false">IF(F$96=0,0,F$97*INDEX(前提条件!$B$28:$D$28,1,F$96))</f>
        <v>0</v>
      </c>
      <c r="G106" s="41" t="n">
        <f aca="false">IF(G$96=0,0,G$97*INDEX(前提条件!$B$28:$D$28,1,G$96))</f>
        <v>20.7</v>
      </c>
    </row>
    <row r="107" customFormat="false" ht="15" hidden="false" customHeight="false" outlineLevel="0" collapsed="false">
      <c r="A107" s="20" t="s">
        <v>100</v>
      </c>
      <c r="C107" s="41" t="n">
        <f aca="false">IF(C$96=0,0,C$97*INDEX(前提条件!$B$29:$D$29,1,C$96))</f>
        <v>0</v>
      </c>
      <c r="D107" s="41" t="n">
        <f aca="false">IF(D$96=0,0,D$97*INDEX(前提条件!$B$29:$D$29,1,D$96))</f>
        <v>0</v>
      </c>
      <c r="E107" s="41" t="n">
        <f aca="false">IF(E$96=0,0,E$97*INDEX(前提条件!$B$29:$D$29,1,E$96))</f>
        <v>0</v>
      </c>
      <c r="F107" s="41" t="n">
        <f aca="false">IF(F$96=0,0,F$97*INDEX(前提条件!$B$29:$D$29,1,F$96))</f>
        <v>0</v>
      </c>
      <c r="G107" s="41" t="n">
        <f aca="false">IF(G$96=0,0,G$97*INDEX(前提条件!$B$29:$D$29,1,G$96))</f>
        <v>3.6225</v>
      </c>
    </row>
    <row r="108" customFormat="false" ht="15" hidden="false" customHeight="false" outlineLevel="0" collapsed="false">
      <c r="A108" s="20" t="s">
        <v>138</v>
      </c>
      <c r="C108" s="41" t="n">
        <f aca="false">IF(C96=0,0,前提条件!$B$14*$B$94*IF(C96=1,$B$95/12,1))</f>
        <v>0</v>
      </c>
      <c r="D108" s="41" t="n">
        <f aca="false">IF(D96=0,0,前提条件!$B$14*$B$94*IF(D96=1,$B$95/12,1))</f>
        <v>0</v>
      </c>
      <c r="E108" s="41" t="n">
        <f aca="false">IF(E96=0,0,前提条件!$B$14*$B$94*IF(E96=1,$B$95/12,1))</f>
        <v>0</v>
      </c>
      <c r="F108" s="41" t="n">
        <f aca="false">IF(F96=0,0,前提条件!$B$14*$B$94*IF(F96=1,$B$95/12,1))</f>
        <v>0</v>
      </c>
      <c r="G108" s="41" t="n">
        <f aca="false">IF(G96=0,0,前提条件!$B$14*$B$94*IF(G96=1,$B$95/12,1))</f>
        <v>33.3</v>
      </c>
    </row>
    <row r="109" customFormat="false" ht="15" hidden="false" customHeight="false" outlineLevel="0" collapsed="false">
      <c r="A109" s="20" t="s">
        <v>139</v>
      </c>
      <c r="C109" s="41" t="n">
        <f aca="false">IF(C96=0,0,MAX(0,C97/$B$94-前提条件!$B$16*IF(C96=1,$B$95/12,1))*前提条件!$B$15*$B$94)</f>
        <v>0</v>
      </c>
      <c r="D109" s="41" t="n">
        <f aca="false">IF(D96=0,0,MAX(0,D97/$B$94-前提条件!$B$16*IF(D96=1,$B$95/12,1))*前提条件!$B$15*$B$94)</f>
        <v>0</v>
      </c>
      <c r="E109" s="41" t="n">
        <f aca="false">IF(E96=0,0,MAX(0,E97/$B$94-前提条件!$B$16*IF(E96=1,$B$95/12,1))*前提条件!$B$15*$B$94)</f>
        <v>0</v>
      </c>
      <c r="F109" s="41" t="n">
        <f aca="false">IF(F96=0,0,MAX(0,F97/$B$94-前提条件!$B$16*IF(F96=1,$B$95/12,1))*前提条件!$B$15*$B$94)</f>
        <v>0</v>
      </c>
      <c r="G109" s="41" t="n">
        <f aca="false">IF(G96=0,0,MAX(0,G97/$B$94-前提条件!$B$16*IF(G96=1,$B$95/12,1))*前提条件!$B$15*$B$94)</f>
        <v>7.2275</v>
      </c>
    </row>
    <row r="110" customFormat="false" ht="15" hidden="false" customHeight="false" outlineLevel="0" collapsed="false">
      <c r="A110" s="20" t="s">
        <v>151</v>
      </c>
      <c r="C110" s="41" t="n">
        <f aca="false">IF(C$96=0,0,C$97*INDEX(前提条件!$B$30:$D$30,1,C$96))</f>
        <v>0</v>
      </c>
      <c r="D110" s="41" t="n">
        <f aca="false">IF(D$96=0,0,D$97*INDEX(前提条件!$B$30:$D$30,1,D$96))</f>
        <v>0</v>
      </c>
      <c r="E110" s="41" t="n">
        <f aca="false">IF(E$96=0,0,E$97*INDEX(前提条件!$B$30:$D$30,1,E$96))</f>
        <v>0</v>
      </c>
      <c r="F110" s="41" t="n">
        <f aca="false">IF(F$96=0,0,F$97*INDEX(前提条件!$B$30:$D$30,1,F$96))</f>
        <v>0</v>
      </c>
      <c r="G110" s="41" t="n">
        <f aca="false">IF(G$96=0,0,G$97*INDEX(前提条件!$B$30:$D$30,1,G$96))</f>
        <v>12.9375</v>
      </c>
    </row>
    <row r="111" customFormat="false" ht="15" hidden="false" customHeight="false" outlineLevel="0" collapsed="false">
      <c r="A111" s="13" t="s">
        <v>152</v>
      </c>
      <c r="C111" s="42" t="n">
        <f aca="false">C105-SUM(C106:C110)</f>
        <v>0</v>
      </c>
      <c r="D111" s="42" t="n">
        <f aca="false">D105-SUM(D106:D110)</f>
        <v>0</v>
      </c>
      <c r="E111" s="42" t="n">
        <f aca="false">E105-SUM(E106:E110)</f>
        <v>0</v>
      </c>
      <c r="F111" s="42" t="n">
        <f aca="false">F105-SUM(F106:F110)</f>
        <v>0</v>
      </c>
      <c r="G111" s="42" t="n">
        <f aca="false">G105-SUM(G106:G110)</f>
        <v>65.56</v>
      </c>
    </row>
    <row r="112" customFormat="false" ht="15" hidden="false" customHeight="false" outlineLevel="0" collapsed="false">
      <c r="A112" s="9" t="s">
        <v>26</v>
      </c>
      <c r="C112" s="41" t="n">
        <f aca="false">IF(C96=0,0,前提条件!$C$42*$B$94*IF(C96=1,$B$95/12,1))</f>
        <v>0</v>
      </c>
      <c r="D112" s="41" t="n">
        <f aca="false">IF(D96=0,0,前提条件!$C$42*$B$94*IF(D96=1,$B$95/12,1))</f>
        <v>0</v>
      </c>
      <c r="E112" s="41" t="n">
        <f aca="false">IF(E96=0,0,前提条件!$C$42*$B$94*IF(E96=1,$B$95/12,1))</f>
        <v>0</v>
      </c>
      <c r="F112" s="41" t="n">
        <f aca="false">IF(F96=0,0,前提条件!$C$42*$B$94*IF(F96=1,$B$95/12,1))</f>
        <v>0</v>
      </c>
      <c r="G112" s="41" t="n">
        <f aca="false">IF(G96=0,0,前提条件!$C$42*$B$94*IF(G96=1,$B$95/12,1))</f>
        <v>25.375</v>
      </c>
    </row>
    <row r="113" customFormat="false" ht="15" hidden="false" customHeight="false" outlineLevel="0" collapsed="false">
      <c r="A113" s="13" t="s">
        <v>153</v>
      </c>
      <c r="C113" s="42" t="n">
        <f aca="false">C111-C112</f>
        <v>0</v>
      </c>
      <c r="D113" s="42" t="n">
        <f aca="false">D111-D112</f>
        <v>0</v>
      </c>
      <c r="E113" s="42" t="n">
        <f aca="false">E111-E112</f>
        <v>0</v>
      </c>
      <c r="F113" s="42" t="n">
        <f aca="false">F111-F112</f>
        <v>0</v>
      </c>
      <c r="G113" s="42" t="n">
        <f aca="false">G111-G112</f>
        <v>40.185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8" min="3" style="0" width="14"/>
  </cols>
  <sheetData>
    <row r="1" customFormat="false" ht="15" hidden="false" customHeight="false" outlineLevel="0" collapsed="false">
      <c r="A1" s="1" t="s">
        <v>158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5" t="s">
        <v>159</v>
      </c>
    </row>
    <row r="3" customFormat="false" ht="25.35" hidden="false" customHeight="false" outlineLevel="0" collapsed="false">
      <c r="A3" s="7" t="s">
        <v>134</v>
      </c>
      <c r="B3" s="38" t="s">
        <v>160</v>
      </c>
      <c r="C3" s="8" t="s">
        <v>3</v>
      </c>
      <c r="D3" s="8" t="s">
        <v>6</v>
      </c>
      <c r="E3" s="8" t="s">
        <v>9</v>
      </c>
      <c r="F3" s="8" t="s">
        <v>12</v>
      </c>
      <c r="G3" s="8" t="s">
        <v>15</v>
      </c>
      <c r="H3" s="8" t="s">
        <v>19</v>
      </c>
    </row>
    <row r="4" customFormat="false" ht="15" hidden="false" customHeight="false" outlineLevel="0" collapsed="false">
      <c r="A4" s="13" t="s">
        <v>20</v>
      </c>
      <c r="C4" s="52" t="n">
        <f aca="false">前提条件!B55</f>
        <v>1</v>
      </c>
      <c r="D4" s="52" t="n">
        <f aca="false">前提条件!C55</f>
        <v>3</v>
      </c>
      <c r="E4" s="52" t="n">
        <f aca="false">前提条件!D55</f>
        <v>5</v>
      </c>
      <c r="F4" s="52" t="n">
        <f aca="false">前提条件!E55</f>
        <v>7</v>
      </c>
      <c r="G4" s="52" t="n">
        <f aca="false">前提条件!F55</f>
        <v>9</v>
      </c>
    </row>
    <row r="5" customFormat="false" ht="15" hidden="false" customHeight="false" outlineLevel="0" collapsed="false">
      <c r="A5" s="13" t="s">
        <v>21</v>
      </c>
      <c r="B5" s="53" t="n">
        <f aca="false">IF($G$5=0,0,G5/$G$5)</f>
        <v>1</v>
      </c>
      <c r="C5" s="54" t="n">
        <f aca="false">店舗群別PL!C9+店舗群別PL!C31+店舗群別PL!C53+店舗群別PL!C75+店舗群別PL!C97</f>
        <v>414</v>
      </c>
      <c r="D5" s="54" t="n">
        <f aca="false">店舗群別PL!D9+店舗群別PL!D31+店舗群別PL!D53+店舗群別PL!D75+店舗群別PL!D97</f>
        <v>968.3</v>
      </c>
      <c r="E5" s="54" t="n">
        <f aca="false">店舗群別PL!E9+店舗群別PL!E31+店舗群別PL!E53+店舗群別PL!E75+店舗群別PL!E97</f>
        <v>1879.1</v>
      </c>
      <c r="F5" s="54" t="n">
        <f aca="false">店舗群別PL!F9+店舗群別PL!F31+店舗群別PL!F53+店舗群別PL!F75+店舗群別PL!F97</f>
        <v>2799.1</v>
      </c>
      <c r="G5" s="54" t="n">
        <f aca="false">店舗群別PL!G9+店舗群別PL!G31+店舗群別PL!G53+店舗群別PL!G75+店舗群別PL!G97</f>
        <v>3719.1</v>
      </c>
      <c r="H5" s="42" t="n">
        <f aca="false">SUM(C5:G5)</f>
        <v>9779.6</v>
      </c>
    </row>
    <row r="6" customFormat="false" ht="15" hidden="false" customHeight="false" outlineLevel="0" collapsed="false">
      <c r="A6" s="20" t="s">
        <v>45</v>
      </c>
      <c r="B6" s="53" t="n">
        <f aca="false">IF($G$5=0,0,G6/$G$5)</f>
        <v>0.287603586889301</v>
      </c>
      <c r="C6" s="11" t="n">
        <f aca="false">店舗群別PL!C10+店舗群別PL!C32+店舗群別PL!C54+店舗群別PL!C76+店舗群別PL!C98</f>
        <v>122.13</v>
      </c>
      <c r="D6" s="11" t="n">
        <f aca="false">店舗群別PL!D10+店舗群別PL!D32+店舗群別PL!D54+店舗群別PL!D76+店舗群別PL!D98</f>
        <v>283.3945</v>
      </c>
      <c r="E6" s="11" t="n">
        <f aca="false">店舗群別PL!E10+店舗群別PL!E32+店舗群別PL!E54+店舗群別PL!E76+店舗群別PL!E98</f>
        <v>545.2265</v>
      </c>
      <c r="F6" s="11" t="n">
        <f aca="false">店舗群別PL!F10+店舗群別PL!F32+店舗群別PL!F54+店舗群別PL!F76+店舗群別PL!F98</f>
        <v>807.4265</v>
      </c>
      <c r="G6" s="11" t="n">
        <f aca="false">店舗群別PL!G10+店舗群別PL!G32+店舗群別PL!G54+店舗群別PL!G76+店舗群別PL!G98</f>
        <v>1069.6265</v>
      </c>
      <c r="H6" s="42" t="n">
        <f aca="false">SUM(C6:G6)</f>
        <v>2827.804</v>
      </c>
    </row>
    <row r="7" customFormat="false" ht="15" hidden="false" customHeight="false" outlineLevel="0" collapsed="false">
      <c r="A7" s="20" t="s">
        <v>48</v>
      </c>
      <c r="B7" s="53" t="n">
        <f aca="false">IF($G$5=0,0,G7/$G$5)</f>
        <v>0.330207173778602</v>
      </c>
      <c r="C7" s="11" t="n">
        <f aca="false">店舗群別PL!C11+店舗群別PL!C33+店舗群別PL!C55+店舗群別PL!C77+店舗群別PL!C99</f>
        <v>142.83</v>
      </c>
      <c r="D7" s="11" t="n">
        <f aca="false">店舗群別PL!D11+店舗群別PL!D33+店舗群別PL!D55+店舗群別PL!D77+店舗群別PL!D99</f>
        <v>329.5555</v>
      </c>
      <c r="E7" s="11" t="n">
        <f aca="false">店舗群別PL!E11+店舗群別PL!E33+店舗群別PL!E55+店舗群別PL!E77+店舗群別PL!E99</f>
        <v>630.0735</v>
      </c>
      <c r="F7" s="11" t="n">
        <f aca="false">店舗群別PL!F11+店舗群別PL!F33+店舗群別PL!F55+店舗群別PL!F77+店舗群別PL!F99</f>
        <v>929.0735</v>
      </c>
      <c r="G7" s="11" t="n">
        <f aca="false">店舗群別PL!G11+店舗群別PL!G33+店舗群別PL!G55+店舗群別PL!G77+店舗群別PL!G99</f>
        <v>1228.0735</v>
      </c>
      <c r="H7" s="42" t="n">
        <f aca="false">SUM(C7:G7)</f>
        <v>3259.606</v>
      </c>
    </row>
    <row r="8" customFormat="false" ht="15" hidden="false" customHeight="false" outlineLevel="0" collapsed="false">
      <c r="A8" s="20" t="s">
        <v>51</v>
      </c>
      <c r="B8" s="53" t="n">
        <f aca="false">IF($G$5=0,0,G8/$G$5)</f>
        <v>0.0210414347557205</v>
      </c>
      <c r="C8" s="11" t="n">
        <f aca="false">店舗群別PL!C12+店舗群別PL!C34+店舗群別PL!C56+店舗群別PL!C78+店舗群別PL!C100</f>
        <v>9.936</v>
      </c>
      <c r="D8" s="11" t="n">
        <f aca="false">店舗群別PL!D12+店舗群別PL!D34+店舗群別PL!D56+店舗群別PL!D78+店舗群別PL!D100</f>
        <v>22.3376</v>
      </c>
      <c r="E8" s="11" t="n">
        <f aca="false">店舗群別PL!E12+店舗群別PL!E34+店舗群別PL!E56+店舗群別PL!E78+店舗群別PL!E100</f>
        <v>41.4552</v>
      </c>
      <c r="F8" s="11" t="n">
        <f aca="false">店舗群別PL!F12+店舗群別PL!F34+店舗群別PL!F56+店舗群別PL!F78+店舗群別PL!F100</f>
        <v>59.8552</v>
      </c>
      <c r="G8" s="11" t="n">
        <f aca="false">店舗群別PL!G12+店舗群別PL!G34+店舗群別PL!G56+店舗群別PL!G78+店舗群別PL!G100</f>
        <v>78.2552</v>
      </c>
      <c r="H8" s="42" t="n">
        <f aca="false">SUM(C8:G8)</f>
        <v>211.8392</v>
      </c>
    </row>
    <row r="9" customFormat="false" ht="15" hidden="false" customHeight="false" outlineLevel="0" collapsed="false">
      <c r="A9" s="50" t="s">
        <v>136</v>
      </c>
      <c r="B9" s="53" t="n">
        <f aca="false">IF($G$5=0,0,G9/$G$5)</f>
        <v>0.361147804576376</v>
      </c>
      <c r="C9" s="12" t="n">
        <f aca="false">店舗群別PL!C13+店舗群別PL!C35+店舗群別PL!C57+店舗群別PL!C79+店舗群別PL!C101</f>
        <v>139.104</v>
      </c>
      <c r="D9" s="12" t="n">
        <f aca="false">店舗群別PL!D13+店舗群別PL!D35+店舗群別PL!D57+店舗群別PL!D79+店舗群別PL!D101</f>
        <v>333.0124</v>
      </c>
      <c r="E9" s="12" t="n">
        <f aca="false">店舗群別PL!E13+店舗群別PL!E35+店舗群別PL!E57+店舗群別PL!E79+店舗群別PL!E101</f>
        <v>662.3448</v>
      </c>
      <c r="F9" s="12" t="n">
        <f aca="false">店舗群別PL!F13+店舗群別PL!F35+店舗群別PL!F57+店舗群別PL!F79+店舗群別PL!F101</f>
        <v>1002.7448</v>
      </c>
      <c r="G9" s="12" t="n">
        <f aca="false">店舗群別PL!G13+店舗群別PL!G35+店舗群別PL!G57+店舗群別PL!G79+店舗群別PL!G101</f>
        <v>1343.1448</v>
      </c>
      <c r="H9" s="42" t="n">
        <f aca="false">SUM(C9:G9)</f>
        <v>3480.3508</v>
      </c>
    </row>
    <row r="10" customFormat="false" ht="15" hidden="false" customHeight="false" outlineLevel="0" collapsed="false">
      <c r="A10" s="20" t="s">
        <v>93</v>
      </c>
      <c r="B10" s="53" t="n">
        <f aca="false">IF($G$5=0,0,G10/$G$5)</f>
        <v>0.014</v>
      </c>
      <c r="C10" s="11" t="n">
        <f aca="false">店舗群別PL!C14+店舗群別PL!C36+店舗群別PL!C58+店舗群別PL!C80+店舗群別PL!C102</f>
        <v>5.796</v>
      </c>
      <c r="D10" s="11" t="n">
        <f aca="false">店舗群別PL!D14+店舗群別PL!D36+店舗群別PL!D58+店舗群別PL!D80+店舗群別PL!D102</f>
        <v>13.5562</v>
      </c>
      <c r="E10" s="11" t="n">
        <f aca="false">店舗群別PL!E14+店舗群別PL!E36+店舗群別PL!E58+店舗群別PL!E80+店舗群別PL!E102</f>
        <v>26.3074</v>
      </c>
      <c r="F10" s="11" t="n">
        <f aca="false">店舗群別PL!F14+店舗群別PL!F36+店舗群別PL!F58+店舗群別PL!F80+店舗群別PL!F102</f>
        <v>39.1874</v>
      </c>
      <c r="G10" s="11" t="n">
        <f aca="false">店舗群別PL!G14+店舗群別PL!G36+店舗群別PL!G58+店舗群別PL!G80+店舗群別PL!G102</f>
        <v>52.0674</v>
      </c>
      <c r="H10" s="42" t="n">
        <f aca="false">SUM(C10:G10)</f>
        <v>136.9144</v>
      </c>
    </row>
    <row r="11" customFormat="false" ht="15" hidden="false" customHeight="false" outlineLevel="0" collapsed="false">
      <c r="A11" s="20" t="s">
        <v>95</v>
      </c>
      <c r="B11" s="53" t="n">
        <f aca="false">IF($G$5=0,0,G11/$G$5)</f>
        <v>0.005</v>
      </c>
      <c r="C11" s="11" t="n">
        <f aca="false">店舗群別PL!C15+店舗群別PL!C37+店舗群別PL!C59+店舗群別PL!C81+店舗群別PL!C103</f>
        <v>2.07</v>
      </c>
      <c r="D11" s="11" t="n">
        <f aca="false">店舗群別PL!D15+店舗群別PL!D37+店舗群別PL!D59+店舗群別PL!D81+店舗群別PL!D103</f>
        <v>4.8415</v>
      </c>
      <c r="E11" s="11" t="n">
        <f aca="false">店舗群別PL!E15+店舗群別PL!E37+店舗群別PL!E59+店舗群別PL!E81+店舗群別PL!E103</f>
        <v>9.3955</v>
      </c>
      <c r="F11" s="11" t="n">
        <f aca="false">店舗群別PL!F15+店舗群別PL!F37+店舗群別PL!F59+店舗群別PL!F81+店舗群別PL!F103</f>
        <v>13.9955</v>
      </c>
      <c r="G11" s="11" t="n">
        <f aca="false">店舗群別PL!G15+店舗群別PL!G37+店舗群別PL!G59+店舗群別PL!G81+店舗群別PL!G103</f>
        <v>18.5955</v>
      </c>
      <c r="H11" s="42" t="n">
        <f aca="false">SUM(C11:G11)</f>
        <v>48.898</v>
      </c>
    </row>
    <row r="12" customFormat="false" ht="15" hidden="false" customHeight="false" outlineLevel="0" collapsed="false">
      <c r="A12" s="20" t="s">
        <v>54</v>
      </c>
      <c r="B12" s="53" t="n">
        <f aca="false">IF($G$5=0,0,G12/$G$5)</f>
        <v>0.0370414347557205</v>
      </c>
      <c r="C12" s="11" t="n">
        <f aca="false">店舗群別PL!C16+店舗群別PL!C38+店舗群別PL!C60+店舗群別PL!C82+店舗群別PL!C104</f>
        <v>16.56</v>
      </c>
      <c r="D12" s="11" t="n">
        <f aca="false">店舗群別PL!D16+店舗群別PL!D38+店舗群別PL!D60+店舗群別PL!D82+店舗群別PL!D104</f>
        <v>37.8304</v>
      </c>
      <c r="E12" s="11" t="n">
        <f aca="false">店舗群別PL!E16+店舗群別PL!E38+店舗群別PL!E60+店舗群別PL!E82+店舗群別PL!E104</f>
        <v>71.5208</v>
      </c>
      <c r="F12" s="11" t="n">
        <f aca="false">店舗群別PL!F16+店舗群別PL!F38+店舗群別PL!F60+店舗群別PL!F82+店舗群別PL!F104</f>
        <v>104.6408</v>
      </c>
      <c r="G12" s="11" t="n">
        <f aca="false">店舗群別PL!G16+店舗群別PL!G38+店舗群別PL!G60+店舗群別PL!G82+店舗群別PL!G104</f>
        <v>137.7608</v>
      </c>
      <c r="H12" s="42" t="n">
        <f aca="false">SUM(C12:G12)</f>
        <v>368.3128</v>
      </c>
    </row>
    <row r="13" customFormat="false" ht="15" hidden="false" customHeight="false" outlineLevel="0" collapsed="false">
      <c r="A13" s="51" t="s">
        <v>150</v>
      </c>
      <c r="B13" s="53" t="n">
        <f aca="false">IF($G$5=0,0,G13/$G$5)</f>
        <v>0.305106369820656</v>
      </c>
      <c r="C13" s="12" t="n">
        <f aca="false">店舗群別PL!C17+店舗群別PL!C39+店舗群別PL!C61+店舗群別PL!C83+店舗群別PL!C105</f>
        <v>114.678</v>
      </c>
      <c r="D13" s="12" t="n">
        <f aca="false">店舗群別PL!D17+店舗群別PL!D39+店舗群別PL!D61+店舗群別PL!D83+店舗群別PL!D105</f>
        <v>276.7843</v>
      </c>
      <c r="E13" s="12" t="n">
        <f aca="false">店舗群別PL!E17+店舗群別PL!E39+店舗群別PL!E61+店舗群別PL!E83+店舗群別PL!E105</f>
        <v>555.1211</v>
      </c>
      <c r="F13" s="12" t="n">
        <f aca="false">店舗群別PL!F17+店舗群別PL!F39+店舗群別PL!F61+店舗群別PL!F83+店舗群別PL!F105</f>
        <v>844.9211</v>
      </c>
      <c r="G13" s="12" t="n">
        <f aca="false">店舗群別PL!G17+店舗群別PL!G39+店舗群別PL!G61+店舗群別PL!G83+店舗群別PL!G105</f>
        <v>1134.7211</v>
      </c>
      <c r="H13" s="42" t="n">
        <f aca="false">SUM(C13:G13)</f>
        <v>2926.2256</v>
      </c>
    </row>
    <row r="14" customFormat="false" ht="15" hidden="false" customHeight="false" outlineLevel="0" collapsed="false">
      <c r="A14" s="20" t="s">
        <v>98</v>
      </c>
      <c r="B14" s="53" t="n">
        <f aca="false">IF($G$5=0,0,G14/$G$5)</f>
        <v>0.04</v>
      </c>
      <c r="C14" s="11" t="n">
        <f aca="false">店舗群別PL!C18+店舗群別PL!C40+店舗群別PL!C62+店舗群別PL!C84+店舗群別PL!C106</f>
        <v>16.56</v>
      </c>
      <c r="D14" s="11" t="n">
        <f aca="false">店舗群別PL!D18+店舗群別PL!D40+店舗群別PL!D62+店舗群別PL!D84+店舗群別PL!D106</f>
        <v>38.732</v>
      </c>
      <c r="E14" s="11" t="n">
        <f aca="false">店舗群別PL!E18+店舗群別PL!E40+店舗群別PL!E62+店舗群別PL!E84+店舗群別PL!E106</f>
        <v>75.164</v>
      </c>
      <c r="F14" s="11" t="n">
        <f aca="false">店舗群別PL!F18+店舗群別PL!F40+店舗群別PL!F62+店舗群別PL!F84+店舗群別PL!F106</f>
        <v>111.964</v>
      </c>
      <c r="G14" s="11" t="n">
        <f aca="false">店舗群別PL!G18+店舗群別PL!G40+店舗群別PL!G62+店舗群別PL!G84+店舗群別PL!G106</f>
        <v>148.764</v>
      </c>
      <c r="H14" s="42" t="n">
        <f aca="false">SUM(C14:G14)</f>
        <v>391.184</v>
      </c>
    </row>
    <row r="15" customFormat="false" ht="15" hidden="false" customHeight="false" outlineLevel="0" collapsed="false">
      <c r="A15" s="20" t="s">
        <v>100</v>
      </c>
      <c r="B15" s="53" t="n">
        <f aca="false">IF($G$5=0,0,G15/$G$5)</f>
        <v>0.007</v>
      </c>
      <c r="C15" s="11" t="n">
        <f aca="false">店舗群別PL!C19+店舗群別PL!C41+店舗群別PL!C63+店舗群別PL!C85+店舗群別PL!C107</f>
        <v>2.898</v>
      </c>
      <c r="D15" s="11" t="n">
        <f aca="false">店舗群別PL!D19+店舗群別PL!D41+店舗群別PL!D63+店舗群別PL!D85+店舗群別PL!D107</f>
        <v>6.7781</v>
      </c>
      <c r="E15" s="11" t="n">
        <f aca="false">店舗群別PL!E19+店舗群別PL!E41+店舗群別PL!E63+店舗群別PL!E85+店舗群別PL!E107</f>
        <v>13.1537</v>
      </c>
      <c r="F15" s="11" t="n">
        <f aca="false">店舗群別PL!F19+店舗群別PL!F41+店舗群別PL!F63+店舗群別PL!F85+店舗群別PL!F107</f>
        <v>19.5937</v>
      </c>
      <c r="G15" s="11" t="n">
        <f aca="false">店舗群別PL!G19+店舗群別PL!G41+店舗群別PL!G63+店舗群別PL!G85+店舗群別PL!G107</f>
        <v>26.0337</v>
      </c>
      <c r="H15" s="42" t="n">
        <f aca="false">SUM(C15:G15)</f>
        <v>68.4572</v>
      </c>
    </row>
    <row r="16" customFormat="false" ht="15" hidden="false" customHeight="false" outlineLevel="0" collapsed="false">
      <c r="A16" s="20" t="s">
        <v>138</v>
      </c>
      <c r="B16" s="53" t="n">
        <f aca="false">IF($G$5=0,0,G16/$G$5)</f>
        <v>0.059094942324756</v>
      </c>
      <c r="C16" s="11" t="n">
        <f aca="false">店舗群別PL!C20+店舗群別PL!C42+店舗群別PL!C64+店舗群別PL!C86+店舗群別PL!C108</f>
        <v>26.64</v>
      </c>
      <c r="D16" s="11" t="n">
        <f aca="false">店舗群別PL!D20+店舗群別PL!D42+店舗群別PL!D64+店舗群別PL!D86+店舗群別PL!D108</f>
        <v>59.94</v>
      </c>
      <c r="E16" s="11" t="n">
        <f aca="false">店舗群別PL!E20+店舗群別PL!E42+店舗群別PL!E64+店舗群別PL!E86+店舗群別PL!E108</f>
        <v>113.22</v>
      </c>
      <c r="F16" s="11" t="n">
        <f aca="false">店舗群別PL!F20+店舗群別PL!F42+店舗群別PL!F64+店舗群別PL!F86+店舗群別PL!F108</f>
        <v>166.5</v>
      </c>
      <c r="G16" s="11" t="n">
        <f aca="false">店舗群別PL!G20+店舗群別PL!G42+店舗群別PL!G64+店舗群別PL!G86+店舗群別PL!G108</f>
        <v>219.78</v>
      </c>
      <c r="H16" s="42" t="n">
        <f aca="false">SUM(C16:G16)</f>
        <v>586.08</v>
      </c>
    </row>
    <row r="17" customFormat="false" ht="15" hidden="false" customHeight="false" outlineLevel="0" collapsed="false">
      <c r="A17" s="20" t="s">
        <v>139</v>
      </c>
      <c r="B17" s="53" t="n">
        <f aca="false">IF($G$5=0,0,G17/$G$5)</f>
        <v>0.0185403726708075</v>
      </c>
      <c r="C17" s="11" t="n">
        <f aca="false">店舗群別PL!C21+店舗群別PL!C43+店舗群別PL!C65+店舗群別PL!C87+店舗群別PL!C109</f>
        <v>5.782</v>
      </c>
      <c r="D17" s="11" t="n">
        <f aca="false">店舗群別PL!D21+店舗群別PL!D43+店舗群別PL!D65+店舗群別PL!D87+店舗群別PL!D109</f>
        <v>15.5855</v>
      </c>
      <c r="E17" s="11" t="n">
        <f aca="false">店舗群別PL!E21+店舗群別PL!E43+店舗群別PL!E65+店舗群別PL!E87+店舗群別PL!E109</f>
        <v>32.9455</v>
      </c>
      <c r="F17" s="11" t="n">
        <f aca="false">店舗群別PL!F21+店舗群別PL!F43+店舗群別PL!F65+店舗群別PL!F87+店舗群別PL!F109</f>
        <v>50.9495</v>
      </c>
      <c r="G17" s="11" t="n">
        <f aca="false">店舗群別PL!G21+店舗群別PL!G43+店舗群別PL!G65+店舗群別PL!G87+店舗群別PL!G109</f>
        <v>68.9535</v>
      </c>
      <c r="H17" s="42" t="n">
        <f aca="false">SUM(C17:G17)</f>
        <v>174.216</v>
      </c>
    </row>
    <row r="18" customFormat="false" ht="15" hidden="false" customHeight="false" outlineLevel="0" collapsed="false">
      <c r="A18" s="20" t="s">
        <v>151</v>
      </c>
      <c r="B18" s="53" t="n">
        <f aca="false">IF($G$5=0,0,G18/$G$5)</f>
        <v>0.025</v>
      </c>
      <c r="C18" s="11" t="n">
        <f aca="false">店舗群別PL!C22+店舗群別PL!C44+店舗群別PL!C66+店舗群別PL!C88+店舗群別PL!C110</f>
        <v>10.35</v>
      </c>
      <c r="D18" s="11" t="n">
        <f aca="false">店舗群別PL!D22+店舗群別PL!D44+店舗群別PL!D66+店舗群別PL!D88+店舗群別PL!D110</f>
        <v>24.2075</v>
      </c>
      <c r="E18" s="11" t="n">
        <f aca="false">店舗群別PL!E22+店舗群別PL!E44+店舗群別PL!E66+店舗群別PL!E88+店舗群別PL!E110</f>
        <v>46.9775</v>
      </c>
      <c r="F18" s="11" t="n">
        <f aca="false">店舗群別PL!F22+店舗群別PL!F44+店舗群別PL!F66+店舗群別PL!F88+店舗群別PL!F110</f>
        <v>69.9775</v>
      </c>
      <c r="G18" s="11" t="n">
        <f aca="false">店舗群別PL!G22+店舗群別PL!G44+店舗群別PL!G66+店舗群別PL!G88+店舗群別PL!G110</f>
        <v>92.9775</v>
      </c>
      <c r="H18" s="42" t="n">
        <f aca="false">SUM(C18:G18)</f>
        <v>244.49</v>
      </c>
    </row>
    <row r="19" customFormat="false" ht="15" hidden="false" customHeight="false" outlineLevel="0" collapsed="false">
      <c r="A19" s="13" t="s">
        <v>161</v>
      </c>
      <c r="B19" s="53" t="n">
        <f aca="false">IF($G$5=0,0,G19/$G$5)</f>
        <v>0.155471054825092</v>
      </c>
      <c r="C19" s="12" t="n">
        <f aca="false">店舗群別PL!C23+店舗群別PL!C45+店舗群別PL!C67+店舗群別PL!C89+店舗群別PL!C111</f>
        <v>52.448</v>
      </c>
      <c r="D19" s="12" t="n">
        <f aca="false">店舗群別PL!D23+店舗群別PL!D45+店舗群別PL!D67+店舗群別PL!D89+店舗群別PL!D111</f>
        <v>131.5412</v>
      </c>
      <c r="E19" s="12" t="n">
        <f aca="false">店舗群別PL!E23+店舗群別PL!E45+店舗群別PL!E67+店舗群別PL!E89+店舗群別PL!E111</f>
        <v>273.6604</v>
      </c>
      <c r="F19" s="12" t="n">
        <f aca="false">店舗群別PL!F23+店舗群別PL!F45+店舗群別PL!F67+店舗群別PL!F89+店舗群別PL!F111</f>
        <v>425.9364</v>
      </c>
      <c r="G19" s="12" t="n">
        <f aca="false">店舗群別PL!G23+店舗群別PL!G45+店舗群別PL!G67+店舗群別PL!G89+店舗群別PL!G111</f>
        <v>578.2124</v>
      </c>
      <c r="H19" s="42" t="n">
        <f aca="false">SUM(C19:G19)</f>
        <v>1461.7984</v>
      </c>
    </row>
    <row r="20" customFormat="false" ht="15" hidden="false" customHeight="false" outlineLevel="0" collapsed="false">
      <c r="A20" s="9" t="s">
        <v>23</v>
      </c>
      <c r="B20" s="53" t="n">
        <f aca="false">IF($G$5=0,0,G20/$G$5)</f>
        <v>0.0147885241052943</v>
      </c>
      <c r="C20" s="11" t="n">
        <f aca="false">前提条件!B56</f>
        <v>15</v>
      </c>
      <c r="D20" s="11" t="n">
        <f aca="false">前提条件!C56</f>
        <v>28</v>
      </c>
      <c r="E20" s="11" t="n">
        <f aca="false">前提条件!D56</f>
        <v>40</v>
      </c>
      <c r="F20" s="11" t="n">
        <f aca="false">前提条件!E56</f>
        <v>48</v>
      </c>
      <c r="G20" s="11" t="n">
        <f aca="false">前提条件!F56</f>
        <v>55</v>
      </c>
      <c r="H20" s="42" t="n">
        <f aca="false">SUM(C20:G20)</f>
        <v>186</v>
      </c>
    </row>
    <row r="21" customFormat="false" ht="15" hidden="false" customHeight="false" outlineLevel="0" collapsed="false">
      <c r="A21" s="13" t="s">
        <v>24</v>
      </c>
      <c r="B21" s="53" t="n">
        <f aca="false">IF($G$5=0,0,G21/$G$5)</f>
        <v>0.140682530719798</v>
      </c>
      <c r="C21" s="44" t="n">
        <f aca="false">C19-C20</f>
        <v>37.448</v>
      </c>
      <c r="D21" s="44" t="n">
        <f aca="false">D19-D20</f>
        <v>103.5412</v>
      </c>
      <c r="E21" s="44" t="n">
        <f aca="false">E19-E20</f>
        <v>233.6604</v>
      </c>
      <c r="F21" s="44" t="n">
        <f aca="false">F19-F20</f>
        <v>377.9364</v>
      </c>
      <c r="G21" s="44" t="n">
        <f aca="false">G19-G20</f>
        <v>523.2124</v>
      </c>
      <c r="H21" s="42" t="n">
        <f aca="false">SUM(C21:G21)</f>
        <v>1275.7984</v>
      </c>
    </row>
    <row r="22" customFormat="false" ht="15" hidden="false" customHeight="false" outlineLevel="0" collapsed="false">
      <c r="A22" s="13" t="s">
        <v>25</v>
      </c>
      <c r="C22" s="46" t="n">
        <f aca="false">IF(C5=0,0,C21/C5)</f>
        <v>0.0904541062801933</v>
      </c>
      <c r="D22" s="46" t="n">
        <f aca="false">IF(D5=0,0,D21/D5)</f>
        <v>0.106930909841991</v>
      </c>
      <c r="E22" s="46" t="n">
        <f aca="false">IF(E5=0,0,E21/E5)</f>
        <v>0.124346974615507</v>
      </c>
      <c r="F22" s="46" t="n">
        <f aca="false">IF(F5=0,0,F21/F5)</f>
        <v>0.135020685220249</v>
      </c>
      <c r="G22" s="46" t="n">
        <f aca="false">IF(G5=0,0,G21/G5)</f>
        <v>0.140682530719798</v>
      </c>
      <c r="H22" s="30" t="n">
        <f aca="false">H21/H5</f>
        <v>0.130455069737004</v>
      </c>
    </row>
    <row r="23" customFormat="false" ht="15" hidden="false" customHeight="false" outlineLevel="0" collapsed="false">
      <c r="A23" s="9" t="s">
        <v>26</v>
      </c>
      <c r="B23" s="53" t="n">
        <f aca="false">IF($G$5=0,0,G23/$G$5)</f>
        <v>0.045434379285311</v>
      </c>
      <c r="C23" s="11" t="n">
        <f aca="false">店舗群別PL!C24+店舗群別PL!C46+店舗群別PL!C68+店舗群別PL!C90+店舗群別PL!C112</f>
        <v>20.8</v>
      </c>
      <c r="D23" s="11" t="n">
        <f aca="false">店舗群別PL!D24+店舗群別PL!D46+店舗群別PL!D68+店舗群別PL!D90+店舗群別PL!D112</f>
        <v>46.8</v>
      </c>
      <c r="E23" s="11" t="n">
        <f aca="false">店舗群別PL!E24+店舗群別PL!E46+店舗群別PL!E68+店舗群別PL!E90+店舗群別PL!E112</f>
        <v>87.775</v>
      </c>
      <c r="F23" s="11" t="n">
        <f aca="false">店舗群別PL!F24+店舗群別PL!F46+店舗群別PL!F68+店舗群別PL!F90+店舗群別PL!F112</f>
        <v>128.375</v>
      </c>
      <c r="G23" s="11" t="n">
        <f aca="false">店舗群別PL!G24+店舗群別PL!G46+店舗群別PL!G68+店舗群別PL!G90+店舗群別PL!G112</f>
        <v>168.975</v>
      </c>
      <c r="H23" s="42" t="n">
        <f aca="false">SUM(C23:G23)</f>
        <v>452.725</v>
      </c>
    </row>
    <row r="24" customFormat="false" ht="15" hidden="false" customHeight="false" outlineLevel="0" collapsed="false">
      <c r="A24" s="13" t="s">
        <v>27</v>
      </c>
      <c r="B24" s="53" t="n">
        <f aca="false">IF($G$5=0,0,G24/$G$5)</f>
        <v>0.0952481514344868</v>
      </c>
      <c r="C24" s="44" t="n">
        <f aca="false">C21-C23</f>
        <v>16.648</v>
      </c>
      <c r="D24" s="44" t="n">
        <f aca="false">D21-D23</f>
        <v>56.7412</v>
      </c>
      <c r="E24" s="44" t="n">
        <f aca="false">E21-E23</f>
        <v>145.8854</v>
      </c>
      <c r="F24" s="44" t="n">
        <f aca="false">F21-F23</f>
        <v>249.5614</v>
      </c>
      <c r="G24" s="44" t="n">
        <f aca="false">G21-G23</f>
        <v>354.2374</v>
      </c>
      <c r="H24" s="42" t="n">
        <f aca="false">SUM(C24:G24)</f>
        <v>823.0734</v>
      </c>
    </row>
    <row r="25" customFormat="false" ht="15" hidden="false" customHeight="false" outlineLevel="0" collapsed="false">
      <c r="A25" s="13" t="s">
        <v>28</v>
      </c>
      <c r="C25" s="46" t="n">
        <f aca="false">IF(C5=0,0,C24/C5)</f>
        <v>0.0402125603864735</v>
      </c>
      <c r="D25" s="46" t="n">
        <f aca="false">IF(D5=0,0,D24/D5)</f>
        <v>0.0585987813694103</v>
      </c>
      <c r="E25" s="46" t="n">
        <f aca="false">IF(E5=0,0,E24/E5)</f>
        <v>0.0776357830876483</v>
      </c>
      <c r="F25" s="46" t="n">
        <f aca="false">IF(F5=0,0,F24/F5)</f>
        <v>0.0891577292701225</v>
      </c>
      <c r="G25" s="46" t="n">
        <f aca="false">IF(G5=0,0,G24/G5)</f>
        <v>0.0952481514344868</v>
      </c>
      <c r="H25" s="30" t="n">
        <f aca="false">H24/H5</f>
        <v>0.084162276575729</v>
      </c>
    </row>
    <row r="27" customFormat="false" ht="15" hidden="false" customHeight="false" outlineLevel="0" collapsed="false">
      <c r="A27" s="6" t="s">
        <v>162</v>
      </c>
    </row>
    <row r="28" customFormat="false" ht="15" hidden="false" customHeight="false" outlineLevel="0" collapsed="false">
      <c r="A28" s="25" t="s">
        <v>163</v>
      </c>
    </row>
    <row r="29" customFormat="false" ht="15" hidden="false" customHeight="false" outlineLevel="0" collapsed="false">
      <c r="A29" s="2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8" min="3" style="0" width="14"/>
  </cols>
  <sheetData>
    <row r="1" customFormat="false" ht="15" hidden="false" customHeight="false" outlineLevel="0" collapsed="false">
      <c r="A1" s="1" t="s">
        <v>165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166</v>
      </c>
    </row>
    <row r="3" customFormat="false" ht="15" hidden="false" customHeight="false" outlineLevel="0" collapsed="false">
      <c r="A3" s="7" t="s">
        <v>18</v>
      </c>
      <c r="C3" s="8" t="s">
        <v>3</v>
      </c>
      <c r="D3" s="8" t="s">
        <v>6</v>
      </c>
      <c r="E3" s="8" t="s">
        <v>9</v>
      </c>
      <c r="F3" s="8" t="s">
        <v>12</v>
      </c>
      <c r="G3" s="8" t="s">
        <v>15</v>
      </c>
      <c r="H3" s="8" t="s">
        <v>19</v>
      </c>
    </row>
    <row r="4" customFormat="false" ht="15" hidden="false" customHeight="false" outlineLevel="0" collapsed="false">
      <c r="A4" s="9" t="s">
        <v>36</v>
      </c>
      <c r="C4" s="10" t="n">
        <f aca="false">前提条件!B54</f>
        <v>1</v>
      </c>
      <c r="D4" s="10" t="n">
        <f aca="false">前提条件!C54</f>
        <v>2</v>
      </c>
      <c r="E4" s="10" t="n">
        <f aca="false">前提条件!D54</f>
        <v>2</v>
      </c>
      <c r="F4" s="10" t="n">
        <f aca="false">前提条件!E54</f>
        <v>2</v>
      </c>
      <c r="G4" s="10" t="n">
        <f aca="false">前提条件!F54</f>
        <v>2</v>
      </c>
      <c r="H4" s="55" t="n">
        <f aca="false">SUM(C4:G4)</f>
        <v>9</v>
      </c>
    </row>
    <row r="5" customFormat="false" ht="15" hidden="false" customHeight="false" outlineLevel="0" collapsed="false">
      <c r="A5" s="9" t="s">
        <v>20</v>
      </c>
      <c r="C5" s="10" t="n">
        <f aca="false">前提条件!B55</f>
        <v>1</v>
      </c>
      <c r="D5" s="10" t="n">
        <f aca="false">前提条件!C55</f>
        <v>3</v>
      </c>
      <c r="E5" s="10" t="n">
        <f aca="false">前提条件!D55</f>
        <v>5</v>
      </c>
      <c r="F5" s="10" t="n">
        <f aca="false">前提条件!E55</f>
        <v>7</v>
      </c>
      <c r="G5" s="10" t="n">
        <f aca="false">前提条件!F55</f>
        <v>9</v>
      </c>
    </row>
    <row r="6" customFormat="false" ht="15" hidden="false" customHeight="false" outlineLevel="0" collapsed="false">
      <c r="A6" s="9" t="s">
        <v>37</v>
      </c>
      <c r="C6" s="41" t="n">
        <f aca="false">-C4*前提条件!$B$39</f>
        <v>-247</v>
      </c>
      <c r="D6" s="41" t="n">
        <f aca="false">-D4*前提条件!$B$39</f>
        <v>-494</v>
      </c>
      <c r="E6" s="41" t="n">
        <f aca="false">-E4*前提条件!$C$39</f>
        <v>-484</v>
      </c>
      <c r="F6" s="41" t="n">
        <f aca="false">-F4*前提条件!$C$39</f>
        <v>-484</v>
      </c>
      <c r="G6" s="41" t="n">
        <f aca="false">-G4*前提条件!$C$39</f>
        <v>-484</v>
      </c>
      <c r="H6" s="42" t="n">
        <f aca="false">SUM(C6:G6)</f>
        <v>-2193</v>
      </c>
    </row>
    <row r="7" customFormat="false" ht="15" hidden="false" customHeight="false" outlineLevel="0" collapsed="false">
      <c r="A7" s="9" t="s">
        <v>167</v>
      </c>
      <c r="C7" s="41" t="n">
        <f aca="false">C4*前提条件!$B$47</f>
        <v>138.9</v>
      </c>
      <c r="D7" s="41" t="n">
        <f aca="false">D4*前提条件!$B$47</f>
        <v>277.8</v>
      </c>
      <c r="E7" s="41" t="n">
        <f aca="false">E4*前提条件!$B$47</f>
        <v>277.8</v>
      </c>
      <c r="F7" s="41" t="n">
        <f aca="false">F4*前提条件!$B$47</f>
        <v>277.8</v>
      </c>
      <c r="G7" s="41" t="n">
        <f aca="false">G4*前提条件!$B$47</f>
        <v>277.8</v>
      </c>
      <c r="H7" s="42" t="n">
        <f aca="false">SUM(C7:G7)</f>
        <v>1250.1</v>
      </c>
    </row>
    <row r="8" customFormat="false" ht="15" hidden="false" customHeight="false" outlineLevel="0" collapsed="false">
      <c r="A8" s="13" t="s">
        <v>38</v>
      </c>
      <c r="C8" s="42" t="n">
        <f aca="false">C6+C7</f>
        <v>-108.1</v>
      </c>
      <c r="D8" s="42" t="n">
        <f aca="false">D6+D7</f>
        <v>-216.2</v>
      </c>
      <c r="E8" s="42" t="n">
        <f aca="false">E6+E7</f>
        <v>-206.2</v>
      </c>
      <c r="F8" s="42" t="n">
        <f aca="false">F6+F7</f>
        <v>-206.2</v>
      </c>
      <c r="G8" s="42" t="n">
        <f aca="false">G6+G7</f>
        <v>-206.2</v>
      </c>
      <c r="H8" s="42" t="n">
        <f aca="false">SUM(C8:G8)</f>
        <v>-942.9</v>
      </c>
    </row>
    <row r="9" customFormat="false" ht="15" hidden="false" customHeight="false" outlineLevel="0" collapsed="false">
      <c r="A9" s="9" t="s">
        <v>168</v>
      </c>
      <c r="C9" s="41" t="n">
        <f aca="false">-(IF(店舗群別PL!C8=0,0,前提条件!$B$48*店舗群別PL!$B$6*IF(店舗群別PL!C8=1,店舗群別PL!$B$7/12,1))+IF(店舗群別PL!C30=0,0,前提条件!$B$48*店舗群別PL!$B$28*IF(店舗群別PL!C30=1,店舗群別PL!$B$29/12,1))+IF(店舗群別PL!C52=0,0,前提条件!$B$48*店舗群別PL!$B$50*IF(店舗群別PL!C52=1,店舗群別PL!$B$51/12,1))+IF(店舗群別PL!C74=0,0,前提条件!$B$48*店舗群別PL!$B$72*IF(店舗群別PL!C74=1,店舗群別PL!$B$73/12,1))+IF(店舗群別PL!C96=0,0,前提条件!$B$48*店舗群別PL!$B$94*IF(店舗群別PL!C96=1,店舗群別PL!$B$95/12,1)))</f>
        <v>-15.6</v>
      </c>
      <c r="D9" s="41" t="n">
        <f aca="false">-(IF(店舗群別PL!D8=0,0,前提条件!$B$48*店舗群別PL!$B$6*IF(店舗群別PL!D8=1,店舗群別PL!$B$7/12,1))+IF(店舗群別PL!D30=0,0,前提条件!$B$48*店舗群別PL!$B$28*IF(店舗群別PL!D30=1,店舗群別PL!$B$29/12,1))+IF(店舗群別PL!D52=0,0,前提条件!$B$48*店舗群別PL!$B$50*IF(店舗群別PL!D52=1,店舗群別PL!$B$51/12,1))+IF(店舗群別PL!D74=0,0,前提条件!$B$48*店舗群別PL!$B$72*IF(店舗群別PL!D74=1,店舗群別PL!$B$73/12,1))+IF(店舗群別PL!D96=0,0,前提条件!$B$48*店舗群別PL!$B$94*IF(店舗群別PL!D96=1,店舗群別PL!$B$95/12,1)))</f>
        <v>-35.1</v>
      </c>
      <c r="E9" s="41" t="n">
        <f aca="false">-(IF(店舗群別PL!E8=0,0,前提条件!$B$48*店舗群別PL!$B$6*IF(店舗群別PL!E8=1,店舗群別PL!$B$7/12,1))+IF(店舗群別PL!E30=0,0,前提条件!$B$48*店舗群別PL!$B$28*IF(店舗群別PL!E30=1,店舗群別PL!$B$29/12,1))+IF(店舗群別PL!E52=0,0,前提条件!$B$48*店舗群別PL!$B$50*IF(店舗群別PL!E52=1,店舗群別PL!$B$51/12,1))+IF(店舗群別PL!E74=0,0,前提条件!$B$48*店舗群別PL!$B$72*IF(店舗群別PL!E74=1,店舗群別PL!$B$73/12,1))+IF(店舗群別PL!E96=0,0,前提条件!$B$48*店舗群別PL!$B$94*IF(店舗群別PL!E96=1,店舗群別PL!$B$95/12,1)))</f>
        <v>-66.3</v>
      </c>
      <c r="F9" s="41" t="n">
        <f aca="false">-(IF(店舗群別PL!F8=0,0,前提条件!$B$48*店舗群別PL!$B$6*IF(店舗群別PL!F8=1,店舗群別PL!$B$7/12,1))+IF(店舗群別PL!F30=0,0,前提条件!$B$48*店舗群別PL!$B$28*IF(店舗群別PL!F30=1,店舗群別PL!$B$29/12,1))+IF(店舗群別PL!F52=0,0,前提条件!$B$48*店舗群別PL!$B$50*IF(店舗群別PL!F52=1,店舗群別PL!$B$51/12,1))+IF(店舗群別PL!F74=0,0,前提条件!$B$48*店舗群別PL!$B$72*IF(店舗群別PL!F74=1,店舗群別PL!$B$73/12,1))+IF(店舗群別PL!F96=0,0,前提条件!$B$48*店舗群別PL!$B$94*IF(店舗群別PL!F96=1,店舗群別PL!$B$95/12,1)))</f>
        <v>-97.5</v>
      </c>
      <c r="G9" s="41" t="n">
        <f aca="false">-(IF(店舗群別PL!G8=0,0,前提条件!$B$48*店舗群別PL!$B$6*IF(店舗群別PL!G8=1,店舗群別PL!$B$7/12,1))+IF(店舗群別PL!G30=0,0,前提条件!$B$48*店舗群別PL!$B$28*IF(店舗群別PL!G30=1,店舗群別PL!$B$29/12,1))+IF(店舗群別PL!G52=0,0,前提条件!$B$48*店舗群別PL!$B$50*IF(店舗群別PL!G52=1,店舗群別PL!$B$51/12,1))+IF(店舗群別PL!G74=0,0,前提条件!$B$48*店舗群別PL!$B$72*IF(店舗群別PL!G74=1,店舗群別PL!$B$73/12,1))+IF(店舗群別PL!G96=0,0,前提条件!$B$48*店舗群別PL!$B$94*IF(店舗群別PL!G96=1,店舗群別PL!$B$95/12,1)))</f>
        <v>-128.7</v>
      </c>
      <c r="H9" s="42" t="n">
        <f aca="false">SUM(C9:G9)</f>
        <v>-343.2</v>
      </c>
    </row>
    <row r="10" customFormat="false" ht="15" hidden="false" customHeight="false" outlineLevel="0" collapsed="false">
      <c r="A10" s="13" t="s">
        <v>169</v>
      </c>
      <c r="C10" s="42" t="n">
        <f aca="false">C8+C9</f>
        <v>-123.7</v>
      </c>
      <c r="D10" s="42" t="n">
        <f aca="false">D8+D9</f>
        <v>-251.3</v>
      </c>
      <c r="E10" s="42" t="n">
        <f aca="false">E8+E9</f>
        <v>-272.5</v>
      </c>
      <c r="F10" s="42" t="n">
        <f aca="false">F8+F9</f>
        <v>-303.7</v>
      </c>
      <c r="G10" s="42" t="n">
        <f aca="false">G8+G9</f>
        <v>-334.9</v>
      </c>
      <c r="H10" s="42" t="n">
        <f aca="false">SUM(C10:G10)</f>
        <v>-1286.1</v>
      </c>
    </row>
    <row r="11" customFormat="false" ht="15" hidden="false" customHeight="false" outlineLevel="0" collapsed="false">
      <c r="A11" s="13" t="s">
        <v>24</v>
      </c>
      <c r="C11" s="54" t="n">
        <f aca="false">5カ年連結PL!C21</f>
        <v>37.448</v>
      </c>
      <c r="D11" s="54" t="n">
        <f aca="false">5カ年連結PL!D21</f>
        <v>103.5412</v>
      </c>
      <c r="E11" s="54" t="n">
        <f aca="false">5カ年連結PL!E21</f>
        <v>233.6604</v>
      </c>
      <c r="F11" s="54" t="n">
        <f aca="false">5カ年連結PL!F21</f>
        <v>377.9364</v>
      </c>
      <c r="G11" s="54" t="n">
        <f aca="false">5カ年連結PL!G21</f>
        <v>523.2124</v>
      </c>
      <c r="H11" s="42" t="n">
        <f aca="false">SUM(C11:G11)</f>
        <v>1275.7984</v>
      </c>
    </row>
    <row r="12" customFormat="false" ht="15" hidden="false" customHeight="false" outlineLevel="0" collapsed="false">
      <c r="A12" s="13" t="s">
        <v>40</v>
      </c>
      <c r="C12" s="44" t="n">
        <f aca="false">C11+C10</f>
        <v>-86.252</v>
      </c>
      <c r="D12" s="44" t="n">
        <f aca="false">D11+D10</f>
        <v>-147.7588</v>
      </c>
      <c r="E12" s="44" t="n">
        <f aca="false">E11+E10</f>
        <v>-38.8396</v>
      </c>
      <c r="F12" s="44" t="n">
        <f aca="false">F11+F10</f>
        <v>74.2364</v>
      </c>
      <c r="G12" s="44" t="n">
        <f aca="false">G11+G10</f>
        <v>188.3124</v>
      </c>
      <c r="H12" s="42" t="n">
        <f aca="false">SUM(C12:G12)</f>
        <v>-10.3016000000001</v>
      </c>
    </row>
    <row r="13" customFormat="false" ht="15" hidden="false" customHeight="false" outlineLevel="0" collapsed="false">
      <c r="A13" s="13" t="s">
        <v>41</v>
      </c>
      <c r="C13" s="42" t="n">
        <f aca="false">C12</f>
        <v>-86.252</v>
      </c>
      <c r="D13" s="42" t="n">
        <f aca="false">C13+D12</f>
        <v>-234.0108</v>
      </c>
      <c r="E13" s="42" t="n">
        <f aca="false">D13+E12</f>
        <v>-272.8504</v>
      </c>
      <c r="F13" s="42" t="n">
        <f aca="false">E13+F12</f>
        <v>-198.614</v>
      </c>
      <c r="G13" s="42" t="n">
        <f aca="false">F13+G12</f>
        <v>-10.3016000000001</v>
      </c>
    </row>
    <row r="15" customFormat="false" ht="15" hidden="false" customHeight="false" outlineLevel="0" collapsed="false">
      <c r="A15" s="3" t="s">
        <v>170</v>
      </c>
      <c r="B15" s="3"/>
      <c r="C15" s="3"/>
      <c r="D15" s="3"/>
      <c r="E15" s="3"/>
      <c r="F15" s="3"/>
      <c r="G15" s="3"/>
      <c r="H15" s="3"/>
    </row>
    <row r="16" customFormat="false" ht="15" hidden="false" customHeight="false" outlineLevel="0" collapsed="false">
      <c r="A16" s="2" t="s">
        <v>171</v>
      </c>
    </row>
    <row r="17" customFormat="false" ht="15" hidden="false" customHeight="false" outlineLevel="0" collapsed="false">
      <c r="A17" s="2" t="s">
        <v>172</v>
      </c>
    </row>
    <row r="18" customFormat="false" ht="15" hidden="false" customHeight="false" outlineLevel="0" collapsed="false">
      <c r="A18" s="2" t="s">
        <v>173</v>
      </c>
    </row>
    <row r="20" customFormat="false" ht="15" hidden="false" customHeight="false" outlineLevel="0" collapsed="false">
      <c r="A20" s="3" t="s">
        <v>174</v>
      </c>
      <c r="B20" s="3"/>
      <c r="C20" s="3"/>
      <c r="D20" s="3"/>
      <c r="E20" s="3"/>
      <c r="F20" s="3"/>
      <c r="G20" s="3"/>
      <c r="H20" s="3"/>
    </row>
    <row r="21" customFormat="false" ht="15" hidden="false" customHeight="false" outlineLevel="0" collapsed="false">
      <c r="A21" s="7" t="s">
        <v>18</v>
      </c>
      <c r="C21" s="8" t="s">
        <v>31</v>
      </c>
      <c r="D21" s="8" t="s">
        <v>32</v>
      </c>
      <c r="E21" s="8" t="s">
        <v>175</v>
      </c>
      <c r="F21" s="8" t="s">
        <v>176</v>
      </c>
      <c r="G21" s="8" t="s">
        <v>177</v>
      </c>
    </row>
    <row r="22" customFormat="false" ht="15" hidden="false" customHeight="false" outlineLevel="0" collapsed="false">
      <c r="A22" s="18" t="s">
        <v>34</v>
      </c>
      <c r="C22" s="11" t="n">
        <f aca="false">単店モデルPL!C19</f>
        <v>52.448</v>
      </c>
      <c r="D22" s="11" t="n">
        <f aca="false">単店モデルPL!D19</f>
        <v>65.9812</v>
      </c>
      <c r="E22" s="11" t="n">
        <f aca="false">単店モデルPL!E19</f>
        <v>76.138</v>
      </c>
      <c r="F22" s="11" t="n">
        <f aca="false">単店モデルPL!E19</f>
        <v>76.138</v>
      </c>
      <c r="G22" s="11" t="n">
        <f aca="false">単店モデルPL!E19</f>
        <v>76.138</v>
      </c>
    </row>
    <row r="23" customFormat="false" ht="15" hidden="false" customHeight="false" outlineLevel="0" collapsed="false">
      <c r="A23" s="9" t="s">
        <v>178</v>
      </c>
      <c r="C23" s="41" t="n">
        <f aca="false">-前提条件!$B$48</f>
        <v>-15.6</v>
      </c>
      <c r="D23" s="41" t="n">
        <f aca="false">-前提条件!$B$48</f>
        <v>-15.6</v>
      </c>
      <c r="E23" s="41" t="n">
        <f aca="false">-前提条件!$B$48</f>
        <v>-15.6</v>
      </c>
      <c r="F23" s="41" t="n">
        <f aca="false">-前提条件!$B$48</f>
        <v>-15.6</v>
      </c>
      <c r="G23" s="41" t="n">
        <f aca="false">-前提条件!$B$48</f>
        <v>-15.6</v>
      </c>
    </row>
    <row r="24" customFormat="false" ht="15" hidden="false" customHeight="false" outlineLevel="0" collapsed="false">
      <c r="A24" s="13" t="s">
        <v>179</v>
      </c>
      <c r="C24" s="42" t="n">
        <f aca="false">C22+C23</f>
        <v>36.848</v>
      </c>
      <c r="D24" s="42" t="n">
        <f aca="false">D22+D23</f>
        <v>50.3812</v>
      </c>
      <c r="E24" s="42" t="n">
        <f aca="false">E22+E23</f>
        <v>60.538</v>
      </c>
      <c r="F24" s="42" t="n">
        <f aca="false">F22+F23</f>
        <v>60.538</v>
      </c>
      <c r="G24" s="42" t="n">
        <f aca="false">G22+G23</f>
        <v>60.538</v>
      </c>
    </row>
    <row r="25" customFormat="false" ht="15" hidden="false" customHeight="false" outlineLevel="0" collapsed="false">
      <c r="A25" s="13" t="s">
        <v>180</v>
      </c>
      <c r="C25" s="44" t="n">
        <f aca="false">-(前提条件!$B$39-前提条件!$B$47)+C24</f>
        <v>-71.252</v>
      </c>
      <c r="D25" s="44" t="n">
        <f aca="false">C25+D24</f>
        <v>-20.8708</v>
      </c>
      <c r="E25" s="44" t="n">
        <f aca="false">D25+E24</f>
        <v>39.6672</v>
      </c>
      <c r="F25" s="44" t="n">
        <f aca="false">E25+F24</f>
        <v>100.2052</v>
      </c>
      <c r="G25" s="44" t="n">
        <f aca="false">F25+G24</f>
        <v>160.7432</v>
      </c>
    </row>
    <row r="27" customFormat="false" ht="15" hidden="false" customHeight="false" outlineLevel="0" collapsed="false">
      <c r="A27" s="6" t="s">
        <v>181</v>
      </c>
    </row>
    <row r="28" customFormat="false" ht="15" hidden="false" customHeight="false" outlineLevel="0" collapsed="false">
      <c r="A28" s="2" t="s">
        <v>182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2026-08-18T16:00:29Z</dcterms:created>
  <dc:creator>openpyxl</dc:creator>
  <dc:description/>
  <dc:language>en-US</dc:language>
  <cp:lastModifiedBy/>
  <dcterms:modified xsi:type="dcterms:W3CDTF">2026-08-18T16:00:29Z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