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前提条件" sheetId="2" state="visible" r:id="rId2"/>
    <sheet name="単店モデルPL" sheetId="3" state="visible" r:id="rId3"/>
    <sheet name="店舗群別PL" sheetId="4" state="visible" r:id="rId4"/>
    <sheet name="5カ年連結PL" sheetId="5" state="visible" r:id="rId5"/>
    <sheet name="投資・キャッシュフロー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(#,##0.0);-"/>
    <numFmt numFmtId="165" formatCode="0.0%;(0.0%);-"/>
    <numFmt numFmtId="166" formatCode="#,##0;(#,##0);-"/>
  </numFmts>
  <fonts count="14">
    <font>
      <name val="Calibri"/>
      <family val="2"/>
      <color theme="1"/>
      <sz val="11"/>
      <scheme val="minor"/>
    </font>
    <font>
      <name val="Meiryo"/>
      <b val="1"/>
      <color rgb="00FFFFFF"/>
      <sz val="11"/>
    </font>
    <font>
      <name val="Meiryo"/>
      <color rgb="007F7F7F"/>
      <sz val="9"/>
    </font>
    <font>
      <name val="Meiryo"/>
      <b val="1"/>
      <color rgb="00000000"/>
      <sz val="10"/>
    </font>
    <font>
      <name val="Meiryo"/>
      <color rgb="00000000"/>
      <sz val="10"/>
    </font>
    <font>
      <name val="Meiryo"/>
      <color rgb="000000FF"/>
      <sz val="10"/>
    </font>
    <font>
      <name val="Meiryo"/>
      <b val="1"/>
      <sz val="9"/>
    </font>
    <font>
      <name val="Meiryo"/>
      <b val="1"/>
      <color rgb="00000000"/>
      <sz val="9"/>
    </font>
    <font>
      <name val="Meiryo"/>
      <b val="1"/>
      <color rgb="00C00000"/>
      <sz val="9"/>
    </font>
    <font>
      <name val="Meiryo"/>
      <color rgb="00008000"/>
      <sz val="10"/>
    </font>
    <font>
      <name val="Meiryo"/>
      <color rgb="00000000"/>
      <sz val="9"/>
    </font>
    <font>
      <name val="Meiryo"/>
      <b val="1"/>
      <color rgb="00008000"/>
      <sz val="10"/>
    </font>
    <font>
      <name val="Meiryo"/>
      <b val="1"/>
      <color rgb="00C00000"/>
      <sz val="10"/>
    </font>
    <font>
      <name val="Meiryo"/>
      <b val="1"/>
      <color rgb="00C00000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2" fillId="0" borderId="0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 vertical="center"/>
    </xf>
    <xf numFmtId="0" fontId="4" fillId="0" borderId="1" pivotButton="0" quotePrefix="0" xfId="0"/>
    <xf numFmtId="166" fontId="9" fillId="0" borderId="1" applyAlignment="1" pivotButton="0" quotePrefix="0" xfId="0">
      <alignment horizontal="center" vertical="center"/>
    </xf>
    <xf numFmtId="164" fontId="9" fillId="0" borderId="1" pivotButton="0" quotePrefix="0" xfId="0"/>
    <xf numFmtId="164" fontId="11" fillId="4" borderId="1" pivotButton="0" quotePrefix="0" xfId="0"/>
    <xf numFmtId="0" fontId="3" fillId="0" borderId="1" pivotButton="0" quotePrefix="0" xfId="0"/>
    <xf numFmtId="164" fontId="11" fillId="5" borderId="1" pivotButton="0" quotePrefix="0" xfId="0"/>
    <xf numFmtId="165" fontId="11" fillId="5" borderId="1" applyAlignment="1" pivotButton="0" quotePrefix="0" xfId="0">
      <alignment horizontal="center" vertical="center"/>
    </xf>
    <xf numFmtId="165" fontId="11" fillId="4" borderId="1" applyAlignment="1" pivotButton="0" quotePrefix="0" xfId="0">
      <alignment horizontal="center" vertical="center"/>
    </xf>
    <xf numFmtId="0" fontId="13" fillId="0" borderId="0" pivotButton="0" quotePrefix="0" xfId="0"/>
    <xf numFmtId="166" fontId="11" fillId="4" borderId="1" applyAlignment="1" pivotButton="0" quotePrefix="0" xfId="0">
      <alignment horizontal="center" vertical="center"/>
    </xf>
    <xf numFmtId="0" fontId="10" fillId="0" borderId="1" pivotButton="0" quotePrefix="0" xfId="0"/>
    <xf numFmtId="0" fontId="7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8" fillId="0" borderId="0" pivotButton="0" quotePrefix="0" xfId="0"/>
    <xf numFmtId="164" fontId="3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164" fontId="3" fillId="0" borderId="1" pivotButton="0" quotePrefix="0" xfId="0"/>
    <xf numFmtId="164" fontId="4" fillId="0" borderId="1" pivotButton="0" quotePrefix="0" xfId="0"/>
    <xf numFmtId="164" fontId="3" fillId="4" borderId="1" pivotButton="0" quotePrefix="0" xfId="0"/>
    <xf numFmtId="164" fontId="3" fillId="5" borderId="1" pivotButton="0" quotePrefix="0" xfId="0"/>
    <xf numFmtId="165" fontId="3" fillId="5" borderId="1" applyAlignment="1" pivotButton="0" quotePrefix="0" xfId="0">
      <alignment horizontal="center" vertical="center"/>
    </xf>
    <xf numFmtId="0" fontId="10" fillId="0" borderId="0" pivotButton="0" quotePrefix="0" xfId="0"/>
    <xf numFmtId="164" fontId="9" fillId="0" borderId="1" applyAlignment="1" pivotButton="0" quotePrefix="0" xfId="0">
      <alignment horizontal="center" vertical="center"/>
    </xf>
    <xf numFmtId="0" fontId="7" fillId="0" borderId="1" pivotButton="0" quotePrefix="0" xfId="0"/>
    <xf numFmtId="166" fontId="11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164" fontId="11" fillId="0" borderId="1" pivotButton="0" quotePrefix="0" xfId="0"/>
    <xf numFmtId="166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H52"/>
  <s:sheetViews>
    <s:sheetView showGridLines="0" workbookViewId="0">
      <s:selection activeCell="A1" sqref="A1"/>
    </s:sheetView>
  </s:sheetViews>
  <s:sheetFormatPr baseColWidth="8" defaultRowHeight="15"/>
  <s:cols>
    <s:col width="30" customWidth="1" min="1" max="1"/>
    <s:col width="20" customWidth="1" min="2" max="2"/>
    <s:col width="14" customWidth="1" min="3" max="3"/>
    <s:col width="14" customWidth="1" min="4" max="4"/>
    <s:col width="14" customWidth="1" min="5" max="5"/>
    <s:col width="14" customWidth="1" min="6" max="6"/>
    <s:col width="14" customWidth="1" min="7" max="7"/>
    <s:col width="14" customWidth="1" min="8" max="8"/>
  </s:cols>
  <s:sheetData>
    <s:row r="1">
      <s:c r="A1" s="1" t="inlineStr">
        <s:is>
          <s:t>BRASSERIE Thierry Marx（仮称）　5か年事業計画　FY2027-FY2031</s:t>
        </s:is>
      </s:c>
      <s:c r="B1" s="1" t="n"/>
      <s:c r="C1" s="1" t="n"/>
      <s:c r="D1" s="1" t="n"/>
      <s:c r="E1" s="1" t="n"/>
      <s:c r="F1" s="1" t="n"/>
      <s:c r="G1" s="1" t="n"/>
      <s:c r="H1" s="1" t="n"/>
    </s:row>
    <s:row r="2">
      <s:c r="A2" s="2" t="inlineStr">
        <s:is>
          <s:t>単位：百万円　／　FY＝4月〜翌3月　／　六本木ミッドタウン店 2026年8月3日提出P&amp;L 準拠</s:t>
        </s:is>
      </s:c>
    </s:row>
    <s:row r="3"/>
    <s:row r="4">
      <s:c r="A4" s="3" t="inlineStr">
        <s:is>
          <s:t>■ 出店ロードマップ</s:t>
        </s:is>
      </s:c>
      <s:c r="B4" s="3" t="n"/>
      <s:c r="C4" s="3" t="n"/>
      <s:c r="D4" s="3" t="n"/>
      <s:c r="E4" s="3" t="n"/>
      <s:c r="F4" s="3" t="n"/>
      <s:c r="G4" s="3" t="n"/>
      <s:c r="H4" s="3" t="n"/>
    </s:row>
    <s:row r="5">
      <s:c r="A5" s="4" t="inlineStr">
        <s:is>
          <s:t>FY2027</s:t>
        </s:is>
      </s:c>
      <s:c r="B5" s="5" t="inlineStr">
        <s:is>
          <s:t>六本木ミッドタウン 1店（2027年4月開業）</s:t>
        </s:is>
      </s:c>
      <s:c r="E5" s="6" t="inlineStr">
        <s:is>
          <s:t>期末 1店</s:t>
        </s:is>
      </s:c>
    </s:row>
    <s:row r="6">
      <s:c r="A6" s="4" t="inlineStr">
        <s:is>
          <s:t>FY2028</s:t>
        </s:is>
      </s:c>
      <s:c r="B6" s="5" t="inlineStr">
        <s:is>
          <s:t>札幌・大阪 2店</s:t>
        </s:is>
      </s:c>
      <s:c r="E6" s="6" t="inlineStr">
        <s:is>
          <s:t>期末 3店</s:t>
        </s:is>
      </s:c>
    </s:row>
    <s:row r="7">
      <s:c r="A7" s="4" t="inlineStr">
        <s:is>
          <s:t>FY2029</s:t>
        </s:is>
      </s:c>
      <s:c r="B7" s="5" t="inlineStr">
        <s:is>
          <s:t>首都圏・他政令指定都市 2店</s:t>
        </s:is>
      </s:c>
      <s:c r="E7" s="6" t="inlineStr">
        <s:is>
          <s:t>期末 5店</s:t>
        </s:is>
      </s:c>
    </s:row>
    <s:row r="8">
      <s:c r="A8" s="4" t="inlineStr">
        <s:is>
          <s:t>FY2030</s:t>
        </s:is>
      </s:c>
      <s:c r="B8" s="5" t="inlineStr">
        <s:is>
          <s:t>リゾート含め 年2店</s:t>
        </s:is>
      </s:c>
      <s:c r="E8" s="6" t="inlineStr">
        <s:is>
          <s:t>期末 7店</s:t>
        </s:is>
      </s:c>
    </s:row>
    <s:row r="9">
      <s:c r="A9" s="4" t="inlineStr">
        <s:is>
          <s:t>FY2031</s:t>
        </s:is>
      </s:c>
      <s:c r="B9" s="5" t="inlineStr">
        <s:is>
          <s:t>リゾート含め 年2店</s:t>
        </s:is>
      </s:c>
      <s:c r="E9" s="6" t="inlineStr">
        <s:is>
          <s:t>期末 9店</s:t>
        </s:is>
      </s:c>
    </s:row>
    <s:row r="10"/>
    <s:row r="11">
      <s:c r="A11" s="3" t="inlineStr">
        <s:is>
          <s:t>■ 連結業績サマリー</s:t>
        </s:is>
      </s:c>
      <s:c r="B11" s="3" t="n"/>
      <s:c r="C11" s="3" t="n"/>
      <s:c r="D11" s="3" t="n"/>
      <s:c r="E11" s="3" t="n"/>
      <s:c r="F11" s="3" t="n"/>
      <s:c r="G11" s="3" t="n"/>
      <s:c r="H11" s="3" t="n"/>
    </s:row>
    <s:row r="12">
      <s:c r="A12" s="7" t="inlineStr">
        <s:is>
          <s:t>項　目</s:t>
        </s:is>
      </s:c>
      <s:c r="C12" s="8" t="inlineStr">
        <s:is>
          <s:t>FY2027</s:t>
        </s:is>
      </s:c>
      <s:c r="D12" s="8" t="inlineStr">
        <s:is>
          <s:t>FY2028</s:t>
        </s:is>
      </s:c>
      <s:c r="E12" s="8" t="inlineStr">
        <s:is>
          <s:t>FY2029</s:t>
        </s:is>
      </s:c>
      <s:c r="F12" s="8" t="inlineStr">
        <s:is>
          <s:t>FY2030</s:t>
        </s:is>
      </s:c>
      <s:c r="G12" s="8" t="inlineStr">
        <s:is>
          <s:t>FY2031</s:t>
        </s:is>
      </s:c>
      <s:c r="H12" s="8" t="inlineStr">
        <s:is>
          <s:t>5年累計</s:t>
        </s:is>
      </s:c>
    </s:row>
    <s:row r="13">
      <s:c r="A13" s="9" t="inlineStr">
        <s:is>
          <s:t>期末店舗数（店）</s:t>
        </s:is>
      </s:c>
      <s:c r="C13" s="10">
        <s:f>'5カ年連結PL'!C4</s:f>
        <s:v>1.0</s:v>
      </s:c>
      <s:c r="D13" s="10">
        <s:f>'5カ年連結PL'!D4</s:f>
        <s:v>3.0</s:v>
      </s:c>
      <s:c r="E13" s="10">
        <s:f>'5カ年連結PL'!E4</s:f>
        <s:v>5.0</s:v>
      </s:c>
      <s:c r="F13" s="10">
        <s:f>'5カ年連結PL'!F4</s:f>
        <s:v>7.0</s:v>
      </s:c>
      <s:c r="G13" s="10">
        <s:f>'5カ年連結PL'!G4</s:f>
        <s:v>9.0</s:v>
      </s:c>
    </s:row>
    <s:row r="14">
      <s:c r="A14" s="9" t="inlineStr">
        <s:is>
          <s:t>売上高</s:t>
        </s:is>
      </s:c>
      <s:c r="C14" s="11">
        <s:f>'5カ年連結PL'!C5</s:f>
        <s:v>414.0</s:v>
      </s:c>
      <s:c r="D14" s="11">
        <s:f>'5カ年連結PL'!D5</s:f>
        <s:v>968.3</s:v>
      </s:c>
      <s:c r="E14" s="11">
        <s:f>'5カ年連結PL'!E5</s:f>
        <s:v>1879.1</s:v>
      </s:c>
      <s:c r="F14" s="11">
        <s:f>'5カ年連結PL'!F5</s:f>
        <s:v>2799.1</s:v>
      </s:c>
      <s:c r="G14" s="11">
        <s:f>'5カ年連結PL'!G5</s:f>
        <s:v>3719.1</s:v>
      </s:c>
      <s:c r="H14" s="12">
        <s:f>'5カ年連結PL'!H5</s:f>
        <s:v>9779.6</s:v>
      </s:c>
    </s:row>
    <s:row r="15">
      <s:c r="A15" s="9" t="inlineStr">
        <s:is>
          <s:t>店舗EBITDA　計</s:t>
        </s:is>
      </s:c>
      <s:c r="C15" s="11">
        <s:f>'5カ年連結PL'!C19</s:f>
        <s:v>52.448000000000036</s:v>
      </s:c>
      <s:c r="D15" s="11">
        <s:f>'5カ年連結PL'!D19</s:f>
        <s:v>131.5412</s:v>
      </s:c>
      <s:c r="E15" s="11">
        <s:f>'5カ年連結PL'!E19</s:f>
        <s:v>273.6604</s:v>
      </s:c>
      <s:c r="F15" s="11">
        <s:f>'5カ年連結PL'!F19</s:f>
        <s:v>425.93639999999994</s:v>
      </s:c>
      <s:c r="G15" s="11">
        <s:f>'5カ年連結PL'!G19</s:f>
        <s:v>578.2123999999999</s:v>
      </s:c>
      <s:c r="H15" s="12">
        <s:f>'5カ年連結PL'!H19</s:f>
        <s:v>1461.7984</s:v>
      </s:c>
    </s:row>
    <s:row r="16">
      <s:c r="A16" s="9" t="inlineStr">
        <s:is>
          <s:t>本部費</s:t>
        </s:is>
      </s:c>
      <s:c r="C16" s="11">
        <s:f>'5カ年連結PL'!C20</s:f>
        <s:v>15.0</s:v>
      </s:c>
      <s:c r="D16" s="11">
        <s:f>'5カ年連結PL'!D20</s:f>
        <s:v>28.0</s:v>
      </s:c>
      <s:c r="E16" s="11">
        <s:f>'5カ年連結PL'!E20</s:f>
        <s:v>40.0</s:v>
      </s:c>
      <s:c r="F16" s="11">
        <s:f>'5カ年連結PL'!F20</s:f>
        <s:v>48.0</s:v>
      </s:c>
      <s:c r="G16" s="11">
        <s:f>'5カ年連結PL'!G20</s:f>
        <s:v>55.0</s:v>
      </s:c>
      <s:c r="H16" s="12">
        <s:f>'5カ年連結PL'!H20</s:f>
        <s:v>186.0</s:v>
      </s:c>
    </s:row>
    <s:row r="17">
      <s:c r="A17" s="13" t="inlineStr">
        <s:is>
          <s:t>連結EBITDA</s:t>
        </s:is>
      </s:c>
      <s:c r="C17" s="14">
        <s:f>'5カ年連結PL'!C21</s:f>
        <s:v>37.448000000000036</s:v>
      </s:c>
      <s:c r="D17" s="14">
        <s:f>'5カ年連結PL'!D21</s:f>
        <s:v>103.5412</s:v>
      </s:c>
      <s:c r="E17" s="14">
        <s:f>'5カ年連結PL'!E21</s:f>
        <s:v>233.66039999999998</s:v>
      </s:c>
      <s:c r="F17" s="14">
        <s:f>'5カ年連結PL'!F21</s:f>
        <s:v>377.93639999999994</s:v>
      </s:c>
      <s:c r="G17" s="14">
        <s:f>'5カ年連結PL'!G21</s:f>
        <s:v>523.2123999999999</s:v>
      </s:c>
      <s:c r="H17" s="12">
        <s:f>'5カ年連結PL'!H21</s:f>
        <s:v>1275.7984</s:v>
      </s:c>
    </s:row>
    <s:row r="18">
      <s:c r="A18" s="13" t="inlineStr">
        <s:is>
          <s:t xml:space="preserve">　EBITDA率</s:t>
        </s:is>
      </s:c>
      <s:c r="C18" s="15">
        <s:f>'5カ年連結PL'!C22</s:f>
        <s:v>0.09045410628019332</s:v>
      </s:c>
      <s:c r="D18" s="15">
        <s:f>'5カ年連結PL'!D22</s:f>
        <s:v>0.10693090984199112</s:v>
      </s:c>
      <s:c r="E18" s="15">
        <s:f>'5カ年連結PL'!E22</s:f>
        <s:v>0.12434697461550742</s:v>
      </s:c>
      <s:c r="F18" s="15">
        <s:f>'5カ年連結PL'!F22</s:f>
        <s:v>0.13502068522024935</s:v>
      </s:c>
      <s:c r="G18" s="15">
        <s:f>'5カ年連結PL'!G22</s:f>
        <s:v>0.14068253071979778</s:v>
      </s:c>
      <s:c r="H18" s="16">
        <s:f>'5カ年連結PL'!H22</s:f>
        <s:v>0.13045506973700355</s:v>
      </s:c>
    </s:row>
    <s:row r="19">
      <s:c r="A19" s="9" t="inlineStr">
        <s:is>
          <s:t>減価償却費</s:t>
        </s:is>
      </s:c>
      <s:c r="C19" s="11">
        <s:f>'5カ年連結PL'!C23</s:f>
        <s:v>20.8</s:v>
      </s:c>
      <s:c r="D19" s="11">
        <s:f>'5カ年連結PL'!D23</s:f>
        <s:v>46.8</s:v>
      </s:c>
      <s:c r="E19" s="11">
        <s:f>'5カ年連結PL'!E23</s:f>
        <s:v>87.775</s:v>
      </s:c>
      <s:c r="F19" s="11">
        <s:f>'5カ年連結PL'!F23</s:f>
        <s:v>128.375</s:v>
      </s:c>
      <s:c r="G19" s="11">
        <s:f>'5カ年連結PL'!G23</s:f>
        <s:v>168.975</s:v>
      </s:c>
      <s:c r="H19" s="12">
        <s:f>'5カ年連結PL'!H23</s:f>
        <s:v>452.725</s:v>
      </s:c>
    </s:row>
    <s:row r="20">
      <s:c r="A20" s="13" t="inlineStr">
        <s:is>
          <s:t>営業利益</s:t>
        </s:is>
      </s:c>
      <s:c r="C20" s="14">
        <s:f>'5カ年連結PL'!C24</s:f>
        <s:v>16.648000000000035</s:v>
      </s:c>
      <s:c r="D20" s="14">
        <s:f>'5カ年連結PL'!D24</s:f>
        <s:v>56.741200000000006</s:v>
      </s:c>
      <s:c r="E20" s="14">
        <s:f>'5カ年連結PL'!E24</s:f>
        <s:v>145.88539999999998</s:v>
      </s:c>
      <s:c r="F20" s="14">
        <s:f>'5カ年連結PL'!F24</s:f>
        <s:v>249.56139999999994</s:v>
      </s:c>
      <s:c r="G20" s="14">
        <s:f>'5カ年連結PL'!G24</s:f>
        <s:v>354.23739999999987</s:v>
      </s:c>
      <s:c r="H20" s="12">
        <s:f>'5カ年連結PL'!H24</s:f>
        <s:v>823.0733999999998</s:v>
      </s:c>
    </s:row>
    <s:row r="21">
      <s:c r="A21" s="13" t="inlineStr">
        <s:is>
          <s:t xml:space="preserve">　営業利益率</s:t>
        </s:is>
      </s:c>
      <s:c r="C21" s="15">
        <s:f>'5カ年連結PL'!C25</s:f>
        <s:v>0.040212560386473514</s:v>
      </s:c>
      <s:c r="D21" s="15">
        <s:f>'5カ年連結PL'!D25</s:f>
        <s:v>0.05859878136941032</s:v>
      </s:c>
      <s:c r="E21" s="15">
        <s:f>'5カ年連結PL'!E25</s:f>
        <s:v>0.07763578308764833</s:v>
      </s:c>
      <s:c r="F21" s="15">
        <s:f>'5カ年連結PL'!F25</s:f>
        <s:v>0.08915772927012251</s:v>
      </s:c>
      <s:c r="G21" s="15">
        <s:f>'5カ年連結PL'!G25</s:f>
        <s:v>0.09524815143448681</s:v>
      </s:c>
      <s:c r="H21" s="16">
        <s:f>'5カ年連結PL'!H25</s:f>
        <s:v>0.08416227657572904</s:v>
      </s:c>
    </s:row>
    <s:row r="22"/>
    <s:row r="23">
      <s:c r="A23" s="17" t="inlineStr">
        <s:is>
          <s:t>【目標達成】FY2028に連結EBITDA率10%超　／　FY2029に営業利益率5%超　→　以降も継続的に改善</s:t>
        </s:is>
      </s:c>
    </s:row>
    <s:row r="24"/>
    <s:row r="25">
      <s:c r="A25" s="3" t="inlineStr">
        <s:is>
          <s:t>■ 単店モデル（六本木ミッドタウン）</s:t>
        </s:is>
      </s:c>
      <s:c r="B25" s="3" t="n"/>
      <s:c r="C25" s="3" t="n"/>
      <s:c r="D25" s="3" t="n"/>
      <s:c r="E25" s="3" t="n"/>
      <s:c r="F25" s="3" t="n"/>
      <s:c r="G25" s="3" t="n"/>
      <s:c r="H25" s="3" t="n"/>
    </s:row>
    <s:row r="26">
      <s:c r="A26" s="7" t="inlineStr">
        <s:is>
          <s:t>項　目</s:t>
        </s:is>
      </s:c>
      <s:c r="C26" s="8" t="inlineStr">
        <s:is>
          <s:t>1年目</s:t>
        </s:is>
      </s:c>
      <s:c r="D26" s="8" t="inlineStr">
        <s:is>
          <s:t>2年目</s:t>
        </s:is>
      </s:c>
      <s:c r="E26" s="8" t="inlineStr">
        <s:is>
          <s:t>3年目以降</s:t>
        </s:is>
      </s:c>
    </s:row>
    <s:row r="27">
      <s:c r="A27" s="9" t="inlineStr">
        <s:is>
          <s:t>売上高</s:t>
        </s:is>
      </s:c>
      <s:c r="C27" s="11">
        <s:f>'単店モデルPL'!C5</s:f>
        <s:v>414.0</s:v>
      </s:c>
      <s:c r="D27" s="11">
        <s:f>'単店モデルPL'!D5</s:f>
        <s:v>450.8</s:v>
      </s:c>
      <s:c r="E27" s="11">
        <s:f>'単店モデルPL'!E5</s:f>
        <s:v>460.0</s:v>
      </s:c>
    </s:row>
    <s:row r="28">
      <s:c r="A28" s="9" t="inlineStr">
        <s:is>
          <s:t>EBITDA</s:t>
        </s:is>
      </s:c>
      <s:c r="C28" s="11">
        <s:f>'単店モデルPL'!C19</s:f>
        <s:v>52.448000000000036</s:v>
      </s:c>
      <s:c r="D28" s="11">
        <s:f>'単店モデルPL'!D19</s:f>
        <s:v>65.9812</s:v>
      </s:c>
      <s:c r="E28" s="11">
        <s:f>'単店モデルPL'!E19</s:f>
        <s:v>76.13799999999998</s:v>
      </s:c>
    </s:row>
    <s:row r="29">
      <s:c r="A29" s="13" t="inlineStr">
        <s:is>
          <s:t xml:space="preserve">　EBITDA率</s:t>
        </s:is>
      </s:c>
      <s:c r="C29" s="15">
        <s:f>'単店モデルPL'!C22</s:f>
        <s:v>0.12668599033816433</s:v>
      </s:c>
      <s:c r="D29" s="15">
        <s:f>'単店モデルPL'!D22</s:f>
        <s:v>0.14636468500443656</s:v>
      </s:c>
      <s:c r="E29" s="15">
        <s:f>'単店モデルPL'!E22</s:f>
        <s:v>0.16551739130434778</s:v>
      </s:c>
    </s:row>
    <s:row r="30">
      <s:c r="A30" s="9" t="inlineStr">
        <s:is>
          <s:t>営業利益</s:t>
        </s:is>
      </s:c>
      <s:c r="C30" s="11">
        <s:f>'単店モデルPL'!C21</s:f>
        <s:v>31.648000000000035</s:v>
      </s:c>
      <s:c r="D30" s="11">
        <s:f>'単店モデルPL'!D21</s:f>
        <s:v>45.181200000000004</s:v>
      </s:c>
      <s:c r="E30" s="11">
        <s:f>'単店モデルPL'!E21</s:f>
        <s:v>55.33799999999998</s:v>
      </s:c>
    </s:row>
    <s:row r="31">
      <s:c r="A31" s="13" t="inlineStr">
        <s:is>
          <s:t xml:space="preserve">　営業利益率</s:t>
        </s:is>
      </s:c>
      <s:c r="C31" s="15">
        <s:f>'単店モデルPL'!C23</s:f>
        <s:v>0.07644444444444452</s:v>
      </s:c>
      <s:c r="D31" s="15">
        <s:f>'単店モデルPL'!D23</s:f>
        <s:v>0.10022448979591837</s:v>
      </s:c>
      <s:c r="E31" s="15">
        <s:f>'単店モデルPL'!E23</s:f>
        <s:v>0.12029999999999996</s:v>
      </s:c>
    </s:row>
    <s:row r="32"/>
    <s:row r="33">
      <s:c r="A33" s="3" t="inlineStr">
        <s:is>
          <s:t>■ 投資・キャッシュフロー サマリー</s:t>
        </s:is>
      </s:c>
      <s:c r="B33" s="3" t="n"/>
      <s:c r="C33" s="3" t="n"/>
      <s:c r="D33" s="3" t="n"/>
      <s:c r="E33" s="3" t="n"/>
      <s:c r="F33" s="3" t="n"/>
      <s:c r="G33" s="3" t="n"/>
      <s:c r="H33" s="3" t="n"/>
    </s:row>
    <s:row r="34">
      <s:c r="A34" s="7" t="inlineStr">
        <s:is>
          <s:t>項　目</s:t>
        </s:is>
      </s:c>
      <s:c r="C34" s="8" t="inlineStr">
        <s:is>
          <s:t>FY2027</s:t>
        </s:is>
      </s:c>
      <s:c r="D34" s="8" t="inlineStr">
        <s:is>
          <s:t>FY2028</s:t>
        </s:is>
      </s:c>
      <s:c r="E34" s="8" t="inlineStr">
        <s:is>
          <s:t>FY2029</s:t>
        </s:is>
      </s:c>
      <s:c r="F34" s="8" t="inlineStr">
        <s:is>
          <s:t>FY2030</s:t>
        </s:is>
      </s:c>
      <s:c r="G34" s="8" t="inlineStr">
        <s:is>
          <s:t>FY2031</s:t>
        </s:is>
      </s:c>
      <s:c r="H34" s="8" t="inlineStr">
        <s:is>
          <s:t>5年累計</s:t>
        </s:is>
      </s:c>
    </s:row>
    <s:row r="35">
      <s:c r="A35" s="9" t="inlineStr">
        <s:is>
          <s:t>新規出店数（店）</s:t>
        </s:is>
      </s:c>
      <s:c r="C35" s="10">
        <s:f>'投資・キャッシュフロー'!C4</s:f>
        <s:v>1.0</s:v>
      </s:c>
      <s:c r="D35" s="10">
        <s:f>'投資・キャッシュフロー'!D4</s:f>
        <s:v>2.0</s:v>
      </s:c>
      <s:c r="E35" s="10">
        <s:f>'投資・キャッシュフロー'!E4</s:f>
        <s:v>2.0</s:v>
      </s:c>
      <s:c r="F35" s="10">
        <s:f>'投資・キャッシュフロー'!F4</s:f>
        <s:v>2.0</s:v>
      </s:c>
      <s:c r="G35" s="10">
        <s:f>'投資・キャッシュフロー'!G4</s:f>
        <s:v>2.0</s:v>
      </s:c>
      <s:c r="H35" s="18">
        <s:f>'投資・キャッシュフロー'!H4</s:f>
        <s:v>9.0</s:v>
      </s:c>
    </s:row>
    <s:row r="36">
      <s:c r="A36" s="9" t="inlineStr">
        <s:is>
          <s:t>初期投資（総額）</s:t>
        </s:is>
      </s:c>
      <s:c r="C36" s="11">
        <s:f>'投資・キャッシュフロー'!C6</s:f>
        <s:v>-247.0</s:v>
      </s:c>
      <s:c r="D36" s="11">
        <s:f>'投資・キャッシュフロー'!D6</s:f>
        <s:v>-494.0</s:v>
      </s:c>
      <s:c r="E36" s="11">
        <s:f>'投資・キャッシュフロー'!E6</s:f>
        <s:v>-484.0</s:v>
      </s:c>
      <s:c r="F36" s="11">
        <s:f>'投資・キャッシュフロー'!F6</s:f>
        <s:v>-484.0</s:v>
      </s:c>
      <s:c r="G36" s="11">
        <s:f>'投資・キャッシュフロー'!G6</s:f>
        <s:v>-484.0</s:v>
      </s:c>
      <s:c r="H36" s="12">
        <s:f>'投資・キャッシュフロー'!H6</s:f>
        <s:v>-2193.0</s:v>
      </s:c>
    </s:row>
    <s:row r="37">
      <s:c r="A37" s="9" t="inlineStr">
        <s:is>
          <s:t>開業時 現金支出</s:t>
        </s:is>
      </s:c>
      <s:c r="C37" s="11">
        <s:f>'投資・キャッシュフロー'!C8</s:f>
        <s:v>-108.1</s:v>
      </s:c>
      <s:c r="D37" s="11">
        <s:f>'投資・キャッシュフロー'!D8</s:f>
        <s:v>-216.2</s:v>
      </s:c>
      <s:c r="E37" s="11">
        <s:f>'投資・キャッシュフロー'!E8</s:f>
        <s:v>-206.2</s:v>
      </s:c>
      <s:c r="F37" s="11">
        <s:f>'投資・キャッシュフロー'!F8</s:f>
        <s:v>-206.2</s:v>
      </s:c>
      <s:c r="G37" s="11">
        <s:f>'投資・キャッシュフロー'!G8</s:f>
        <s:v>-206.2</s:v>
      </s:c>
      <s:c r="H37" s="12">
        <s:f>'投資・キャッシュフロー'!H8</s:f>
        <s:v>-942.9000000000001</s:v>
      </s:c>
    </s:row>
    <s:row r="38">
      <s:c r="A38" s="9" t="inlineStr">
        <s:is>
          <s:t>投資キャッシュアウト 計</s:t>
        </s:is>
      </s:c>
      <s:c r="C38" s="11">
        <s:f>'投資・キャッシュフロー'!C10</s:f>
        <s:v>-123.69999999999999</s:v>
      </s:c>
      <s:c r="D38" s="11">
        <s:f>'投資・キャッシュフロー'!D10</s:f>
        <s:v>-251.29999999999998</s:v>
      </s:c>
      <s:c r="E38" s="11">
        <s:f>'投資・キャッシュフロー'!E10</s:f>
        <s:v>-272.5</s:v>
      </s:c>
      <s:c r="F38" s="11">
        <s:f>'投資・キャッシュフロー'!F10</s:f>
        <s:v>-303.7</s:v>
      </s:c>
      <s:c r="G38" s="11">
        <s:f>'投資・キャッシュフロー'!G10</s:f>
        <s:v>-334.9</s:v>
      </s:c>
      <s:c r="H38" s="12">
        <s:f>'投資・キャッシュフロー'!H10</s:f>
        <s:v>-1286.1</s:v>
      </s:c>
    </s:row>
    <s:row r="39">
      <s:c r="A39" s="9" t="inlineStr">
        <s:is>
          <s:t>簡易フリーキャッシュフロー</s:t>
        </s:is>
      </s:c>
      <s:c r="C39" s="11">
        <s:f>'投資・キャッシュフロー'!C12</s:f>
        <s:v>-86.25199999999995</s:v>
      </s:c>
      <s:c r="D39" s="11">
        <s:f>'投資・キャッシュフロー'!D12</s:f>
        <s:v>-147.75879999999998</s:v>
      </s:c>
      <s:c r="E39" s="11">
        <s:f>'投資・キャッシュフロー'!E12</s:f>
        <s:v>-38.83960000000002</s:v>
      </s:c>
      <s:c r="F39" s="11">
        <s:f>'投資・キャッシュフロー'!F12</s:f>
        <s:v>74.23639999999995</s:v>
      </s:c>
      <s:c r="G39" s="11">
        <s:f>'投資・キャッシュフロー'!G12</s:f>
        <s:v>188.3123999999999</s:v>
      </s:c>
      <s:c r="H39" s="12">
        <s:f>'投資・キャッシュフロー'!H12</s:f>
        <s:v>-10.301600000000064</s:v>
      </s:c>
    </s:row>
    <s:row r="40">
      <s:c r="A40" s="9" t="inlineStr">
        <s:is>
          <s:t>累計フリーキャッシュフロー</s:t>
        </s:is>
      </s:c>
      <s:c r="C40" s="11">
        <s:f>'投資・キャッシュフロー'!C13</s:f>
        <s:v>-86.25199999999995</s:v>
      </s:c>
      <s:c r="D40" s="11">
        <s:f>'投資・キャッシュフロー'!D13</s:f>
        <s:v>-234.01079999999993</s:v>
      </s:c>
      <s:c r="E40" s="11">
        <s:f>'投資・キャッシュフロー'!E13</s:f>
        <s:v>-272.8503999999999</s:v>
      </s:c>
      <s:c r="F40" s="11">
        <s:f>'投資・キャッシュフロー'!F13</s:f>
        <s:v>-198.61399999999998</s:v>
      </s:c>
      <s:c r="G40" s="11">
        <s:f>'投資・キャッシュフロー'!G13</s:f>
        <s:v>-10.301600000000064</s:v>
      </s:c>
    </s:row>
    <s:row r="41"/>
    <s:row r="42">
      <s:c r="A42" s="2" t="inlineStr">
        <s:is>
          <s:t>※ 分割払いスキームにより5年間の現金投資額を21.9億円 → 12.9億円に圧縮。FY2030に単年FCF黒字化、5年累計FCFはほぼ均衡。</s:t>
        </s:is>
      </s:c>
    </s:row>
    <s:row r="43">
      <s:c r="A43" s="2" t="inlineStr">
        <s:is>
          <s:t>※ 保証金（9店合計350百万円）は退去時返還対象。</s:t>
        </s:is>
      </s:c>
    </s:row>
    <s:row r="44"/>
    <s:row r="45">
      <s:c r="A45" s="3" t="inlineStr">
        <s:is>
          <s:t>■ 経費改善レバー（提出P&amp;L → 3年目以降）</s:t>
        </s:is>
      </s:c>
      <s:c r="B45" s="3" t="n"/>
      <s:c r="C45" s="3" t="n"/>
      <s:c r="D45" s="3" t="n"/>
      <s:c r="E45" s="3" t="n"/>
      <s:c r="F45" s="3" t="n"/>
      <s:c r="G45" s="3" t="n"/>
      <s:c r="H45" s="3" t="n"/>
    </s:row>
    <s:row r="46">
      <s:c r="A46" s="19" t="inlineStr">
        <s:is>
          <s:t>売上原価</s:t>
        </s:is>
      </s:c>
      <s:c r="B46" s="20" t="inlineStr">
        <s:is>
          <s:t>29.5% → 28.5%</s:t>
        </s:is>
      </s:c>
      <s:c r="C46" s="19" t="inlineStr">
        <s:is>
          <s:t>直輸入ワイン活用・複数店一括仕入</s:t>
        </s:is>
      </s:c>
    </s:row>
    <s:row r="47">
      <s:c r="A47" s="19" t="inlineStr">
        <s:is>
          <s:t>人件費</s:t>
        </s:is>
      </s:c>
      <s:c r="B47" s="20" t="inlineStr">
        <s:is>
          <s:t>34.5% → 32.5%</s:t>
        </s:is>
      </s:c>
      <s:c r="C47" s="19" t="inlineStr">
        <s:is>
          <s:t>本部集中化・多能工化</s:t>
        </s:is>
      </s:c>
    </s:row>
    <s:row r="48">
      <s:c r="A48" s="19" t="inlineStr">
        <s:is>
          <s:t>業務委託費・消耗品他</s:t>
        </s:is>
      </s:c>
      <s:c r="B48" s="20" t="inlineStr">
        <s:is>
          <s:t>2.4% → 2.0%</s:t>
        </s:is>
      </s:c>
      <s:c r="C48" s="19" t="inlineStr">
        <s:is>
          <s:t>本部集中購買・規格統一</s:t>
        </s:is>
      </s:c>
    </s:row>
    <s:row r="49">
      <s:c r="A49" s="19" t="inlineStr">
        <s:is>
          <s:t>水道光熱費</s:t>
        </s:is>
      </s:c>
      <s:c r="B49" s="20" t="inlineStr">
        <s:is>
          <s:t>4.0% → 3.6%</s:t>
        </s:is>
      </s:c>
      <s:c r="C49" s="19" t="inlineStr">
        <s:is>
          <s:t>高効率厨房機器・営業時間最適化</s:t>
        </s:is>
      </s:c>
    </s:row>
    <s:row r="50">
      <s:c r="A50" s="19" t="inlineStr">
        <s:is>
          <s:t>ロイヤリティ／歩合家賃</s:t>
        </s:is>
      </s:c>
      <s:c r="B50" s="20" t="inlineStr">
        <s:is>
          <s:t>4.0%／7.0%（据置）</s:t>
        </s:is>
      </s:c>
      <s:c r="C50" s="19" t="inlineStr">
        <s:is>
          <s:t>契約条件どおり全店適用</s:t>
        </s:is>
      </s:c>
    </s:row>
    <s:row r="51"/>
    <s:row r="52">
      <s:c r="A52" s="2" t="inlineStr">
        <s:is>
          <s:t>出典：「THIERRY MARX × WineBank 事業収支CF追加（2026年8月4日版）」および 2026年8月3日提出P&amp;L。金利・税金は含まない。</s:t>
        </s:is>
      </s:c>
    </s:row>
  </s:sheetData>
  <s:mergeCells count="5">
    <s:mergeCell ref="C46:H46"/>
    <s:mergeCell ref="C47:H47"/>
    <s:mergeCell ref="C50:H50"/>
    <s:mergeCell ref="C49:H49"/>
    <s:mergeCell ref="C48:H48"/>
  </s:mergeCells>
  <s:pageMargins left="0.75" right="0.75" top="1" bottom="1" header="0.5" footer="0.5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1:H56"/>
  <s:sheetViews>
    <s:sheetView showGridLines="0" workbookViewId="0">
      <s:selection activeCell="A1" sqref="A1"/>
    </s:sheetView>
  </s:sheetViews>
  <s:sheetFormatPr baseColWidth="8" defaultRowHeight="15"/>
  <s:cols>
    <s:col width="32" customWidth="1" min="1" max="1"/>
    <s:col width="13" customWidth="1" min="2" max="2"/>
    <s:col width="13" customWidth="1" min="3" max="3"/>
    <s:col width="13" customWidth="1" min="4" max="4"/>
    <s:col width="13" customWidth="1" min="5" max="5"/>
    <s:col width="13" customWidth="1" min="6" max="6"/>
    <s:col width="4" customWidth="1" min="7" max="7"/>
    <s:col width="52" customWidth="1" min="8" max="8"/>
  </s:cols>
  <s:sheetData>
    <s:row r="1">
      <s:c r="A1" s="1" t="inlineStr">
        <s:is>
          <s:t>前提条件　／　六本木ミッドタウン店 2026年8月3日提出P&amp;L 準拠</s:t>
        </s:is>
      </s:c>
      <s:c r="B1" s="1" t="n"/>
      <s:c r="C1" s="1" t="n"/>
      <s:c r="D1" s="1" t="n"/>
      <s:c r="E1" s="1" t="n"/>
      <s:c r="F1" s="1" t="n"/>
      <s:c r="G1" s="1" t="n"/>
      <s:c r="H1" s="1" t="n"/>
    </s:row>
    <s:row r="2">
      <s:c r="A2" s="2" t="inlineStr">
        <s:is>
          <s:t>青字＝入力値（前提）。変更すると全シートが自動再計算されます。黒字＝計算式、緑字＝他シート参照。単位：百万円</s:t>
        </s:is>
      </s:c>
    </s:row>
    <s:row r="3"/>
    <s:row r="4">
      <s:c r="A4" s="3" t="inlineStr">
        <s:is>
          <s:t>■ 売上前提（六本木ミッドタウン店＝標準店モデル）</s:t>
        </s:is>
      </s:c>
      <s:c r="B4" s="3" t="n"/>
      <s:c r="C4" s="3" t="n"/>
      <s:c r="D4" s="3" t="n"/>
      <s:c r="E4" s="3" t="n"/>
      <s:c r="F4" s="3" t="n"/>
      <s:c r="G4" s="3" t="n"/>
      <s:c r="H4" s="3" t="n"/>
    </s:row>
    <s:row r="5">
      <s:c r="A5" s="5" t="inlineStr">
        <s:is>
          <s:t>満年度 売上高</s:t>
        </s:is>
      </s:c>
      <s:c r="B5" s="21" t="n">
        <s:v>460</s:v>
      </s:c>
      <s:c r="H5" s="2" t="inlineStr">
        <s:is>
          <s:t>183.59㎡(55.5坪)・123席・年363日営業・稼働率80%。日商約127万円／月商約3,829万円</s:t>
        </s:is>
      </s:c>
    </s:row>
    <s:row r="6">
      <s:c r="A6" s="5" t="inlineStr">
        <s:is>
          <s:t>立上り率　1年目</s:t>
        </s:is>
      </s:c>
      <s:c r="B6" s="22" t="n">
        <s:v>0.9</s:v>
      </s:c>
      <s:c r="H6" s="2" t="inlineStr">
        <s:is>
          <s:t>新店初年度は保守的に90%で計画</s:t>
        </s:is>
      </s:c>
    </s:row>
    <s:row r="7">
      <s:c r="A7" s="5" t="inlineStr">
        <s:is>
          <s:t>立上り率　2年目</s:t>
        </s:is>
      </s:c>
      <s:c r="B7" s="22" t="n">
        <s:v>0.98</s:v>
      </s:c>
      <s:c r="H7" s="2" t="inlineStr"/>
    </s:row>
    <s:row r="8">
      <s:c r="A8" s="5" t="inlineStr">
        <s:is>
          <s:t>立上り率　3年目以降</s:t>
        </s:is>
      </s:c>
      <s:c r="B8" s="22" t="n">
        <s:v>1</s:v>
      </s:c>
      <s:c r="H8" s="2" t="inlineStr">
        <s:is>
          <s:t>満年度水準</s:t>
        </s:is>
      </s:c>
    </s:row>
    <s:row r="9">
      <s:c r="A9" s="5" t="inlineStr">
        <s:is>
          <s:t>新店の開業年度 稼働月数</s:t>
        </s:is>
      </s:c>
      <s:c r="B9" s="21" t="n">
        <s:v>7.5</s:v>
      </s:c>
      <s:c r="H9" s="2" t="inlineStr">
        <s:is>
          <s:t>年2店を上期・下期に分散出店する前提の平均値</s:t>
        </s:is>
      </s:c>
    </s:row>
    <s:row r="10">
      <s:c r="A10" s="5" t="inlineStr">
        <s:is>
          <s:t>東京1号店の稼働月数（FY2027）</s:t>
        </s:is>
      </s:c>
      <s:c r="B10" s="21" t="n">
        <s:v>12</s:v>
      </s:c>
      <s:c r="H10" s="2" t="inlineStr">
        <s:is>
          <s:t>2027年4月開業＝FY2027は通年稼働</s:t>
        </s:is>
      </s:c>
    </s:row>
    <s:row r="11"/>
    <s:row r="12">
      <s:c r="A12" s="3" t="inlineStr">
        <s:is>
          <s:t>■ 家賃条件（契約条件どおり全店適用）</s:t>
        </s:is>
      </s:c>
      <s:c r="B12" s="3" t="n"/>
      <s:c r="C12" s="3" t="n"/>
      <s:c r="D12" s="3" t="n"/>
      <s:c r="E12" s="3" t="n"/>
      <s:c r="F12" s="3" t="n"/>
      <s:c r="G12" s="3" t="n"/>
      <s:c r="H12" s="3" t="n"/>
    </s:row>
    <s:row r="13">
      <s:c r="A13" s="5" t="inlineStr">
        <s:is>
          <s:t>地代家賃（固定）月額</s:t>
        </s:is>
      </s:c>
      <s:c r="B13" s="21" t="n">
        <s:v>2.22</s:v>
      </s:c>
      <s:c r="H13" s="2" t="inlineStr">
        <s:is>
          <s:t>月222万円。売上非連動の固定費</s:t>
        </s:is>
      </s:c>
    </s:row>
    <s:row r="14">
      <s:c r="A14" s="5" t="inlineStr">
        <s:is>
          <s:t>地代家賃（固定）年額</s:t>
        </s:is>
      </s:c>
      <s:c r="B14" s="23">
        <s:f>B13*12</s:f>
        <s:v>26.64</s:v>
      </s:c>
      <s:c r="H14" s="2" t="inlineStr">
        <s:is>
          <s:t>＝月額×12</s:t>
        </s:is>
      </s:c>
    </s:row>
    <s:row r="15">
      <s:c r="A15" s="5" t="inlineStr">
        <s:is>
          <s:t>歩合家賃率</s:t>
        </s:is>
      </s:c>
      <s:c r="B15" s="22" t="n">
        <s:v>0.07000000000000001</s:v>
      </s:c>
      <s:c r="H15" s="2" t="inlineStr">
        <s:is>
          <s:t>閾値超過分に対して7%</s:t>
        </s:is>
      </s:c>
    </s:row>
    <s:row r="16">
      <s:c r="A16" s="5" t="inlineStr">
        <s:is>
          <s:t>歩合家賃 閾値（年額売上）</s:t>
        </s:is>
      </s:c>
      <s:c r="B16" s="21" t="n">
        <s:v>331.4</s:v>
      </s:c>
      <s:c r="H16" s="2" t="inlineStr">
        <s:is>
          <s:t>満年度歩合家賃9百万円（対売上1.9%）から逆算</s:t>
        </s:is>
      </s:c>
    </s:row>
    <s:row r="17"/>
    <s:row r="18">
      <s:c r="A18" s="3" t="inlineStr">
        <s:is>
          <s:t>■ 変動費率（対売上高）　※提出P&amp;L水準 → 改善後</s:t>
        </s:is>
      </s:c>
      <s:c r="B18" s="3" t="n"/>
      <s:c r="C18" s="3" t="n"/>
      <s:c r="D18" s="3" t="n"/>
      <s:c r="E18" s="3" t="n"/>
      <s:c r="F18" s="3" t="n"/>
      <s:c r="G18" s="3" t="n"/>
      <s:c r="H18" s="3" t="n"/>
    </s:row>
    <s:row r="19"/>
    <s:row r="20"/>
    <s:row r="21" ht="32" customHeight="1">
      <s:c r="A21" s="24" t="inlineStr">
        <s:is>
          <s:t>費　目</s:t>
        </s:is>
      </s:c>
      <s:c r="B21" s="24" t="inlineStr">
        <s:is>
          <s:t>1年目
（提出P&amp;L）</s:t>
        </s:is>
      </s:c>
      <s:c r="C21" s="24" t="inlineStr">
        <s:is>
          <s:t>2年目
（改善途上）</s:t>
        </s:is>
      </s:c>
      <s:c r="D21" s="24" t="inlineStr">
        <s:is>
          <s:t>3年目以降
（改善後）</s:t>
        </s:is>
      </s:c>
      <s:c r="H21" s="24" t="inlineStr">
        <s:is>
          <s:t>改善レバー</s:t>
        </s:is>
      </s:c>
    </s:row>
    <s:row r="22">
      <s:c r="A22" s="9" t="inlineStr">
        <s:is>
          <s:t>売上原価</s:t>
        </s:is>
      </s:c>
      <s:c r="B22" s="22" t="n">
        <s:v>0.295</s:v>
      </s:c>
      <s:c r="C22" s="22" t="n">
        <s:v>0.29</s:v>
      </s:c>
      <s:c r="D22" s="22" t="n">
        <s:v>0.285</s:v>
      </s:c>
      <s:c r="H22" s="2" t="inlineStr">
        <s:is>
          <s:t>直輸入ワイン活用・複数店一括仕入（▲1.0pt）</s:t>
        </s:is>
      </s:c>
    </s:row>
    <s:row r="23">
      <s:c r="A23" s="9" t="inlineStr">
        <s:is>
          <s:t>人件費</s:t>
        </s:is>
      </s:c>
      <s:c r="B23" s="22" t="n">
        <s:v>0.345</s:v>
      </s:c>
      <s:c r="C23" s="22" t="n">
        <s:v>0.335</s:v>
      </s:c>
      <s:c r="D23" s="22" t="n">
        <s:v>0.325</s:v>
      </s:c>
      <s:c r="H23" s="2" t="inlineStr">
        <s:is>
          <s:t>本部集中化・多能工化。26名体制の最適化（▲2.0pt）</s:t>
        </s:is>
      </s:c>
    </s:row>
    <s:row r="24">
      <s:c r="A24" s="9" t="inlineStr">
        <s:is>
          <s:t>業務委託費・消耗品他</s:t>
        </s:is>
      </s:c>
      <s:c r="B24" s="22" t="n">
        <s:v>0.024</s:v>
      </s:c>
      <s:c r="C24" s="22" t="n">
        <s:v>0.022</s:v>
      </s:c>
      <s:c r="D24" s="22" t="n">
        <s:v>0.02</s:v>
      </s:c>
      <s:c r="H24" s="2" t="inlineStr">
        <s:is>
          <s:t>本部集中購買・規格統一（▲0.4pt）</s:t>
        </s:is>
      </s:c>
    </s:row>
    <s:row r="25">
      <s:c r="A25" s="9" t="inlineStr">
        <s:is>
          <s:t>広告宣伝費・販売促進費</s:t>
        </s:is>
      </s:c>
      <s:c r="B25" s="22" t="n">
        <s:v>0.014</s:v>
      </s:c>
      <s:c r="C25" s="22" t="n">
        <s:v>0.014</s:v>
      </s:c>
      <s:c r="D25" s="22" t="n">
        <s:v>0.014</s:v>
      </s:c>
      <s:c r="H25" s="2" t="inlineStr">
        <s:is>
          <s:t>1号店の話題性を活用（据置）</s:t>
        </s:is>
      </s:c>
    </s:row>
    <s:row r="26">
      <s:c r="A26" s="9" t="inlineStr">
        <s:is>
          <s:t>その他経費</s:t>
        </s:is>
      </s:c>
      <s:c r="B26" s="22" t="n">
        <s:v>0.005</s:v>
      </s:c>
      <s:c r="C26" s="22" t="n">
        <s:v>0.005</s:v>
      </s:c>
      <s:c r="D26" s="22" t="n">
        <s:v>0.005</s:v>
      </s:c>
      <s:c r="H26" s="2" t="inlineStr">
        <s:is>
          <s:t>据置</s:t>
        </s:is>
      </s:c>
    </s:row>
    <s:row r="27">
      <s:c r="A27" s="9" t="inlineStr">
        <s:is>
          <s:t>水道光熱費</s:t>
        </s:is>
      </s:c>
      <s:c r="B27" s="22" t="n">
        <s:v>0.04</s:v>
      </s:c>
      <s:c r="C27" s="22" t="n">
        <s:v>0.038</s:v>
      </s:c>
      <s:c r="D27" s="22" t="n">
        <s:v>0.036</s:v>
      </s:c>
      <s:c r="H27" s="2" t="inlineStr">
        <s:is>
          <s:t>高効率厨房機器・営業時間最適化（▲0.4pt）</s:t>
        </s:is>
      </s:c>
    </s:row>
    <s:row r="28">
      <s:c r="A28" s="9" t="inlineStr">
        <s:is>
          <s:t>ロイヤリティ</s:t>
        </s:is>
      </s:c>
      <s:c r="B28" s="22" t="n">
        <s:v>0.04</s:v>
      </s:c>
      <s:c r="C28" s="22" t="n">
        <s:v>0.04</s:v>
      </s:c>
      <s:c r="D28" s="22" t="n">
        <s:v>0.04</s:v>
      </s:c>
      <s:c r="H28" s="2" t="inlineStr">
        <s:is>
          <s:t>契約条件（ブラッスリー4.0%）</s:t>
        </s:is>
      </s:c>
    </s:row>
    <s:row r="29">
      <s:c r="A29" s="9" t="inlineStr">
        <s:is>
          <s:t>保険・租税公課</s:t>
        </s:is>
      </s:c>
      <s:c r="B29" s="22" t="n">
        <s:v>0.007</s:v>
      </s:c>
      <s:c r="C29" s="22" t="n">
        <s:v>0.007</s:v>
      </s:c>
      <s:c r="D29" s="22" t="n">
        <s:v>0.007</s:v>
      </s:c>
      <s:c r="H29" s="2" t="inlineStr">
        <s:is>
          <s:t>据置</s:t>
        </s:is>
      </s:c>
    </s:row>
    <s:row r="30">
      <s:c r="A30" s="9" t="inlineStr">
        <s:is>
          <s:t>修繕維持費（FFE）</s:t>
        </s:is>
      </s:c>
      <s:c r="B30" s="22" t="n">
        <s:v>0.025</s:v>
      </s:c>
      <s:c r="C30" s="22" t="n">
        <s:v>0.025</s:v>
      </s:c>
      <s:c r="D30" s="22" t="n">
        <s:v>0.025</s:v>
      </s:c>
      <s:c r="H30" s="2" t="inlineStr">
        <s:is>
          <s:t>据置</s:t>
        </s:is>
      </s:c>
    </s:row>
    <s:row r="31">
      <s:c r="A31" s="13" t="inlineStr">
        <s:is>
          <s:t>変動費　計（対売上）</s:t>
        </s:is>
      </s:c>
      <s:c r="B31" s="25">
        <s:f>SUM(B22:B30)</s:f>
        <s:v>0.7949999999999999</s:v>
      </s:c>
      <s:c r="C31" s="25">
        <s:f>SUM(C22:C30)</s:f>
        <s:v>0.776</s:v>
      </s:c>
      <s:c r="D31" s="25">
        <s:f>SUM(D22:D30)</s:f>
        <s:v>0.757</s:v>
      </s:c>
    </s:row>
    <s:row r="32"/>
    <s:row r="33">
      <s:c r="A33" s="3" t="inlineStr">
        <s:is>
          <s:t>■ 初期投資（1店舗あたり）　※六本木ミッドタウン実額準拠</s:t>
        </s:is>
      </s:c>
      <s:c r="B33" s="3" t="n"/>
      <s:c r="C33" s="3" t="n"/>
      <s:c r="D33" s="3" t="n"/>
      <s:c r="E33" s="3" t="n"/>
      <s:c r="F33" s="3" t="n"/>
      <s:c r="G33" s="3" t="n"/>
      <s:c r="H33" s="3" t="n"/>
    </s:row>
    <s:row r="34" ht="28" customHeight="1">
      <s:c r="A34" s="7" t="inlineStr">
        <s:is>
          <s:t>項　目</s:t>
        </s:is>
      </s:c>
      <s:c r="B34" s="26" t="inlineStr">
        <s:is>
          <s:t>1〜3号店
(東京・札幌・大阪)</s:t>
        </s:is>
      </s:c>
      <s:c r="C34" s="26" t="inlineStr">
        <s:is>
          <s:t>4号店以降</s:t>
        </s:is>
      </s:c>
    </s:row>
    <s:row r="35">
      <s:c r="A35" s="9" t="inlineStr">
        <s:is>
          <s:t>契約金</s:t>
        </s:is>
      </s:c>
      <s:c r="B35" s="21" t="n">
        <s:v>10</s:v>
      </s:c>
      <s:c r="C35" s="21" t="n">
        <s:v>5</s:v>
      </s:c>
      <s:c r="H35" s="2" t="inlineStr">
        <s:is>
          <s:t>契約金 3店舗3,000万円／以下7店舗3,500万円</s:t>
        </s:is>
      </s:c>
    </s:row>
    <s:row r="36">
      <s:c r="A36" s="9" t="inlineStr">
        <s:is>
          <s:t>事業費（設計・内装施工・OSE/FF&amp;E）</s:t>
        </s:is>
      </s:c>
      <s:c r="B36" s="21" t="n">
        <s:v>194</s:v>
      </s:c>
      <s:c r="C36" s="21" t="n">
        <s:v>194</s:v>
      </s:c>
      <s:c r="H36" s="2" t="inlineStr"/>
    </s:row>
    <s:row r="37">
      <s:c r="A37" s="9" t="inlineStr">
        <s:is>
          <s:t>開業準備金（広告・採用等）</s:t>
        </s:is>
      </s:c>
      <s:c r="B37" s="21" t="n">
        <s:v>4</s:v>
      </s:c>
      <s:c r="C37" s="21" t="n">
        <s:v>4</s:v>
      </s:c>
      <s:c r="H37" s="2" t="inlineStr"/>
    </s:row>
    <s:row r="38">
      <s:c r="A38" s="9" t="inlineStr">
        <s:is>
          <s:t>保証金（賃料70か月相当）</s:t>
        </s:is>
      </s:c>
      <s:c r="B38" s="21" t="n">
        <s:v>39</s:v>
      </s:c>
      <s:c r="C38" s="21" t="n">
        <s:v>39</s:v>
      </s:c>
      <s:c r="H38" s="2" t="inlineStr">
        <s:is>
          <s:t>非償却・退去時返還対象</s:t>
        </s:is>
      </s:c>
    </s:row>
    <s:row r="39">
      <s:c r="A39" s="13" t="inlineStr">
        <s:is>
          <s:t>初期投資　合計</s:t>
        </s:is>
      </s:c>
      <s:c r="B39" s="27">
        <s:f>SUM(B35:B38)</s:f>
        <s:v>247.0</s:v>
      </s:c>
      <s:c r="C39" s="27">
        <s:f>SUM(C35:C38)</s:f>
        <s:v>242.0</s:v>
      </s:c>
      <s:c r="H39" s="28" t="inlineStr">
        <s:is>
          <s:t>1〜3号店 247百万円／4号店以降 242百万円</s:t>
        </s:is>
      </s:c>
    </s:row>
    <s:row r="40">
      <s:c r="A40" s="13" t="inlineStr">
        <s:is>
          <s:t>償却対象資産（＝合計－保証金）</s:t>
        </s:is>
      </s:c>
      <s:c r="B40" s="29">
        <s:f>B39-B38</s:f>
        <s:v>208.0</s:v>
      </s:c>
      <s:c r="C40" s="29">
        <s:f>C39-C38</s:f>
        <s:v>203.0</s:v>
      </s:c>
    </s:row>
    <s:row r="41">
      <s:c r="A41" s="9" t="inlineStr">
        <s:is>
          <s:t>平均償却年数（年）</s:t>
        </s:is>
      </s:c>
      <s:c r="B41" s="21" t="n">
        <s:v>10</s:v>
      </s:c>
      <s:c r="C41" s="21" t="n">
        <s:v>10</s:v>
      </s:c>
    </s:row>
    <s:row r="42">
      <s:c r="A42" s="13" t="inlineStr">
        <s:is>
          <s:t>年間減価償却費／1店（通年）</s:t>
        </s:is>
      </s:c>
      <s:c r="B42" s="29">
        <s:f>B40/B41</s:f>
        <s:v>20.8</s:v>
      </s:c>
      <s:c r="C42" s="29">
        <s:f>C40/C41</s:f>
        <s:v>20.3</s:v>
      </s:c>
    </s:row>
    <s:row r="43"/>
    <s:row r="44">
      <s:c r="A44" s="3" t="inlineStr">
        <s:is>
          <s:t>■ 分割払いスキーム（ミッドタウン契約と同条件・全店適用）</s:t>
        </s:is>
      </s:c>
      <s:c r="B44" s="3" t="n"/>
      <s:c r="C44" s="3" t="n"/>
      <s:c r="D44" s="3" t="n"/>
      <s:c r="E44" s="3" t="n"/>
      <s:c r="F44" s="3" t="n"/>
      <s:c r="G44" s="3" t="n"/>
      <s:c r="H44" s="3" t="n"/>
    </s:row>
    <s:row r="45">
      <s:c r="A45" s="5" t="inlineStr">
        <s:is>
          <s:t>分割対象：内装工事費</s:t>
        </s:is>
      </s:c>
      <s:c r="B45" s="21" t="n">
        <s:v>100</s:v>
      </s:c>
      <s:c r="H45" s="2" t="inlineStr">
        <s:is>
          <s:t>月833千円 × 120回（10年）</s:t>
        </s:is>
      </s:c>
    </s:row>
    <s:row r="46">
      <s:c r="A46" s="5" t="inlineStr">
        <s:is>
          <s:t>分割対象：保証金</s:t>
        </s:is>
      </s:c>
      <s:c r="B46" s="21" t="n">
        <s:v>38.9</s:v>
      </s:c>
      <s:c r="H46" s="2" t="inlineStr">
        <s:is>
          <s:t>月463千円 × 84回（7年）</s:t>
        </s:is>
      </s:c>
    </s:row>
    <s:row r="47">
      <s:c r="A47" s="4" t="inlineStr">
        <s:is>
          <s:t>分割対象額　計／1店</s:t>
        </s:is>
      </s:c>
      <s:c r="B47" s="29">
        <s:f>B45+B46</s:f>
        <s:v>138.9</s:v>
      </s:c>
      <s:c r="H47" s="2" t="inlineStr">
        <s:is>
          <s:t>開業時現金支出＝初期投資－分割対象額</s:t>
        </s:is>
      </s:c>
    </s:row>
    <s:row r="48">
      <s:c r="A48" s="5" t="inlineStr">
        <s:is>
          <s:t>年間分割弁済額／1店</s:t>
        </s:is>
      </s:c>
      <s:c r="B48" s="21" t="n">
        <s:v>15.6</s:v>
      </s:c>
      <s:c r="H48" s="2" t="inlineStr">
        <s:is>
          <s:t>月額合計1,296千円 × 12か月</s:t>
        </s:is>
      </s:c>
    </s:row>
    <s:row r="49"/>
    <s:row r="50">
      <s:c r="A50" s="2" t="inlineStr">
        <s:is>
          <s:t>※ 分割弁済は資産計上済みの繰延支払（損益は減価償却で費用化済み）のため、P/Lには影響させずCF上のみ計上。</s:t>
        </s:is>
      </s:c>
    </s:row>
    <s:row r="51"/>
    <s:row r="52">
      <s:c r="A52" s="3" t="inlineStr">
        <s:is>
          <s:t>■ 出店計画・本部費（連結）</s:t>
        </s:is>
      </s:c>
      <s:c r="B52" s="3" t="n"/>
      <s:c r="C52" s="3" t="n"/>
      <s:c r="D52" s="3" t="n"/>
      <s:c r="E52" s="3" t="n"/>
      <s:c r="F52" s="3" t="n"/>
      <s:c r="G52" s="3" t="n"/>
      <s:c r="H52" s="3" t="n"/>
    </s:row>
    <s:row r="53">
      <s:c r="A53" s="7" t="inlineStr">
        <s:is>
          <s:t>項　目</s:t>
        </s:is>
      </s:c>
      <s:c r="B53" s="8" t="inlineStr">
        <s:is>
          <s:t>FY2027</s:t>
        </s:is>
      </s:c>
      <s:c r="C53" s="8" t="inlineStr">
        <s:is>
          <s:t>FY2028</s:t>
        </s:is>
      </s:c>
      <s:c r="D53" s="8" t="inlineStr">
        <s:is>
          <s:t>FY2029</s:t>
        </s:is>
      </s:c>
      <s:c r="E53" s="8" t="inlineStr">
        <s:is>
          <s:t>FY2030</s:t>
        </s:is>
      </s:c>
      <s:c r="F53" s="8" t="inlineStr">
        <s:is>
          <s:t>FY2031</s:t>
        </s:is>
      </s:c>
    </s:row>
    <s:row r="54">
      <s:c r="A54" s="5" t="inlineStr">
        <s:is>
          <s:t>期中出店数（店）</s:t>
        </s:is>
      </s:c>
      <s:c r="B54" s="30" t="n">
        <s:v>1</s:v>
      </s:c>
      <s:c r="C54" s="30" t="n">
        <s:v>2</s:v>
      </s:c>
      <s:c r="D54" s="30" t="n">
        <s:v>2</s:v>
      </s:c>
      <s:c r="E54" s="30" t="n">
        <s:v>2</s:v>
      </s:c>
      <s:c r="F54" s="30" t="n">
        <s:v>2</s:v>
      </s:c>
      <s:c r="H54" s="2" t="inlineStr">
        <s:is>
          <s:t>FY2027 六本木ミッドタウン／FY2028 札幌・大阪／FY2029 首都圏・他政令指定都市／FY2030以降 リゾート含め年2店</s:t>
        </s:is>
      </s:c>
    </s:row>
    <s:row r="55">
      <s:c r="A55" s="4" t="inlineStr">
        <s:is>
          <s:t>期末店舗数（店）</s:t>
        </s:is>
      </s:c>
      <s:c r="B55" s="31">
        <s:f>B54</s:f>
        <s:v>1.0</s:v>
      </s:c>
      <s:c r="C55" s="31">
        <s:f>B55+C54</s:f>
        <s:v>3.0</s:v>
      </s:c>
      <s:c r="D55" s="31">
        <s:f>C55+D54</s:f>
        <s:v>5.0</s:v>
      </s:c>
      <s:c r="E55" s="31">
        <s:f>D55+E54</s:f>
        <s:v>7.0</s:v>
      </s:c>
      <s:c r="F55" s="31">
        <s:f>E55+F54</s:f>
        <s:v>9.0</s:v>
      </s:c>
    </s:row>
    <s:row r="56">
      <s:c r="A56" s="5" t="inlineStr">
        <s:is>
          <s:t>本部費（管理・人事・購買・マーケ）</s:t>
        </s:is>
      </s:c>
      <s:c r="B56" s="21" t="n">
        <s:v>15</s:v>
      </s:c>
      <s:c r="C56" s="21" t="n">
        <s:v>28</s:v>
      </s:c>
      <s:c r="D56" s="21" t="n">
        <s:v>40</s:v>
      </s:c>
      <s:c r="E56" s="21" t="n">
        <s:v>48</s:v>
      </s:c>
      <s:c r="F56" s="21" t="n">
        <s:v>55</s:v>
      </s:c>
      <s:c r="H56" s="2" t="inlineStr">
        <s:is>
          <s:t>多店舗化に伴う本部組織の段階的増強費用</s:t>
        </s:is>
      </s:c>
    </s:row>
  </s:sheetData>
  <s:pageMargins left="0.75" right="0.75" top="1" bottom="1" header="0.5" footer="0.5"/>
</s:worksheet>
</file>

<file path=xl/worksheets/sheet3.xml><?xml version="1.0" encoding="utf-8"?>
<s:worksheet xmlns:s="http://schemas.openxmlformats.org/spreadsheetml/2006/main">
  <s:sheetPr>
    <s:outlinePr summaryBelow="1" summaryRight="1"/>
    <s:pageSetUpPr/>
  </s:sheetPr>
  <s:dimension ref="A1:G25"/>
  <s:sheetViews>
    <s:sheetView showGridLines="0" workbookViewId="0">
      <s:selection activeCell="A1" sqref="A1"/>
    </s:sheetView>
  </s:sheetViews>
  <s:sheetFormatPr baseColWidth="8" defaultRowHeight="15"/>
  <s:cols>
    <s:col width="32" customWidth="1" min="1" max="1"/>
    <s:col width="15" customWidth="1" min="2" max="2"/>
    <s:col width="15" customWidth="1" min="3" max="3"/>
    <s:col width="15" customWidth="1" min="4" max="4"/>
    <s:col width="15" customWidth="1" min="5" max="5"/>
    <s:col width="4" customWidth="1" min="6" max="6"/>
    <s:col width="40" customWidth="1" min="7" max="7"/>
  </s:cols>
  <s:sheetData>
    <s:row r="1">
      <s:c r="A1" s="1" t="inlineStr">
        <s:is>
          <s:t>単店モデルPL（六本木ミッドタウン店・百万円）</s:t>
        </s:is>
      </s:c>
      <s:c r="B1" s="1" t="n"/>
      <s:c r="C1" s="1" t="n"/>
      <s:c r="D1" s="1" t="n"/>
      <s:c r="E1" s="1" t="n"/>
    </s:row>
    <s:row r="2">
      <s:c r="A2" s="2" t="inlineStr">
        <s:is>
          <s:t>満年度＝2026年8月3日提出P&amp;Lどおり。1年目/2年目/3年目以降は立上り率と経費改善を反映。</s:t>
        </s:is>
      </s:c>
    </s:row>
    <s:row r="3"/>
    <s:row r="4" ht="30" customHeight="1">
      <s:c r="A4" s="7" t="inlineStr">
        <s:is>
          <s:t>科　目</s:t>
        </s:is>
      </s:c>
      <s:c r="B4" s="32" t="inlineStr">
        <s:is>
          <s:t>満年度
（提出P&amp;L）</s:t>
        </s:is>
      </s:c>
      <s:c r="C4" s="32" t="inlineStr">
        <s:is>
          <s:t>1年目</s:t>
        </s:is>
      </s:c>
      <s:c r="D4" s="32" t="inlineStr">
        <s:is>
          <s:t>2年目</s:t>
        </s:is>
      </s:c>
      <s:c r="E4" s="32" t="inlineStr">
        <s:is>
          <s:t>3年目以降</s:t>
        </s:is>
      </s:c>
    </s:row>
    <s:row r="5">
      <s:c r="A5" s="13" t="inlineStr">
        <s:is>
          <s:t>売上高</s:t>
        </s:is>
      </s:c>
      <s:c r="B5" s="33">
        <s:f>'前提条件'!$B$5*'前提条件'!$B$8</s:f>
        <s:v>460.0</s:v>
      </s:c>
      <s:c r="C5" s="33">
        <s:f>'前提条件'!$B$5*'前提条件'!$B$6</s:f>
        <s:v>414.0</s:v>
      </s:c>
      <s:c r="D5" s="33">
        <s:f>'前提条件'!$B$5*'前提条件'!$B$7</s:f>
        <s:v>450.8</s:v>
      </s:c>
      <s:c r="E5" s="33">
        <s:f>'前提条件'!$B$5*'前提条件'!$B$8</s:f>
        <s:v>460.0</s:v>
      </s:c>
    </s:row>
    <s:row r="6">
      <s:c r="A6" s="9" t="inlineStr">
        <s:is>
          <s:t>売上原価</s:t>
        </s:is>
      </s:c>
      <s:c r="B6" s="34">
        <s:f>B$5*'前提条件'!$B$22</s:f>
        <s:v>135.7</s:v>
      </s:c>
      <s:c r="C6" s="34">
        <s:f>C$5*'前提条件'!$B$22</s:f>
        <s:v>122.13</s:v>
      </s:c>
      <s:c r="D6" s="34">
        <s:f>D$5*'前提条件'!$C$22</s:f>
        <s:v>130.732</s:v>
      </s:c>
      <s:c r="E6" s="34">
        <s:f>E$5*'前提条件'!$D$22</s:f>
        <s:v>131.1</s:v>
      </s:c>
    </s:row>
    <s:row r="7">
      <s:c r="A7" s="9" t="inlineStr">
        <s:is>
          <s:t>人件費</s:t>
        </s:is>
      </s:c>
      <s:c r="B7" s="34">
        <s:f>B$5*'前提条件'!$B$23</s:f>
        <s:v>158.7</s:v>
      </s:c>
      <s:c r="C7" s="34">
        <s:f>C$5*'前提条件'!$B$23</s:f>
        <s:v>142.82999999999998</s:v>
      </s:c>
      <s:c r="D7" s="34">
        <s:f>D$5*'前提条件'!$C$23</s:f>
        <s:v>151.018</s:v>
      </s:c>
      <s:c r="E7" s="34">
        <s:f>E$5*'前提条件'!$D$23</s:f>
        <s:v>149.5</s:v>
      </s:c>
    </s:row>
    <s:row r="8">
      <s:c r="A8" s="9" t="inlineStr">
        <s:is>
          <s:t>業務委託費・消耗品他</s:t>
        </s:is>
      </s:c>
      <s:c r="B8" s="34">
        <s:f>B$5*'前提条件'!$B$24</s:f>
        <s:v>11.040000000000001</s:v>
      </s:c>
      <s:c r="C8" s="34">
        <s:f>C$5*'前提条件'!$B$24</s:f>
        <s:v>9.936</s:v>
      </s:c>
      <s:c r="D8" s="34">
        <s:f>D$5*'前提条件'!$C$24</s:f>
        <s:v>9.9176</s:v>
      </s:c>
      <s:c r="E8" s="34">
        <s:f>E$5*'前提条件'!$D$24</s:f>
        <s:v>9.200000000000001</s:v>
      </s:c>
    </s:row>
    <s:row r="9">
      <s:c r="A9" s="13" t="inlineStr">
        <s:is>
          <s:t>部門利益</s:t>
        </s:is>
      </s:c>
      <s:c r="B9" s="35">
        <s:f>B5-SUM(B6:B8)</s:f>
        <s:v>154.56</s:v>
      </s:c>
      <s:c r="C9" s="35">
        <s:f>C5-SUM(C6:C8)</s:f>
        <s:v>139.10400000000004</s:v>
      </s:c>
      <s:c r="D9" s="35">
        <s:f>D5-SUM(D6:D8)</s:f>
        <s:v>159.13240000000002</s:v>
      </s:c>
      <s:c r="E9" s="35">
        <s:f>E5-SUM(E6:E8)</s:f>
        <s:v>170.2</s:v>
      </s:c>
    </s:row>
    <s:row r="10">
      <s:c r="A10" s="9" t="inlineStr">
        <s:is>
          <s:t>広告宣伝費・販売促進費</s:t>
        </s:is>
      </s:c>
      <s:c r="B10" s="34">
        <s:f>B$5*'前提条件'!$B$25</s:f>
        <s:v>6.44</s:v>
      </s:c>
      <s:c r="C10" s="34">
        <s:f>C$5*'前提条件'!$B$25</s:f>
        <s:v>5.796</s:v>
      </s:c>
      <s:c r="D10" s="34">
        <s:f>D$5*'前提条件'!$C$25</s:f>
        <s:v>6.3112</s:v>
      </s:c>
      <s:c r="E10" s="34">
        <s:f>E$5*'前提条件'!$D$25</s:f>
        <s:v>6.44</s:v>
      </s:c>
    </s:row>
    <s:row r="11">
      <s:c r="A11" s="9" t="inlineStr">
        <s:is>
          <s:t>その他経費</s:t>
        </s:is>
      </s:c>
      <s:c r="B11" s="34">
        <s:f>B$5*'前提条件'!$B$26</s:f>
        <s:v>2.3000000000000003</s:v>
      </s:c>
      <s:c r="C11" s="34">
        <s:f>C$5*'前提条件'!$B$26</s:f>
        <s:v>2.07</s:v>
      </s:c>
      <s:c r="D11" s="34">
        <s:f>D$5*'前提条件'!$C$26</s:f>
        <s:v>2.254</s:v>
      </s:c>
      <s:c r="E11" s="34">
        <s:f>E$5*'前提条件'!$D$26</s:f>
        <s:v>2.3000000000000003</s:v>
      </s:c>
    </s:row>
    <s:row r="12">
      <s:c r="A12" s="9" t="inlineStr">
        <s:is>
          <s:t>水道光熱費</s:t>
        </s:is>
      </s:c>
      <s:c r="B12" s="34">
        <s:f>B$5*'前提条件'!$B$27</s:f>
        <s:v>18.400000000000002</s:v>
      </s:c>
      <s:c r="C12" s="34">
        <s:f>C$5*'前提条件'!$B$27</s:f>
        <s:v>16.56</s:v>
      </s:c>
      <s:c r="D12" s="34">
        <s:f>D$5*'前提条件'!$C$27</s:f>
        <s:v>17.1304</s:v>
      </s:c>
      <s:c r="E12" s="34">
        <s:f>E$5*'前提条件'!$D$27</s:f>
        <s:v>16.56</s:v>
      </s:c>
    </s:row>
    <s:row r="13">
      <s:c r="A13" s="13" t="inlineStr">
        <s:is>
          <s:t>GOP（店舗営業総利益）</s:t>
        </s:is>
      </s:c>
      <s:c r="B13" s="35">
        <s:f>B9-SUM(B10:B12)</s:f>
        <s:v>127.42</s:v>
      </s:c>
      <s:c r="C13" s="35">
        <s:f>C9-SUM(C10:C12)</s:f>
        <s:v>114.67800000000004</s:v>
      </s:c>
      <s:c r="D13" s="35">
        <s:f>D9-SUM(D10:D12)</s:f>
        <s:v>133.4368</s:v>
      </s:c>
      <s:c r="E13" s="35">
        <s:f>E9-SUM(E10:E12)</s:f>
        <s:v>144.89999999999998</s:v>
      </s:c>
    </s:row>
    <s:row r="14">
      <s:c r="A14" s="9" t="inlineStr">
        <s:is>
          <s:t>ロイヤリティ</s:t>
        </s:is>
      </s:c>
      <s:c r="B14" s="34">
        <s:f>B$5*'前提条件'!$B$28</s:f>
        <s:v>18.400000000000002</s:v>
      </s:c>
      <s:c r="C14" s="34">
        <s:f>C$5*'前提条件'!$B$28</s:f>
        <s:v>16.56</s:v>
      </s:c>
      <s:c r="D14" s="34">
        <s:f>D$5*'前提条件'!$C$28</s:f>
        <s:v>18.032</s:v>
      </s:c>
      <s:c r="E14" s="34">
        <s:f>E$5*'前提条件'!$D$28</s:f>
        <s:v>18.400000000000002</s:v>
      </s:c>
    </s:row>
    <s:row r="15">
      <s:c r="A15" s="9" t="inlineStr">
        <s:is>
          <s:t>保険・租税公課</s:t>
        </s:is>
      </s:c>
      <s:c r="B15" s="34">
        <s:f>B$5*'前提条件'!$B$29</s:f>
        <s:v>3.22</s:v>
      </s:c>
      <s:c r="C15" s="34">
        <s:f>C$5*'前提条件'!$B$29</s:f>
        <s:v>2.898</s:v>
      </s:c>
      <s:c r="D15" s="34">
        <s:f>D$5*'前提条件'!$C$29</s:f>
        <s:v>3.1556</s:v>
      </s:c>
      <s:c r="E15" s="34">
        <s:f>E$5*'前提条件'!$D$29</s:f>
        <s:v>3.22</s:v>
      </s:c>
    </s:row>
    <s:row r="16">
      <s:c r="A16" s="9" t="inlineStr">
        <s:is>
          <s:t>地代家賃（固定）</s:t>
        </s:is>
      </s:c>
      <s:c r="B16" s="34">
        <s:f>'前提条件'!$B$14</s:f>
        <s:v>26.64</s:v>
      </s:c>
      <s:c r="C16" s="34">
        <s:f>'前提条件'!$B$14</s:f>
        <s:v>26.64</s:v>
      </s:c>
      <s:c r="D16" s="34">
        <s:f>'前提条件'!$B$14</s:f>
        <s:v>26.64</s:v>
      </s:c>
      <s:c r="E16" s="34">
        <s:f>'前提条件'!$B$14</s:f>
        <s:v>26.64</s:v>
      </s:c>
    </s:row>
    <s:row r="17">
      <s:c r="A17" s="9" t="inlineStr">
        <s:is>
          <s:t>歩合家賃</s:t>
        </s:is>
      </s:c>
      <s:c r="B17" s="34">
        <s:f>MAX(0,B5-'前提条件'!$B$16)*'前提条件'!$B$15</s:f>
        <s:v>9.002000000000002</s:v>
      </s:c>
      <s:c r="C17" s="34">
        <s:f>MAX(0,C5-'前提条件'!$B$16)*'前提条件'!$B$15</s:f>
        <s:v>5.782000000000002</s:v>
      </s:c>
      <s:c r="D17" s="34">
        <s:f>MAX(0,D5-'前提条件'!$B$16)*'前提条件'!$B$15</s:f>
        <s:v>8.358000000000002</s:v>
      </s:c>
      <s:c r="E17" s="34">
        <s:f>MAX(0,E5-'前提条件'!$B$16)*'前提条件'!$B$15</s:f>
        <s:v>9.002000000000002</s:v>
      </s:c>
    </s:row>
    <s:row r="18">
      <s:c r="A18" s="9" t="inlineStr">
        <s:is>
          <s:t>修繕維持費（FFE）</s:t>
        </s:is>
      </s:c>
      <s:c r="B18" s="34">
        <s:f>B$5*'前提条件'!$B$30</s:f>
        <s:v>11.5</s:v>
      </s:c>
      <s:c r="C18" s="34">
        <s:f>C$5*'前提条件'!$B$30</s:f>
        <s:v>10.350000000000001</s:v>
      </s:c>
      <s:c r="D18" s="34">
        <s:f>D$5*'前提条件'!$C$30</s:f>
        <s:v>11.270000000000001</s:v>
      </s:c>
      <s:c r="E18" s="34">
        <s:f>E$5*'前提条件'!$D$30</s:f>
        <s:v>11.5</s:v>
      </s:c>
    </s:row>
    <s:row r="19">
      <s:c r="A19" s="13" t="inlineStr">
        <s:is>
          <s:t>EBITDA</s:t>
        </s:is>
      </s:c>
      <s:c r="B19" s="36">
        <s:f>B13-SUM(B14:B18)</s:f>
        <s:v>58.658</s:v>
      </s:c>
      <s:c r="C19" s="36">
        <s:f>C13-SUM(C14:C18)</s:f>
        <s:v>52.448000000000036</s:v>
      </s:c>
      <s:c r="D19" s="36">
        <s:f>D13-SUM(D14:D18)</s:f>
        <s:v>65.9812</s:v>
      </s:c>
      <s:c r="E19" s="36">
        <s:f>E13-SUM(E14:E18)</s:f>
        <s:v>76.13799999999998</s:v>
      </s:c>
      <s:c r="G19" s="28" t="inlineStr">
        <s:is>
          <s:t>成熟店：EBITDA率16.5%／営業利益率12.1%</s:t>
        </s:is>
      </s:c>
    </s:row>
    <s:row r="20">
      <s:c r="A20" s="9" t="inlineStr">
        <s:is>
          <s:t>減価償却費</s:t>
        </s:is>
      </s:c>
      <s:c r="B20" s="11">
        <s:f>'前提条件'!$B$42</s:f>
        <s:v>20.8</s:v>
      </s:c>
      <s:c r="C20" s="11">
        <s:f>'前提条件'!$B$42</s:f>
        <s:v>20.8</s:v>
      </s:c>
      <s:c r="D20" s="11">
        <s:f>'前提条件'!$B$42</s:f>
        <s:v>20.8</s:v>
      </s:c>
      <s:c r="E20" s="11">
        <s:f>'前提条件'!$B$42</s:f>
        <s:v>20.8</s:v>
      </s:c>
    </s:row>
    <s:row r="21">
      <s:c r="A21" s="13" t="inlineStr">
        <s:is>
          <s:t>営業利益</s:t>
        </s:is>
      </s:c>
      <s:c r="B21" s="36">
        <s:f>B19-B20</s:f>
        <s:v>37.858000000000004</s:v>
      </s:c>
      <s:c r="C21" s="36">
        <s:f>C19-C20</s:f>
        <s:v>31.648000000000035</s:v>
      </s:c>
      <s:c r="D21" s="36">
        <s:f>D19-D20</s:f>
        <s:v>45.181200000000004</s:v>
      </s:c>
      <s:c r="E21" s="36">
        <s:f>E19-E20</s:f>
        <s:v>55.33799999999998</s:v>
      </s:c>
    </s:row>
    <s:row r="22">
      <s:c r="A22" s="13" t="inlineStr">
        <s:is>
          <s:t xml:space="preserve">　EBITDA率</s:t>
        </s:is>
      </s:c>
      <s:c r="B22" s="37">
        <s:f>B19/B5</s:f>
        <s:v>0.12751739130434783</s:v>
      </s:c>
      <s:c r="C22" s="37">
        <s:f>C19/C5</s:f>
        <s:v>0.12668599033816433</s:v>
      </s:c>
      <s:c r="D22" s="37">
        <s:f>D19/D5</s:f>
        <s:v>0.14636468500443656</s:v>
      </s:c>
      <s:c r="E22" s="37">
        <s:f>E19/E5</s:f>
        <s:v>0.16551739130434778</s:v>
      </s:c>
    </s:row>
    <s:row r="23">
      <s:c r="A23" s="13" t="inlineStr">
        <s:is>
          <s:t xml:space="preserve">　営業利益率</s:t>
        </s:is>
      </s:c>
      <s:c r="B23" s="37">
        <s:f>B21/B5</s:f>
        <s:v>0.08230000000000001</s:v>
      </s:c>
      <s:c r="C23" s="37">
        <s:f>C21/C5</s:f>
        <s:v>0.07644444444444452</s:v>
      </s:c>
      <s:c r="D23" s="37">
        <s:f>D21/D5</s:f>
        <s:v>0.10022448979591837</s:v>
      </s:c>
      <s:c r="E23" s="37">
        <s:f>E21/E5</s:f>
        <s:v>0.12029999999999996</s:v>
      </s:c>
    </s:row>
    <s:row r="24"/>
    <s:row r="25">
      <s:c r="A25" s="2" t="inlineStr">
        <s:is>
          <s:t>※ 減価償却費は1〜3号店ベース（償却対象208百万円÷10年）。金利・税金は含まない。</s:t>
        </s:is>
      </s:c>
    </s:row>
  </s:sheetData>
  <s:pageMargins left="0.75" right="0.75" top="1" bottom="1" header="0.5" footer="0.5"/>
</s:worksheet>
</file>

<file path=xl/worksheets/sheet4.xml><?xml version="1.0" encoding="utf-8"?>
<s:worksheet xmlns:s="http://schemas.openxmlformats.org/spreadsheetml/2006/main">
  <s:sheetPr>
    <s:outlinePr summaryBelow="1" summaryRight="1"/>
    <s:pageSetUpPr/>
  </s:sheetPr>
  <s:dimension ref="A1:H113"/>
  <s:sheetViews>
    <s:sheetView showGridLines="0" workbookViewId="0">
      <s:selection activeCell="A1" sqref="A1"/>
    </s:sheetView>
  </s:sheetViews>
  <s:sheetFormatPr baseColWidth="8" defaultRowHeight="15"/>
  <s:cols>
    <s:col width="30" customWidth="1" min="1" max="1"/>
    <s:col width="11" customWidth="1" min="2" max="2"/>
    <s:col width="13" customWidth="1" min="3" max="3"/>
    <s:col width="13" customWidth="1" min="4" max="4"/>
    <s:col width="13" customWidth="1" min="5" max="5"/>
    <s:col width="13" customWidth="1" min="6" max="6"/>
    <s:col width="13" customWidth="1" min="7" max="7"/>
  </s:cols>
  <s:sheetData>
    <s:row r="1">
      <s:c r="A1" s="1" t="inlineStr">
        <s:is>
          <s:t>店舗群（出店年度コホート）別PL（百万円）</s:t>
        </s:is>
      </s:c>
      <s:c r="B1" s="1" t="n"/>
      <s:c r="C1" s="1" t="n"/>
      <s:c r="D1" s="1" t="n"/>
      <s:c r="E1" s="1" t="n"/>
      <s:c r="F1" s="1" t="n"/>
      <s:c r="G1" s="1" t="n"/>
      <s:c r="H1" s="1" t="n"/>
    </s:row>
    <s:row r="2">
      <s:c r="A2" s="2" t="inlineStr">
        <s:is>
          <s:t>年次（1/2/3）に応じて「前提条件」の立上り率・変動費率を自動参照。地代家賃と歩合家賃の閾値は稼働月数で按分。</s:t>
        </s:is>
      </s:c>
    </s:row>
    <s:row r="3">
      <s:c r="A3" s="7" t="inlineStr">
        <s:is>
          <s:t>店舗群</s:t>
        </s:is>
      </s:c>
      <s:c r="B3" s="8" t="inlineStr">
        <s:is>
          <s:t>店舗数</s:t>
        </s:is>
      </s:c>
      <s:c r="C3" s="8" t="inlineStr">
        <s:is>
          <s:t>FY2027</s:t>
        </s:is>
      </s:c>
      <s:c r="D3" s="8" t="inlineStr">
        <s:is>
          <s:t>FY2028</s:t>
        </s:is>
      </s:c>
      <s:c r="E3" s="8" t="inlineStr">
        <s:is>
          <s:t>FY2029</s:t>
        </s:is>
      </s:c>
      <s:c r="F3" s="8" t="inlineStr">
        <s:is>
          <s:t>FY2030</s:t>
        </s:is>
      </s:c>
      <s:c r="G3" s="8" t="inlineStr">
        <s:is>
          <s:t>FY2031</s:t>
        </s:is>
      </s:c>
    </s:row>
    <s:row r="4"/>
    <s:row r="5">
      <s:c r="A5" s="3" t="inlineStr">
        <s:is>
          <s:t xml:space="preserve">　① 東京（六本木ミッドタウン）</s:t>
        </s:is>
      </s:c>
      <s:c r="B5" s="3" t="n"/>
      <s:c r="C5" s="3" t="n"/>
      <s:c r="D5" s="3" t="n"/>
      <s:c r="E5" s="3" t="n"/>
      <s:c r="F5" s="3" t="n"/>
      <s:c r="G5" s="3" t="n"/>
    </s:row>
    <s:row r="6">
      <s:c r="A6" s="38" t="inlineStr">
        <s:is>
          <s:t>店舗数（店）</s:t>
        </s:is>
      </s:c>
      <s:c r="B6" s="30" t="n">
        <s:v>1</s:v>
      </s:c>
    </s:row>
    <s:row r="7">
      <s:c r="A7" s="38" t="inlineStr">
        <s:is>
          <s:t>開業年度の稼働月数</s:t>
        </s:is>
      </s:c>
      <s:c r="B7" s="39">
        <s:f>'前提条件'!$B$10</s:f>
        <s:v>12.0</s:v>
      </s:c>
    </s:row>
    <s:row r="8">
      <s:c r="A8" s="38" t="inlineStr">
        <s:is>
          <s:t>年次（0=未開業/1/2/3）</s:t>
        </s:is>
      </s:c>
      <s:c r="C8" s="30" t="n">
        <s:v>1</s:v>
      </s:c>
      <s:c r="D8" s="30" t="n">
        <s:v>2</s:v>
      </s:c>
      <s:c r="E8" s="30" t="n">
        <s:v>3</s:v>
      </s:c>
      <s:c r="F8" s="30" t="n">
        <s:v>3</s:v>
      </s:c>
      <s:c r="G8" s="30" t="n">
        <s:v>3</s:v>
      </s:c>
    </s:row>
    <s:row r="9">
      <s:c r="A9" s="13" t="inlineStr">
        <s:is>
          <s:t>売上高</s:t>
        </s:is>
      </s:c>
      <s:c r="C9" s="33">
        <s:f>IF(C8=0,0,'前提条件'!$B$5*INDEX('前提条件'!$B$6:$B$8,C8)*$B$6*IF(C8=1,$B$7/12,1))</s:f>
        <s:v>414.0</s:v>
      </s:c>
      <s:c r="D9" s="33">
        <s:f>IF(D8=0,0,'前提条件'!$B$5*INDEX('前提条件'!$B$6:$B$8,D8)*$B$6*IF(D8=1,$B$7/12,1))</s:f>
        <s:v>450.8</s:v>
      </s:c>
      <s:c r="E9" s="33">
        <s:f>IF(E8=0,0,'前提条件'!$B$5*INDEX('前提条件'!$B$6:$B$8,E8)*$B$6*IF(E8=1,$B$7/12,1))</s:f>
        <s:v>460.0</s:v>
      </s:c>
      <s:c r="F9" s="33">
        <s:f>IF(F8=0,0,'前提条件'!$B$5*INDEX('前提条件'!$B$6:$B$8,F8)*$B$6*IF(F8=1,$B$7/12,1))</s:f>
        <s:v>460.0</s:v>
      </s:c>
      <s:c r="G9" s="33">
        <s:f>IF(G8=0,0,'前提条件'!$B$5*INDEX('前提条件'!$B$6:$B$8,G8)*$B$6*IF(G8=1,$B$7/12,1))</s:f>
        <s:v>460.0</s:v>
      </s:c>
    </s:row>
    <s:row r="10">
      <s:c r="A10" s="19" t="inlineStr">
        <s:is>
          <s:t>売上原価</s:t>
        </s:is>
      </s:c>
      <s:c r="C10" s="34">
        <s:f>IF(C$8=0,0,C$9*INDEX('前提条件'!$B$22:$D$22,1,C$8))</s:f>
        <s:v>122.13</s:v>
      </s:c>
      <s:c r="D10" s="34">
        <s:f>IF(D$8=0,0,D$9*INDEX('前提条件'!$B$22:$D$22,1,D$8))</s:f>
        <s:v>130.732</s:v>
      </s:c>
      <s:c r="E10" s="34">
        <s:f>IF(E$8=0,0,E$9*INDEX('前提条件'!$B$22:$D$22,1,E$8))</s:f>
        <s:v>131.1</s:v>
      </s:c>
      <s:c r="F10" s="34">
        <s:f>IF(F$8=0,0,F$9*INDEX('前提条件'!$B$22:$D$22,1,F$8))</s:f>
        <s:v>131.1</s:v>
      </s:c>
      <s:c r="G10" s="34">
        <s:f>IF(G$8=0,0,G$9*INDEX('前提条件'!$B$22:$D$22,1,G$8))</s:f>
        <s:v>131.1</s:v>
      </s:c>
    </s:row>
    <s:row r="11">
      <s:c r="A11" s="19" t="inlineStr">
        <s:is>
          <s:t>人件費</s:t>
        </s:is>
      </s:c>
      <s:c r="C11" s="34">
        <s:f>IF(C$8=0,0,C$9*INDEX('前提条件'!$B$23:$D$23,1,C$8))</s:f>
        <s:v>142.82999999999998</s:v>
      </s:c>
      <s:c r="D11" s="34">
        <s:f>IF(D$8=0,0,D$9*INDEX('前提条件'!$B$23:$D$23,1,D$8))</s:f>
        <s:v>151.018</s:v>
      </s:c>
      <s:c r="E11" s="34">
        <s:f>IF(E$8=0,0,E$9*INDEX('前提条件'!$B$23:$D$23,1,E$8))</s:f>
        <s:v>149.5</s:v>
      </s:c>
      <s:c r="F11" s="34">
        <s:f>IF(F$8=0,0,F$9*INDEX('前提条件'!$B$23:$D$23,1,F$8))</s:f>
        <s:v>149.5</s:v>
      </s:c>
      <s:c r="G11" s="34">
        <s:f>IF(G$8=0,0,G$9*INDEX('前提条件'!$B$23:$D$23,1,G$8))</s:f>
        <s:v>149.5</s:v>
      </s:c>
    </s:row>
    <s:row r="12">
      <s:c r="A12" s="19" t="inlineStr">
        <s:is>
          <s:t>業務委託費・消耗品他</s:t>
        </s:is>
      </s:c>
      <s:c r="C12" s="34">
        <s:f>IF(C$8=0,0,C$9*INDEX('前提条件'!$B$24:$D$24,1,C$8))</s:f>
        <s:v>9.936</s:v>
      </s:c>
      <s:c r="D12" s="34">
        <s:f>IF(D$8=0,0,D$9*INDEX('前提条件'!$B$24:$D$24,1,D$8))</s:f>
        <s:v>9.9176</s:v>
      </s:c>
      <s:c r="E12" s="34">
        <s:f>IF(E$8=0,0,E$9*INDEX('前提条件'!$B$24:$D$24,1,E$8))</s:f>
        <s:v>9.200000000000001</s:v>
      </s:c>
      <s:c r="F12" s="34">
        <s:f>IF(F$8=0,0,F$9*INDEX('前提条件'!$B$24:$D$24,1,F$8))</s:f>
        <s:v>9.200000000000001</s:v>
      </s:c>
      <s:c r="G12" s="34">
        <s:f>IF(G$8=0,0,G$9*INDEX('前提条件'!$B$24:$D$24,1,G$8))</s:f>
        <s:v>9.200000000000001</s:v>
      </s:c>
    </s:row>
    <s:row r="13">
      <s:c r="A13" s="40" t="inlineStr">
        <s:is>
          <s:t>部門利益</s:t>
        </s:is>
      </s:c>
      <s:c r="C13" s="35">
        <s:f>C9-SUM(C10:C12)</s:f>
        <s:v>139.10400000000004</s:v>
      </s:c>
      <s:c r="D13" s="35">
        <s:f>D9-SUM(D10:D12)</s:f>
        <s:v>159.13240000000002</s:v>
      </s:c>
      <s:c r="E13" s="35">
        <s:f>E9-SUM(E10:E12)</s:f>
        <s:v>170.2</s:v>
      </s:c>
      <s:c r="F13" s="35">
        <s:f>F9-SUM(F10:F12)</s:f>
        <s:v>170.2</s:v>
      </s:c>
      <s:c r="G13" s="35">
        <s:f>G9-SUM(G10:G12)</s:f>
        <s:v>170.2</s:v>
      </s:c>
    </s:row>
    <s:row r="14">
      <s:c r="A14" s="19" t="inlineStr">
        <s:is>
          <s:t>広告宣伝費・販売促進費</s:t>
        </s:is>
      </s:c>
      <s:c r="C14" s="34">
        <s:f>IF(C$8=0,0,C$9*INDEX('前提条件'!$B$25:$D$25,1,C$8))</s:f>
        <s:v>5.796</s:v>
      </s:c>
      <s:c r="D14" s="34">
        <s:f>IF(D$8=0,0,D$9*INDEX('前提条件'!$B$25:$D$25,1,D$8))</s:f>
        <s:v>6.3112</s:v>
      </s:c>
      <s:c r="E14" s="34">
        <s:f>IF(E$8=0,0,E$9*INDEX('前提条件'!$B$25:$D$25,1,E$8))</s:f>
        <s:v>6.44</s:v>
      </s:c>
      <s:c r="F14" s="34">
        <s:f>IF(F$8=0,0,F$9*INDEX('前提条件'!$B$25:$D$25,1,F$8))</s:f>
        <s:v>6.44</s:v>
      </s:c>
      <s:c r="G14" s="34">
        <s:f>IF(G$8=0,0,G$9*INDEX('前提条件'!$B$25:$D$25,1,G$8))</s:f>
        <s:v>6.44</s:v>
      </s:c>
    </s:row>
    <s:row r="15">
      <s:c r="A15" s="19" t="inlineStr">
        <s:is>
          <s:t>その他経費</s:t>
        </s:is>
      </s:c>
      <s:c r="C15" s="34">
        <s:f>IF(C$8=0,0,C$9*INDEX('前提条件'!$B$26:$D$26,1,C$8))</s:f>
        <s:v>2.07</s:v>
      </s:c>
      <s:c r="D15" s="34">
        <s:f>IF(D$8=0,0,D$9*INDEX('前提条件'!$B$26:$D$26,1,D$8))</s:f>
        <s:v>2.254</s:v>
      </s:c>
      <s:c r="E15" s="34">
        <s:f>IF(E$8=0,0,E$9*INDEX('前提条件'!$B$26:$D$26,1,E$8))</s:f>
        <s:v>2.3000000000000003</s:v>
      </s:c>
      <s:c r="F15" s="34">
        <s:f>IF(F$8=0,0,F$9*INDEX('前提条件'!$B$26:$D$26,1,F$8))</s:f>
        <s:v>2.3000000000000003</s:v>
      </s:c>
      <s:c r="G15" s="34">
        <s:f>IF(G$8=0,0,G$9*INDEX('前提条件'!$B$26:$D$26,1,G$8))</s:f>
        <s:v>2.3000000000000003</s:v>
      </s:c>
    </s:row>
    <s:row r="16">
      <s:c r="A16" s="19" t="inlineStr">
        <s:is>
          <s:t>水道光熱費</s:t>
        </s:is>
      </s:c>
      <s:c r="C16" s="34">
        <s:f>IF(C$8=0,0,C$9*INDEX('前提条件'!$B$27:$D$27,1,C$8))</s:f>
        <s:v>16.56</s:v>
      </s:c>
      <s:c r="D16" s="34">
        <s:f>IF(D$8=0,0,D$9*INDEX('前提条件'!$B$27:$D$27,1,D$8))</s:f>
        <s:v>17.1304</s:v>
      </s:c>
      <s:c r="E16" s="34">
        <s:f>IF(E$8=0,0,E$9*INDEX('前提条件'!$B$27:$D$27,1,E$8))</s:f>
        <s:v>16.56</s:v>
      </s:c>
      <s:c r="F16" s="34">
        <s:f>IF(F$8=0,0,F$9*INDEX('前提条件'!$B$27:$D$27,1,F$8))</s:f>
        <s:v>16.56</s:v>
      </s:c>
      <s:c r="G16" s="34">
        <s:f>IF(G$8=0,0,G$9*INDEX('前提条件'!$B$27:$D$27,1,G$8))</s:f>
        <s:v>16.56</s:v>
      </s:c>
    </s:row>
    <s:row r="17">
      <s:c r="A17" s="40" t="inlineStr">
        <s:is>
          <s:t>GOP（店舗営業総利益）</s:t>
        </s:is>
      </s:c>
      <s:c r="C17" s="35">
        <s:f>C13-SUM(C14:C16)</s:f>
        <s:v>114.67800000000004</s:v>
      </s:c>
      <s:c r="D17" s="35">
        <s:f>D13-SUM(D14:D16)</s:f>
        <s:v>133.4368</s:v>
      </s:c>
      <s:c r="E17" s="35">
        <s:f>E13-SUM(E14:E16)</s:f>
        <s:v>144.89999999999998</s:v>
      </s:c>
      <s:c r="F17" s="35">
        <s:f>F13-SUM(F14:F16)</s:f>
        <s:v>144.89999999999998</s:v>
      </s:c>
      <s:c r="G17" s="35">
        <s:f>G13-SUM(G14:G16)</s:f>
        <s:v>144.89999999999998</s:v>
      </s:c>
    </s:row>
    <s:row r="18">
      <s:c r="A18" s="19" t="inlineStr">
        <s:is>
          <s:t>ロイヤリティ</s:t>
        </s:is>
      </s:c>
      <s:c r="C18" s="34">
        <s:f>IF(C$8=0,0,C$9*INDEX('前提条件'!$B$28:$D$28,1,C$8))</s:f>
        <s:v>16.56</s:v>
      </s:c>
      <s:c r="D18" s="34">
        <s:f>IF(D$8=0,0,D$9*INDEX('前提条件'!$B$28:$D$28,1,D$8))</s:f>
        <s:v>18.032</s:v>
      </s:c>
      <s:c r="E18" s="34">
        <s:f>IF(E$8=0,0,E$9*INDEX('前提条件'!$B$28:$D$28,1,E$8))</s:f>
        <s:v>18.400000000000002</s:v>
      </s:c>
      <s:c r="F18" s="34">
        <s:f>IF(F$8=0,0,F$9*INDEX('前提条件'!$B$28:$D$28,1,F$8))</s:f>
        <s:v>18.400000000000002</s:v>
      </s:c>
      <s:c r="G18" s="34">
        <s:f>IF(G$8=0,0,G$9*INDEX('前提条件'!$B$28:$D$28,1,G$8))</s:f>
        <s:v>18.400000000000002</s:v>
      </s:c>
    </s:row>
    <s:row r="19">
      <s:c r="A19" s="19" t="inlineStr">
        <s:is>
          <s:t>保険・租税公課</s:t>
        </s:is>
      </s:c>
      <s:c r="C19" s="34">
        <s:f>IF(C$8=0,0,C$9*INDEX('前提条件'!$B$29:$D$29,1,C$8))</s:f>
        <s:v>2.898</s:v>
      </s:c>
      <s:c r="D19" s="34">
        <s:f>IF(D$8=0,0,D$9*INDEX('前提条件'!$B$29:$D$29,1,D$8))</s:f>
        <s:v>3.1556</s:v>
      </s:c>
      <s:c r="E19" s="34">
        <s:f>IF(E$8=0,0,E$9*INDEX('前提条件'!$B$29:$D$29,1,E$8))</s:f>
        <s:v>3.22</s:v>
      </s:c>
      <s:c r="F19" s="34">
        <s:f>IF(F$8=0,0,F$9*INDEX('前提条件'!$B$29:$D$29,1,F$8))</s:f>
        <s:v>3.22</s:v>
      </s:c>
      <s:c r="G19" s="34">
        <s:f>IF(G$8=0,0,G$9*INDEX('前提条件'!$B$29:$D$29,1,G$8))</s:f>
        <s:v>3.22</s:v>
      </s:c>
    </s:row>
    <s:row r="20">
      <s:c r="A20" s="19" t="inlineStr">
        <s:is>
          <s:t>地代家賃（固定）</s:t>
        </s:is>
      </s:c>
      <s:c r="C20" s="34">
        <s:f>IF(C8=0,0,'前提条件'!$B$14*$B$6*IF(C8=1,$B$7/12,1))</s:f>
        <s:v>26.64</s:v>
      </s:c>
      <s:c r="D20" s="34">
        <s:f>IF(D8=0,0,'前提条件'!$B$14*$B$6*IF(D8=1,$B$7/12,1))</s:f>
        <s:v>26.64</s:v>
      </s:c>
      <s:c r="E20" s="34">
        <s:f>IF(E8=0,0,'前提条件'!$B$14*$B$6*IF(E8=1,$B$7/12,1))</s:f>
        <s:v>26.64</s:v>
      </s:c>
      <s:c r="F20" s="34">
        <s:f>IF(F8=0,0,'前提条件'!$B$14*$B$6*IF(F8=1,$B$7/12,1))</s:f>
        <s:v>26.64</s:v>
      </s:c>
      <s:c r="G20" s="34">
        <s:f>IF(G8=0,0,'前提条件'!$B$14*$B$6*IF(G8=1,$B$7/12,1))</s:f>
        <s:v>26.64</s:v>
      </s:c>
    </s:row>
    <s:row r="21">
      <s:c r="A21" s="19" t="inlineStr">
        <s:is>
          <s:t>歩合家賃</s:t>
        </s:is>
      </s:c>
      <s:c r="C21" s="34">
        <s:f>IF(C8=0,0,MAX(0,C9/$B$6-'前提条件'!$B$16*IF(C8=1,$B$7/12,1))*'前提条件'!$B$15*$B$6)</s:f>
        <s:v>5.782000000000002</s:v>
      </s:c>
      <s:c r="D21" s="34">
        <s:f>IF(D8=0,0,MAX(0,D9/$B$6-'前提条件'!$B$16*IF(D8=1,$B$7/12,1))*'前提条件'!$B$15*$B$6)</s:f>
        <s:v>8.358000000000002</s:v>
      </s:c>
      <s:c r="E21" s="34">
        <s:f>IF(E8=0,0,MAX(0,E9/$B$6-'前提条件'!$B$16*IF(E8=1,$B$7/12,1))*'前提条件'!$B$15*$B$6)</s:f>
        <s:v>9.002000000000002</s:v>
      </s:c>
      <s:c r="F21" s="34">
        <s:f>IF(F8=0,0,MAX(0,F9/$B$6-'前提条件'!$B$16*IF(F8=1,$B$7/12,1))*'前提条件'!$B$15*$B$6)</s:f>
        <s:v>9.002000000000002</s:v>
      </s:c>
      <s:c r="G21" s="34">
        <s:f>IF(G8=0,0,MAX(0,G9/$B$6-'前提条件'!$B$16*IF(G8=1,$B$7/12,1))*'前提条件'!$B$15*$B$6)</s:f>
        <s:v>9.002000000000002</s:v>
      </s:c>
    </s:row>
    <s:row r="22">
      <s:c r="A22" s="19" t="inlineStr">
        <s:is>
          <s:t>修繕維持費（FFE）</s:t>
        </s:is>
      </s:c>
      <s:c r="C22" s="34">
        <s:f>IF(C$8=0,0,C$9*INDEX('前提条件'!$B$30:$D$30,1,C$8))</s:f>
        <s:v>10.350000000000001</s:v>
      </s:c>
      <s:c r="D22" s="34">
        <s:f>IF(D$8=0,0,D$9*INDEX('前提条件'!$B$30:$D$30,1,D$8))</s:f>
        <s:v>11.270000000000001</s:v>
      </s:c>
      <s:c r="E22" s="34">
        <s:f>IF(E$8=0,0,E$9*INDEX('前提条件'!$B$30:$D$30,1,E$8))</s:f>
        <s:v>11.5</s:v>
      </s:c>
      <s:c r="F22" s="34">
        <s:f>IF(F$8=0,0,F$9*INDEX('前提条件'!$B$30:$D$30,1,F$8))</s:f>
        <s:v>11.5</s:v>
      </s:c>
      <s:c r="G22" s="34">
        <s:f>IF(G$8=0,0,G$9*INDEX('前提条件'!$B$30:$D$30,1,G$8))</s:f>
        <s:v>11.5</s:v>
      </s:c>
    </s:row>
    <s:row r="23">
      <s:c r="A23" s="13" t="inlineStr">
        <s:is>
          <s:t>店舗EBITDA</s:t>
        </s:is>
      </s:c>
      <s:c r="C23" s="35">
        <s:f>C17-SUM(C18:C22)</s:f>
        <s:v>52.448000000000036</s:v>
      </s:c>
      <s:c r="D23" s="35">
        <s:f>D17-SUM(D18:D22)</s:f>
        <s:v>65.9812</s:v>
      </s:c>
      <s:c r="E23" s="35">
        <s:f>E17-SUM(E18:E22)</s:f>
        <s:v>76.13799999999998</s:v>
      </s:c>
      <s:c r="F23" s="35">
        <s:f>F17-SUM(F18:F22)</s:f>
        <s:v>76.13799999999998</s:v>
      </s:c>
      <s:c r="G23" s="35">
        <s:f>G17-SUM(G18:G22)</s:f>
        <s:v>76.13799999999998</s:v>
      </s:c>
    </s:row>
    <s:row r="24">
      <s:c r="A24" s="9" t="inlineStr">
        <s:is>
          <s:t>減価償却費</s:t>
        </s:is>
      </s:c>
      <s:c r="C24" s="34">
        <s:f>IF(C8=0,0,'前提条件'!$B$42*$B$6*IF(C8=1,$B$7/12,1))</s:f>
        <s:v>20.8</s:v>
      </s:c>
      <s:c r="D24" s="34">
        <s:f>IF(D8=0,0,'前提条件'!$B$42*$B$6*IF(D8=1,$B$7/12,1))</s:f>
        <s:v>20.8</s:v>
      </s:c>
      <s:c r="E24" s="34">
        <s:f>IF(E8=0,0,'前提条件'!$B$42*$B$6*IF(E8=1,$B$7/12,1))</s:f>
        <s:v>20.8</s:v>
      </s:c>
      <s:c r="F24" s="34">
        <s:f>IF(F8=0,0,'前提条件'!$B$42*$B$6*IF(F8=1,$B$7/12,1))</s:f>
        <s:v>20.8</s:v>
      </s:c>
      <s:c r="G24" s="34">
        <s:f>IF(G8=0,0,'前提条件'!$B$42*$B$6*IF(G8=1,$B$7/12,1))</s:f>
        <s:v>20.8</s:v>
      </s:c>
    </s:row>
    <s:row r="25">
      <s:c r="A25" s="13" t="inlineStr">
        <s:is>
          <s:t>店舗営業利益</s:t>
        </s:is>
      </s:c>
      <s:c r="C25" s="35">
        <s:f>C23-C24</s:f>
        <s:v>31.648000000000035</s:v>
      </s:c>
      <s:c r="D25" s="35">
        <s:f>D23-D24</s:f>
        <s:v>45.181200000000004</s:v>
      </s:c>
      <s:c r="E25" s="35">
        <s:f>E23-E24</s:f>
        <s:v>55.33799999999998</s:v>
      </s:c>
      <s:c r="F25" s="35">
        <s:f>F23-F24</s:f>
        <s:v>55.33799999999998</s:v>
      </s:c>
      <s:c r="G25" s="35">
        <s:f>G23-G24</s:f>
        <s:v>55.33799999999998</s:v>
      </s:c>
    </s:row>
    <s:row r="26"/>
    <s:row r="27">
      <s:c r="A27" s="3" t="inlineStr">
        <s:is>
          <s:t xml:space="preserve">　② 札幌・大阪</s:t>
        </s:is>
      </s:c>
      <s:c r="B27" s="3" t="n"/>
      <s:c r="C27" s="3" t="n"/>
      <s:c r="D27" s="3" t="n"/>
      <s:c r="E27" s="3" t="n"/>
      <s:c r="F27" s="3" t="n"/>
      <s:c r="G27" s="3" t="n"/>
    </s:row>
    <s:row r="28">
      <s:c r="A28" s="38" t="inlineStr">
        <s:is>
          <s:t>店舗数（店）</s:t>
        </s:is>
      </s:c>
      <s:c r="B28" s="30" t="n">
        <s:v>2</s:v>
      </s:c>
    </s:row>
    <s:row r="29">
      <s:c r="A29" s="38" t="inlineStr">
        <s:is>
          <s:t>開業年度の稼働月数</s:t>
        </s:is>
      </s:c>
      <s:c r="B29" s="39">
        <s:f>'前提条件'!$B$9</s:f>
        <s:v>7.5</s:v>
      </s:c>
    </s:row>
    <s:row r="30">
      <s:c r="A30" s="38" t="inlineStr">
        <s:is>
          <s:t>年次（0=未開業/1/2/3）</s:t>
        </s:is>
      </s:c>
      <s:c r="C30" s="30" t="n">
        <s:v>0</s:v>
      </s:c>
      <s:c r="D30" s="30" t="n">
        <s:v>1</s:v>
      </s:c>
      <s:c r="E30" s="30" t="n">
        <s:v>2</s:v>
      </s:c>
      <s:c r="F30" s="30" t="n">
        <s:v>3</s:v>
      </s:c>
      <s:c r="G30" s="30" t="n">
        <s:v>3</s:v>
      </s:c>
    </s:row>
    <s:row r="31">
      <s:c r="A31" s="13" t="inlineStr">
        <s:is>
          <s:t>売上高</s:t>
        </s:is>
      </s:c>
      <s:c r="C31" s="33">
        <s:f>IF(C30=0,0,'前提条件'!$B$5*INDEX('前提条件'!$B$6:$B$8,C30)*$B$28*IF(C30=1,$B$29/12,1))</s:f>
        <s:v>0.0</s:v>
      </s:c>
      <s:c r="D31" s="33">
        <s:f>IF(D30=0,0,'前提条件'!$B$5*INDEX('前提条件'!$B$6:$B$8,D30)*$B$28*IF(D30=1,$B$29/12,1))</s:f>
        <s:v>517.5</s:v>
      </s:c>
      <s:c r="E31" s="33">
        <s:f>IF(E30=0,0,'前提条件'!$B$5*INDEX('前提条件'!$B$6:$B$8,E30)*$B$28*IF(E30=1,$B$29/12,1))</s:f>
        <s:v>901.6</s:v>
      </s:c>
      <s:c r="F31" s="33">
        <s:f>IF(F30=0,0,'前提条件'!$B$5*INDEX('前提条件'!$B$6:$B$8,F30)*$B$28*IF(F30=1,$B$29/12,1))</s:f>
        <s:v>920.0</s:v>
      </s:c>
      <s:c r="G31" s="33">
        <s:f>IF(G30=0,0,'前提条件'!$B$5*INDEX('前提条件'!$B$6:$B$8,G30)*$B$28*IF(G30=1,$B$29/12,1))</s:f>
        <s:v>920.0</s:v>
      </s:c>
    </s:row>
    <s:row r="32">
      <s:c r="A32" s="19" t="inlineStr">
        <s:is>
          <s:t>売上原価</s:t>
        </s:is>
      </s:c>
      <s:c r="C32" s="34">
        <s:f>IF(C$30=0,0,C$31*INDEX('前提条件'!$B$22:$D$22,1,C$30))</s:f>
        <s:v>0.0</s:v>
      </s:c>
      <s:c r="D32" s="34">
        <s:f>IF(D$30=0,0,D$31*INDEX('前提条件'!$B$22:$D$22,1,D$30))</s:f>
        <s:v>152.6625</s:v>
      </s:c>
      <s:c r="E32" s="34">
        <s:f>IF(E$30=0,0,E$31*INDEX('前提条件'!$B$22:$D$22,1,E$30))</s:f>
        <s:v>261.464</s:v>
      </s:c>
      <s:c r="F32" s="34">
        <s:f>IF(F$30=0,0,F$31*INDEX('前提条件'!$B$22:$D$22,1,F$30))</s:f>
        <s:v>262.2</s:v>
      </s:c>
      <s:c r="G32" s="34">
        <s:f>IF(G$30=0,0,G$31*INDEX('前提条件'!$B$22:$D$22,1,G$30))</s:f>
        <s:v>262.2</s:v>
      </s:c>
    </s:row>
    <s:row r="33">
      <s:c r="A33" s="19" t="inlineStr">
        <s:is>
          <s:t>人件費</s:t>
        </s:is>
      </s:c>
      <s:c r="C33" s="34">
        <s:f>IF(C$30=0,0,C$31*INDEX('前提条件'!$B$23:$D$23,1,C$30))</s:f>
        <s:v>0.0</s:v>
      </s:c>
      <s:c r="D33" s="34">
        <s:f>IF(D$30=0,0,D$31*INDEX('前提条件'!$B$23:$D$23,1,D$30))</s:f>
        <s:v>178.5375</s:v>
      </s:c>
      <s:c r="E33" s="34">
        <s:f>IF(E$30=0,0,E$31*INDEX('前提条件'!$B$23:$D$23,1,E$30))</s:f>
        <s:v>302.036</s:v>
      </s:c>
      <s:c r="F33" s="34">
        <s:f>IF(F$30=0,0,F$31*INDEX('前提条件'!$B$23:$D$23,1,F$30))</s:f>
        <s:v>299.0</s:v>
      </s:c>
      <s:c r="G33" s="34">
        <s:f>IF(G$30=0,0,G$31*INDEX('前提条件'!$B$23:$D$23,1,G$30))</s:f>
        <s:v>299.0</s:v>
      </s:c>
    </s:row>
    <s:row r="34">
      <s:c r="A34" s="19" t="inlineStr">
        <s:is>
          <s:t>業務委託費・消耗品他</s:t>
        </s:is>
      </s:c>
      <s:c r="C34" s="34">
        <s:f>IF(C$30=0,0,C$31*INDEX('前提条件'!$B$24:$D$24,1,C$30))</s:f>
        <s:v>0.0</s:v>
      </s:c>
      <s:c r="D34" s="34">
        <s:f>IF(D$30=0,0,D$31*INDEX('前提条件'!$B$24:$D$24,1,D$30))</s:f>
        <s:v>12.42</s:v>
      </s:c>
      <s:c r="E34" s="34">
        <s:f>IF(E$30=0,0,E$31*INDEX('前提条件'!$B$24:$D$24,1,E$30))</s:f>
        <s:v>19.8352</s:v>
      </s:c>
      <s:c r="F34" s="34">
        <s:f>IF(F$30=0,0,F$31*INDEX('前提条件'!$B$24:$D$24,1,F$30))</s:f>
        <s:v>18.400000000000002</s:v>
      </s:c>
      <s:c r="G34" s="34">
        <s:f>IF(G$30=0,0,G$31*INDEX('前提条件'!$B$24:$D$24,1,G$30))</s:f>
        <s:v>18.400000000000002</s:v>
      </s:c>
    </s:row>
    <s:row r="35">
      <s:c r="A35" s="40" t="inlineStr">
        <s:is>
          <s:t>部門利益</s:t>
        </s:is>
      </s:c>
      <s:c r="C35" s="35">
        <s:f>C31-SUM(C32:C34)</s:f>
        <s:v>0.0</s:v>
      </s:c>
      <s:c r="D35" s="35">
        <s:f>D31-SUM(D32:D34)</s:f>
        <s:v>173.88</s:v>
      </s:c>
      <s:c r="E35" s="35">
        <s:f>E31-SUM(E32:E34)</s:f>
        <s:v>318.26480000000004</s:v>
      </s:c>
      <s:c r="F35" s="35">
        <s:f>F31-SUM(F32:F34)</s:f>
        <s:v>340.4</s:v>
      </s:c>
      <s:c r="G35" s="35">
        <s:f>G31-SUM(G32:G34)</s:f>
        <s:v>340.4</s:v>
      </s:c>
    </s:row>
    <s:row r="36">
      <s:c r="A36" s="19" t="inlineStr">
        <s:is>
          <s:t>広告宣伝費・販売促進費</s:t>
        </s:is>
      </s:c>
      <s:c r="C36" s="34">
        <s:f>IF(C$30=0,0,C$31*INDEX('前提条件'!$B$25:$D$25,1,C$30))</s:f>
        <s:v>0.0</s:v>
      </s:c>
      <s:c r="D36" s="34">
        <s:f>IF(D$30=0,0,D$31*INDEX('前提条件'!$B$25:$D$25,1,D$30))</s:f>
        <s:v>7.245</s:v>
      </s:c>
      <s:c r="E36" s="34">
        <s:f>IF(E$30=0,0,E$31*INDEX('前提条件'!$B$25:$D$25,1,E$30))</s:f>
        <s:v>12.6224</s:v>
      </s:c>
      <s:c r="F36" s="34">
        <s:f>IF(F$30=0,0,F$31*INDEX('前提条件'!$B$25:$D$25,1,F$30))</s:f>
        <s:v>12.88</s:v>
      </s:c>
      <s:c r="G36" s="34">
        <s:f>IF(G$30=0,0,G$31*INDEX('前提条件'!$B$25:$D$25,1,G$30))</s:f>
        <s:v>12.88</s:v>
      </s:c>
    </s:row>
    <s:row r="37">
      <s:c r="A37" s="19" t="inlineStr">
        <s:is>
          <s:t>その他経費</s:t>
        </s:is>
      </s:c>
      <s:c r="C37" s="34">
        <s:f>IF(C$30=0,0,C$31*INDEX('前提条件'!$B$26:$D$26,1,C$30))</s:f>
        <s:v>0.0</s:v>
      </s:c>
      <s:c r="D37" s="34">
        <s:f>IF(D$30=0,0,D$31*INDEX('前提条件'!$B$26:$D$26,1,D$30))</s:f>
        <s:v>2.5875</s:v>
      </s:c>
      <s:c r="E37" s="34">
        <s:f>IF(E$30=0,0,E$31*INDEX('前提条件'!$B$26:$D$26,1,E$30))</s:f>
        <s:v>4.508</s:v>
      </s:c>
      <s:c r="F37" s="34">
        <s:f>IF(F$30=0,0,F$31*INDEX('前提条件'!$B$26:$D$26,1,F$30))</s:f>
        <s:v>4.6000000000000005</s:v>
      </s:c>
      <s:c r="G37" s="34">
        <s:f>IF(G$30=0,0,G$31*INDEX('前提条件'!$B$26:$D$26,1,G$30))</s:f>
        <s:v>4.6000000000000005</s:v>
      </s:c>
    </s:row>
    <s:row r="38">
      <s:c r="A38" s="19" t="inlineStr">
        <s:is>
          <s:t>水道光熱費</s:t>
        </s:is>
      </s:c>
      <s:c r="C38" s="34">
        <s:f>IF(C$30=0,0,C$31*INDEX('前提条件'!$B$27:$D$27,1,C$30))</s:f>
        <s:v>0.0</s:v>
      </s:c>
      <s:c r="D38" s="34">
        <s:f>IF(D$30=0,0,D$31*INDEX('前提条件'!$B$27:$D$27,1,D$30))</s:f>
        <s:v>20.7</s:v>
      </s:c>
      <s:c r="E38" s="34">
        <s:f>IF(E$30=0,0,E$31*INDEX('前提条件'!$B$27:$D$27,1,E$30))</s:f>
        <s:v>34.2608</s:v>
      </s:c>
      <s:c r="F38" s="34">
        <s:f>IF(F$30=0,0,F$31*INDEX('前提条件'!$B$27:$D$27,1,F$30))</s:f>
        <s:v>33.12</s:v>
      </s:c>
      <s:c r="G38" s="34">
        <s:f>IF(G$30=0,0,G$31*INDEX('前提条件'!$B$27:$D$27,1,G$30))</s:f>
        <s:v>33.12</s:v>
      </s:c>
    </s:row>
    <s:row r="39">
      <s:c r="A39" s="40" t="inlineStr">
        <s:is>
          <s:t>GOP（店舗営業総利益）</s:t>
        </s:is>
      </s:c>
      <s:c r="C39" s="35">
        <s:f>C35-SUM(C36:C38)</s:f>
        <s:v>0.0</s:v>
      </s:c>
      <s:c r="D39" s="35">
        <s:f>D35-SUM(D36:D38)</s:f>
        <s:v>143.3475</s:v>
      </s:c>
      <s:c r="E39" s="35">
        <s:f>E35-SUM(E36:E38)</s:f>
        <s:v>266.8736</s:v>
      </s:c>
      <s:c r="F39" s="35">
        <s:f>F35-SUM(F36:F38)</s:f>
        <s:v>289.79999999999995</s:v>
      </s:c>
      <s:c r="G39" s="35">
        <s:f>G35-SUM(G36:G38)</s:f>
        <s:v>289.79999999999995</s:v>
      </s:c>
    </s:row>
    <s:row r="40">
      <s:c r="A40" s="19" t="inlineStr">
        <s:is>
          <s:t>ロイヤリティ</s:t>
        </s:is>
      </s:c>
      <s:c r="C40" s="34">
        <s:f>IF(C$30=0,0,C$31*INDEX('前提条件'!$B$28:$D$28,1,C$30))</s:f>
        <s:v>0.0</s:v>
      </s:c>
      <s:c r="D40" s="34">
        <s:f>IF(D$30=0,0,D$31*INDEX('前提条件'!$B$28:$D$28,1,D$30))</s:f>
        <s:v>20.7</s:v>
      </s:c>
      <s:c r="E40" s="34">
        <s:f>IF(E$30=0,0,E$31*INDEX('前提条件'!$B$28:$D$28,1,E$30))</s:f>
        <s:v>36.064</s:v>
      </s:c>
      <s:c r="F40" s="34">
        <s:f>IF(F$30=0,0,F$31*INDEX('前提条件'!$B$28:$D$28,1,F$30))</s:f>
        <s:v>36.800000000000004</s:v>
      </s:c>
      <s:c r="G40" s="34">
        <s:f>IF(G$30=0,0,G$31*INDEX('前提条件'!$B$28:$D$28,1,G$30))</s:f>
        <s:v>36.800000000000004</s:v>
      </s:c>
    </s:row>
    <s:row r="41">
      <s:c r="A41" s="19" t="inlineStr">
        <s:is>
          <s:t>保険・租税公課</s:t>
        </s:is>
      </s:c>
      <s:c r="C41" s="34">
        <s:f>IF(C$30=0,0,C$31*INDEX('前提条件'!$B$29:$D$29,1,C$30))</s:f>
        <s:v>0.0</s:v>
      </s:c>
      <s:c r="D41" s="34">
        <s:f>IF(D$30=0,0,D$31*INDEX('前提条件'!$B$29:$D$29,1,D$30))</s:f>
        <s:v>3.6225</s:v>
      </s:c>
      <s:c r="E41" s="34">
        <s:f>IF(E$30=0,0,E$31*INDEX('前提条件'!$B$29:$D$29,1,E$30))</s:f>
        <s:v>6.3112</s:v>
      </s:c>
      <s:c r="F41" s="34">
        <s:f>IF(F$30=0,0,F$31*INDEX('前提条件'!$B$29:$D$29,1,F$30))</s:f>
        <s:v>6.44</s:v>
      </s:c>
      <s:c r="G41" s="34">
        <s:f>IF(G$30=0,0,G$31*INDEX('前提条件'!$B$29:$D$29,1,G$30))</s:f>
        <s:v>6.44</s:v>
      </s:c>
    </s:row>
    <s:row r="42">
      <s:c r="A42" s="19" t="inlineStr">
        <s:is>
          <s:t>地代家賃（固定）</s:t>
        </s:is>
      </s:c>
      <s:c r="C42" s="34">
        <s:f>IF(C30=0,0,'前提条件'!$B$14*$B$28*IF(C30=1,$B$29/12,1))</s:f>
        <s:v>0.0</s:v>
      </s:c>
      <s:c r="D42" s="34">
        <s:f>IF(D30=0,0,'前提条件'!$B$14*$B$28*IF(D30=1,$B$29/12,1))</s:f>
        <s:v>33.3</s:v>
      </s:c>
      <s:c r="E42" s="34">
        <s:f>IF(E30=0,0,'前提条件'!$B$14*$B$28*IF(E30=1,$B$29/12,1))</s:f>
        <s:v>53.28</s:v>
      </s:c>
      <s:c r="F42" s="34">
        <s:f>IF(F30=0,0,'前提条件'!$B$14*$B$28*IF(F30=1,$B$29/12,1))</s:f>
        <s:v>53.28</s:v>
      </s:c>
      <s:c r="G42" s="34">
        <s:f>IF(G30=0,0,'前提条件'!$B$14*$B$28*IF(G30=1,$B$29/12,1))</s:f>
        <s:v>53.28</s:v>
      </s:c>
    </s:row>
    <s:row r="43">
      <s:c r="A43" s="19" t="inlineStr">
        <s:is>
          <s:t>歩合家賃</s:t>
        </s:is>
      </s:c>
      <s:c r="C43" s="34">
        <s:f>IF(C30=0,0,MAX(0,C31/$B$28-'前提条件'!$B$16*IF(C30=1,$B$29/12,1))*'前提条件'!$B$15*$B$28)</s:f>
        <s:v>0.0</s:v>
      </s:c>
      <s:c r="D43" s="34">
        <s:f>IF(D30=0,0,MAX(0,D31/$B$28-'前提条件'!$B$16*IF(D30=1,$B$29/12,1))*'前提条件'!$B$15*$B$28)</s:f>
        <s:v>7.227500000000001</s:v>
      </s:c>
      <s:c r="E43" s="34">
        <s:f>IF(E30=0,0,MAX(0,E31/$B$28-'前提条件'!$B$16*IF(E30=1,$B$29/12,1))*'前提条件'!$B$15*$B$28)</s:f>
        <s:v>16.716000000000005</s:v>
      </s:c>
      <s:c r="F43" s="34">
        <s:f>IF(F30=0,0,MAX(0,F31/$B$28-'前提条件'!$B$16*IF(F30=1,$B$29/12,1))*'前提条件'!$B$15*$B$28)</s:f>
        <s:v>18.004000000000005</s:v>
      </s:c>
      <s:c r="G43" s="34">
        <s:f>IF(G30=0,0,MAX(0,G31/$B$28-'前提条件'!$B$16*IF(G30=1,$B$29/12,1))*'前提条件'!$B$15*$B$28)</s:f>
        <s:v>18.004000000000005</s:v>
      </s:c>
    </s:row>
    <s:row r="44">
      <s:c r="A44" s="19" t="inlineStr">
        <s:is>
          <s:t>修繕維持費（FFE）</s:t>
        </s:is>
      </s:c>
      <s:c r="C44" s="34">
        <s:f>IF(C$30=0,0,C$31*INDEX('前提条件'!$B$30:$D$30,1,C$30))</s:f>
        <s:v>0.0</s:v>
      </s:c>
      <s:c r="D44" s="34">
        <s:f>IF(D$30=0,0,D$31*INDEX('前提条件'!$B$30:$D$30,1,D$30))</s:f>
        <s:v>12.9375</s:v>
      </s:c>
      <s:c r="E44" s="34">
        <s:f>IF(E$30=0,0,E$31*INDEX('前提条件'!$B$30:$D$30,1,E$30))</s:f>
        <s:v>22.540000000000003</s:v>
      </s:c>
      <s:c r="F44" s="34">
        <s:f>IF(F$30=0,0,F$31*INDEX('前提条件'!$B$30:$D$30,1,F$30))</s:f>
        <s:v>23.0</s:v>
      </s:c>
      <s:c r="G44" s="34">
        <s:f>IF(G$30=0,0,G$31*INDEX('前提条件'!$B$30:$D$30,1,G$30))</s:f>
        <s:v>23.0</s:v>
      </s:c>
    </s:row>
    <s:row r="45">
      <s:c r="A45" s="13" t="inlineStr">
        <s:is>
          <s:t>店舗EBITDA</s:t>
        </s:is>
      </s:c>
      <s:c r="C45" s="35">
        <s:f>C39-SUM(C40:C44)</s:f>
        <s:v>0.0</s:v>
      </s:c>
      <s:c r="D45" s="35">
        <s:f>D39-SUM(D40:D44)</s:f>
        <s:v>65.56</s:v>
      </s:c>
      <s:c r="E45" s="35">
        <s:f>E39-SUM(E40:E44)</s:f>
        <s:v>131.9624</s:v>
      </s:c>
      <s:c r="F45" s="35">
        <s:f>F39-SUM(F40:F44)</s:f>
        <s:v>152.27599999999995</s:v>
      </s:c>
      <s:c r="G45" s="35">
        <s:f>G39-SUM(G40:G44)</s:f>
        <s:v>152.27599999999995</s:v>
      </s:c>
    </s:row>
    <s:row r="46">
      <s:c r="A46" s="9" t="inlineStr">
        <s:is>
          <s:t>減価償却費</s:t>
        </s:is>
      </s:c>
      <s:c r="C46" s="34">
        <s:f>IF(C30=0,0,'前提条件'!$B$42*$B$28*IF(C30=1,$B$29/12,1))</s:f>
        <s:v>0.0</s:v>
      </s:c>
      <s:c r="D46" s="34">
        <s:f>IF(D30=0,0,'前提条件'!$B$42*$B$28*IF(D30=1,$B$29/12,1))</s:f>
        <s:v>26.0</s:v>
      </s:c>
      <s:c r="E46" s="34">
        <s:f>IF(E30=0,0,'前提条件'!$B$42*$B$28*IF(E30=1,$B$29/12,1))</s:f>
        <s:v>41.6</s:v>
      </s:c>
      <s:c r="F46" s="34">
        <s:f>IF(F30=0,0,'前提条件'!$B$42*$B$28*IF(F30=1,$B$29/12,1))</s:f>
        <s:v>41.6</s:v>
      </s:c>
      <s:c r="G46" s="34">
        <s:f>IF(G30=0,0,'前提条件'!$B$42*$B$28*IF(G30=1,$B$29/12,1))</s:f>
        <s:v>41.6</s:v>
      </s:c>
    </s:row>
    <s:row r="47">
      <s:c r="A47" s="13" t="inlineStr">
        <s:is>
          <s:t>店舗営業利益</s:t>
        </s:is>
      </s:c>
      <s:c r="C47" s="35">
        <s:f>C45-C46</s:f>
        <s:v>0.0</s:v>
      </s:c>
      <s:c r="D47" s="35">
        <s:f>D45-D46</s:f>
        <s:v>39.56</s:v>
      </s:c>
      <s:c r="E47" s="35">
        <s:f>E45-E46</s:f>
        <s:v>90.36240000000001</s:v>
      </s:c>
      <s:c r="F47" s="35">
        <s:f>F45-F46</s:f>
        <s:v>110.67599999999996</s:v>
      </s:c>
      <s:c r="G47" s="35">
        <s:f>G45-G46</s:f>
        <s:v>110.67599999999996</s:v>
      </s:c>
    </s:row>
    <s:row r="48"/>
    <s:row r="49">
      <s:c r="A49" s="3" t="inlineStr">
        <s:is>
          <s:t xml:space="preserve">　③ 首都圏・他政令指定都市</s:t>
        </s:is>
      </s:c>
      <s:c r="B49" s="3" t="n"/>
      <s:c r="C49" s="3" t="n"/>
      <s:c r="D49" s="3" t="n"/>
      <s:c r="E49" s="3" t="n"/>
      <s:c r="F49" s="3" t="n"/>
      <s:c r="G49" s="3" t="n"/>
    </s:row>
    <s:row r="50">
      <s:c r="A50" s="38" t="inlineStr">
        <s:is>
          <s:t>店舗数（店）</s:t>
        </s:is>
      </s:c>
      <s:c r="B50" s="30" t="n">
        <s:v>2</s:v>
      </s:c>
    </s:row>
    <s:row r="51">
      <s:c r="A51" s="38" t="inlineStr">
        <s:is>
          <s:t>開業年度の稼働月数</s:t>
        </s:is>
      </s:c>
      <s:c r="B51" s="39">
        <s:f>'前提条件'!$B$9</s:f>
        <s:v>7.5</s:v>
      </s:c>
    </s:row>
    <s:row r="52">
      <s:c r="A52" s="38" t="inlineStr">
        <s:is>
          <s:t>年次（0=未開業/1/2/3）</s:t>
        </s:is>
      </s:c>
      <s:c r="C52" s="30" t="n">
        <s:v>0</s:v>
      </s:c>
      <s:c r="D52" s="30" t="n">
        <s:v>0</s:v>
      </s:c>
      <s:c r="E52" s="30" t="n">
        <s:v>1</s:v>
      </s:c>
      <s:c r="F52" s="30" t="n">
        <s:v>2</s:v>
      </s:c>
      <s:c r="G52" s="30" t="n">
        <s:v>3</s:v>
      </s:c>
    </s:row>
    <s:row r="53">
      <s:c r="A53" s="13" t="inlineStr">
        <s:is>
          <s:t>売上高</s:t>
        </s:is>
      </s:c>
      <s:c r="C53" s="33">
        <s:f>IF(C52=0,0,'前提条件'!$B$5*INDEX('前提条件'!$B$6:$B$8,C52)*$B$50*IF(C52=1,$B$51/12,1))</s:f>
        <s:v>0.0</s:v>
      </s:c>
      <s:c r="D53" s="33">
        <s:f>IF(D52=0,0,'前提条件'!$B$5*INDEX('前提条件'!$B$6:$B$8,D52)*$B$50*IF(D52=1,$B$51/12,1))</s:f>
        <s:v>0.0</s:v>
      </s:c>
      <s:c r="E53" s="33">
        <s:f>IF(E52=0,0,'前提条件'!$B$5*INDEX('前提条件'!$B$6:$B$8,E52)*$B$50*IF(E52=1,$B$51/12,1))</s:f>
        <s:v>517.5</s:v>
      </s:c>
      <s:c r="F53" s="33">
        <s:f>IF(F52=0,0,'前提条件'!$B$5*INDEX('前提条件'!$B$6:$B$8,F52)*$B$50*IF(F52=1,$B$51/12,1))</s:f>
        <s:v>901.6</s:v>
      </s:c>
      <s:c r="G53" s="33">
        <s:f>IF(G52=0,0,'前提条件'!$B$5*INDEX('前提条件'!$B$6:$B$8,G52)*$B$50*IF(G52=1,$B$51/12,1))</s:f>
        <s:v>920.0</s:v>
      </s:c>
    </s:row>
    <s:row r="54">
      <s:c r="A54" s="19" t="inlineStr">
        <s:is>
          <s:t>売上原価</s:t>
        </s:is>
      </s:c>
      <s:c r="C54" s="34">
        <s:f>IF(C$52=0,0,C$53*INDEX('前提条件'!$B$22:$D$22,1,C$52))</s:f>
        <s:v>0.0</s:v>
      </s:c>
      <s:c r="D54" s="34">
        <s:f>IF(D$52=0,0,D$53*INDEX('前提条件'!$B$22:$D$22,1,D$52))</s:f>
        <s:v>0.0</s:v>
      </s:c>
      <s:c r="E54" s="34">
        <s:f>IF(E$52=0,0,E$53*INDEX('前提条件'!$B$22:$D$22,1,E$52))</s:f>
        <s:v>152.6625</s:v>
      </s:c>
      <s:c r="F54" s="34">
        <s:f>IF(F$52=0,0,F$53*INDEX('前提条件'!$B$22:$D$22,1,F$52))</s:f>
        <s:v>261.464</s:v>
      </s:c>
      <s:c r="G54" s="34">
        <s:f>IF(G$52=0,0,G$53*INDEX('前提条件'!$B$22:$D$22,1,G$52))</s:f>
        <s:v>262.2</s:v>
      </s:c>
    </s:row>
    <s:row r="55">
      <s:c r="A55" s="19" t="inlineStr">
        <s:is>
          <s:t>人件費</s:t>
        </s:is>
      </s:c>
      <s:c r="C55" s="34">
        <s:f>IF(C$52=0,0,C$53*INDEX('前提条件'!$B$23:$D$23,1,C$52))</s:f>
        <s:v>0.0</s:v>
      </s:c>
      <s:c r="D55" s="34">
        <s:f>IF(D$52=0,0,D$53*INDEX('前提条件'!$B$23:$D$23,1,D$52))</s:f>
        <s:v>0.0</s:v>
      </s:c>
      <s:c r="E55" s="34">
        <s:f>IF(E$52=0,0,E$53*INDEX('前提条件'!$B$23:$D$23,1,E$52))</s:f>
        <s:v>178.5375</s:v>
      </s:c>
      <s:c r="F55" s="34">
        <s:f>IF(F$52=0,0,F$53*INDEX('前提条件'!$B$23:$D$23,1,F$52))</s:f>
        <s:v>302.036</s:v>
      </s:c>
      <s:c r="G55" s="34">
        <s:f>IF(G$52=0,0,G$53*INDEX('前提条件'!$B$23:$D$23,1,G$52))</s:f>
        <s:v>299.0</s:v>
      </s:c>
    </s:row>
    <s:row r="56">
      <s:c r="A56" s="19" t="inlineStr">
        <s:is>
          <s:t>業務委託費・消耗品他</s:t>
        </s:is>
      </s:c>
      <s:c r="C56" s="34">
        <s:f>IF(C$52=0,0,C$53*INDEX('前提条件'!$B$24:$D$24,1,C$52))</s:f>
        <s:v>0.0</s:v>
      </s:c>
      <s:c r="D56" s="34">
        <s:f>IF(D$52=0,0,D$53*INDEX('前提条件'!$B$24:$D$24,1,D$52))</s:f>
        <s:v>0.0</s:v>
      </s:c>
      <s:c r="E56" s="34">
        <s:f>IF(E$52=0,0,E$53*INDEX('前提条件'!$B$24:$D$24,1,E$52))</s:f>
        <s:v>12.42</s:v>
      </s:c>
      <s:c r="F56" s="34">
        <s:f>IF(F$52=0,0,F$53*INDEX('前提条件'!$B$24:$D$24,1,F$52))</s:f>
        <s:v>19.8352</s:v>
      </s:c>
      <s:c r="G56" s="34">
        <s:f>IF(G$52=0,0,G$53*INDEX('前提条件'!$B$24:$D$24,1,G$52))</s:f>
        <s:v>18.400000000000002</s:v>
      </s:c>
    </s:row>
    <s:row r="57">
      <s:c r="A57" s="40" t="inlineStr">
        <s:is>
          <s:t>部門利益</s:t>
        </s:is>
      </s:c>
      <s:c r="C57" s="35">
        <s:f>C53-SUM(C54:C56)</s:f>
        <s:v>0.0</s:v>
      </s:c>
      <s:c r="D57" s="35">
        <s:f>D53-SUM(D54:D56)</s:f>
        <s:v>0.0</s:v>
      </s:c>
      <s:c r="E57" s="35">
        <s:f>E53-SUM(E54:E56)</s:f>
        <s:v>173.88</s:v>
      </s:c>
      <s:c r="F57" s="35">
        <s:f>F53-SUM(F54:F56)</s:f>
        <s:v>318.26480000000004</s:v>
      </s:c>
      <s:c r="G57" s="35">
        <s:f>G53-SUM(G54:G56)</s:f>
        <s:v>340.4</s:v>
      </s:c>
    </s:row>
    <s:row r="58">
      <s:c r="A58" s="19" t="inlineStr">
        <s:is>
          <s:t>広告宣伝費・販売促進費</s:t>
        </s:is>
      </s:c>
      <s:c r="C58" s="34">
        <s:f>IF(C$52=0,0,C$53*INDEX('前提条件'!$B$25:$D$25,1,C$52))</s:f>
        <s:v>0.0</s:v>
      </s:c>
      <s:c r="D58" s="34">
        <s:f>IF(D$52=0,0,D$53*INDEX('前提条件'!$B$25:$D$25,1,D$52))</s:f>
        <s:v>0.0</s:v>
      </s:c>
      <s:c r="E58" s="34">
        <s:f>IF(E$52=0,0,E$53*INDEX('前提条件'!$B$25:$D$25,1,E$52))</s:f>
        <s:v>7.245</s:v>
      </s:c>
      <s:c r="F58" s="34">
        <s:f>IF(F$52=0,0,F$53*INDEX('前提条件'!$B$25:$D$25,1,F$52))</s:f>
        <s:v>12.6224</s:v>
      </s:c>
      <s:c r="G58" s="34">
        <s:f>IF(G$52=0,0,G$53*INDEX('前提条件'!$B$25:$D$25,1,G$52))</s:f>
        <s:v>12.88</s:v>
      </s:c>
    </s:row>
    <s:row r="59">
      <s:c r="A59" s="19" t="inlineStr">
        <s:is>
          <s:t>その他経費</s:t>
        </s:is>
      </s:c>
      <s:c r="C59" s="34">
        <s:f>IF(C$52=0,0,C$53*INDEX('前提条件'!$B$26:$D$26,1,C$52))</s:f>
        <s:v>0.0</s:v>
      </s:c>
      <s:c r="D59" s="34">
        <s:f>IF(D$52=0,0,D$53*INDEX('前提条件'!$B$26:$D$26,1,D$52))</s:f>
        <s:v>0.0</s:v>
      </s:c>
      <s:c r="E59" s="34">
        <s:f>IF(E$52=0,0,E$53*INDEX('前提条件'!$B$26:$D$26,1,E$52))</s:f>
        <s:v>2.5875</s:v>
      </s:c>
      <s:c r="F59" s="34">
        <s:f>IF(F$52=0,0,F$53*INDEX('前提条件'!$B$26:$D$26,1,F$52))</s:f>
        <s:v>4.508</s:v>
      </s:c>
      <s:c r="G59" s="34">
        <s:f>IF(G$52=0,0,G$53*INDEX('前提条件'!$B$26:$D$26,1,G$52))</s:f>
        <s:v>4.6000000000000005</s:v>
      </s:c>
    </s:row>
    <s:row r="60">
      <s:c r="A60" s="19" t="inlineStr">
        <s:is>
          <s:t>水道光熱費</s:t>
        </s:is>
      </s:c>
      <s:c r="C60" s="34">
        <s:f>IF(C$52=0,0,C$53*INDEX('前提条件'!$B$27:$D$27,1,C$52))</s:f>
        <s:v>0.0</s:v>
      </s:c>
      <s:c r="D60" s="34">
        <s:f>IF(D$52=0,0,D$53*INDEX('前提条件'!$B$27:$D$27,1,D$52))</s:f>
        <s:v>0.0</s:v>
      </s:c>
      <s:c r="E60" s="34">
        <s:f>IF(E$52=0,0,E$53*INDEX('前提条件'!$B$27:$D$27,1,E$52))</s:f>
        <s:v>20.7</s:v>
      </s:c>
      <s:c r="F60" s="34">
        <s:f>IF(F$52=0,0,F$53*INDEX('前提条件'!$B$27:$D$27,1,F$52))</s:f>
        <s:v>34.2608</s:v>
      </s:c>
      <s:c r="G60" s="34">
        <s:f>IF(G$52=0,0,G$53*INDEX('前提条件'!$B$27:$D$27,1,G$52))</s:f>
        <s:v>33.12</s:v>
      </s:c>
    </s:row>
    <s:row r="61">
      <s:c r="A61" s="40" t="inlineStr">
        <s:is>
          <s:t>GOP（店舗営業総利益）</s:t>
        </s:is>
      </s:c>
      <s:c r="C61" s="35">
        <s:f>C57-SUM(C58:C60)</s:f>
        <s:v>0.0</s:v>
      </s:c>
      <s:c r="D61" s="35">
        <s:f>D57-SUM(D58:D60)</s:f>
        <s:v>0.0</s:v>
      </s:c>
      <s:c r="E61" s="35">
        <s:f>E57-SUM(E58:E60)</s:f>
        <s:v>143.3475</s:v>
      </s:c>
      <s:c r="F61" s="35">
        <s:f>F57-SUM(F58:F60)</s:f>
        <s:v>266.8736</s:v>
      </s:c>
      <s:c r="G61" s="35">
        <s:f>G57-SUM(G58:G60)</s:f>
        <s:v>289.79999999999995</s:v>
      </s:c>
    </s:row>
    <s:row r="62">
      <s:c r="A62" s="19" t="inlineStr">
        <s:is>
          <s:t>ロイヤリティ</s:t>
        </s:is>
      </s:c>
      <s:c r="C62" s="34">
        <s:f>IF(C$52=0,0,C$53*INDEX('前提条件'!$B$28:$D$28,1,C$52))</s:f>
        <s:v>0.0</s:v>
      </s:c>
      <s:c r="D62" s="34">
        <s:f>IF(D$52=0,0,D$53*INDEX('前提条件'!$B$28:$D$28,1,D$52))</s:f>
        <s:v>0.0</s:v>
      </s:c>
      <s:c r="E62" s="34">
        <s:f>IF(E$52=0,0,E$53*INDEX('前提条件'!$B$28:$D$28,1,E$52))</s:f>
        <s:v>20.7</s:v>
      </s:c>
      <s:c r="F62" s="34">
        <s:f>IF(F$52=0,0,F$53*INDEX('前提条件'!$B$28:$D$28,1,F$52))</s:f>
        <s:v>36.064</s:v>
      </s:c>
      <s:c r="G62" s="34">
        <s:f>IF(G$52=0,0,G$53*INDEX('前提条件'!$B$28:$D$28,1,G$52))</s:f>
        <s:v>36.800000000000004</s:v>
      </s:c>
    </s:row>
    <s:row r="63">
      <s:c r="A63" s="19" t="inlineStr">
        <s:is>
          <s:t>保険・租税公課</s:t>
        </s:is>
      </s:c>
      <s:c r="C63" s="34">
        <s:f>IF(C$52=0,0,C$53*INDEX('前提条件'!$B$29:$D$29,1,C$52))</s:f>
        <s:v>0.0</s:v>
      </s:c>
      <s:c r="D63" s="34">
        <s:f>IF(D$52=0,0,D$53*INDEX('前提条件'!$B$29:$D$29,1,D$52))</s:f>
        <s:v>0.0</s:v>
      </s:c>
      <s:c r="E63" s="34">
        <s:f>IF(E$52=0,0,E$53*INDEX('前提条件'!$B$29:$D$29,1,E$52))</s:f>
        <s:v>3.6225</s:v>
      </s:c>
      <s:c r="F63" s="34">
        <s:f>IF(F$52=0,0,F$53*INDEX('前提条件'!$B$29:$D$29,1,F$52))</s:f>
        <s:v>6.3112</s:v>
      </s:c>
      <s:c r="G63" s="34">
        <s:f>IF(G$52=0,0,G$53*INDEX('前提条件'!$B$29:$D$29,1,G$52))</s:f>
        <s:v>6.44</s:v>
      </s:c>
    </s:row>
    <s:row r="64">
      <s:c r="A64" s="19" t="inlineStr">
        <s:is>
          <s:t>地代家賃（固定）</s:t>
        </s:is>
      </s:c>
      <s:c r="C64" s="34">
        <s:f>IF(C52=0,0,'前提条件'!$B$14*$B$50*IF(C52=1,$B$51/12,1))</s:f>
        <s:v>0.0</s:v>
      </s:c>
      <s:c r="D64" s="34">
        <s:f>IF(D52=0,0,'前提条件'!$B$14*$B$50*IF(D52=1,$B$51/12,1))</s:f>
        <s:v>0.0</s:v>
      </s:c>
      <s:c r="E64" s="34">
        <s:f>IF(E52=0,0,'前提条件'!$B$14*$B$50*IF(E52=1,$B$51/12,1))</s:f>
        <s:v>33.3</s:v>
      </s:c>
      <s:c r="F64" s="34">
        <s:f>IF(F52=0,0,'前提条件'!$B$14*$B$50*IF(F52=1,$B$51/12,1))</s:f>
        <s:v>53.28</s:v>
      </s:c>
      <s:c r="G64" s="34">
        <s:f>IF(G52=0,0,'前提条件'!$B$14*$B$50*IF(G52=1,$B$51/12,1))</s:f>
        <s:v>53.28</s:v>
      </s:c>
    </s:row>
    <s:row r="65">
      <s:c r="A65" s="19" t="inlineStr">
        <s:is>
          <s:t>歩合家賃</s:t>
        </s:is>
      </s:c>
      <s:c r="C65" s="34">
        <s:f>IF(C52=0,0,MAX(0,C53/$B$50-'前提条件'!$B$16*IF(C52=1,$B$51/12,1))*'前提条件'!$B$15*$B$50)</s:f>
        <s:v>0.0</s:v>
      </s:c>
      <s:c r="D65" s="34">
        <s:f>IF(D52=0,0,MAX(0,D53/$B$50-'前提条件'!$B$16*IF(D52=1,$B$51/12,1))*'前提条件'!$B$15*$B$50)</s:f>
        <s:v>0.0</s:v>
      </s:c>
      <s:c r="E65" s="34">
        <s:f>IF(E52=0,0,MAX(0,E53/$B$50-'前提条件'!$B$16*IF(E52=1,$B$51/12,1))*'前提条件'!$B$15*$B$50)</s:f>
        <s:v>7.227500000000001</s:v>
      </s:c>
      <s:c r="F65" s="34">
        <s:f>IF(F52=0,0,MAX(0,F53/$B$50-'前提条件'!$B$16*IF(F52=1,$B$51/12,1))*'前提条件'!$B$15*$B$50)</s:f>
        <s:v>16.716000000000005</s:v>
      </s:c>
      <s:c r="G65" s="34">
        <s:f>IF(G52=0,0,MAX(0,G53/$B$50-'前提条件'!$B$16*IF(G52=1,$B$51/12,1))*'前提条件'!$B$15*$B$50)</s:f>
        <s:v>18.004000000000005</s:v>
      </s:c>
    </s:row>
    <s:row r="66">
      <s:c r="A66" s="19" t="inlineStr">
        <s:is>
          <s:t>修繕維持費（FFE）</s:t>
        </s:is>
      </s:c>
      <s:c r="C66" s="34">
        <s:f>IF(C$52=0,0,C$53*INDEX('前提条件'!$B$30:$D$30,1,C$52))</s:f>
        <s:v>0.0</s:v>
      </s:c>
      <s:c r="D66" s="34">
        <s:f>IF(D$52=0,0,D$53*INDEX('前提条件'!$B$30:$D$30,1,D$52))</s:f>
        <s:v>0.0</s:v>
      </s:c>
      <s:c r="E66" s="34">
        <s:f>IF(E$52=0,0,E$53*INDEX('前提条件'!$B$30:$D$30,1,E$52))</s:f>
        <s:v>12.9375</s:v>
      </s:c>
      <s:c r="F66" s="34">
        <s:f>IF(F$52=0,0,F$53*INDEX('前提条件'!$B$30:$D$30,1,F$52))</s:f>
        <s:v>22.540000000000003</s:v>
      </s:c>
      <s:c r="G66" s="34">
        <s:f>IF(G$52=0,0,G$53*INDEX('前提条件'!$B$30:$D$30,1,G$52))</s:f>
        <s:v>23.0</s:v>
      </s:c>
    </s:row>
    <s:row r="67">
      <s:c r="A67" s="13" t="inlineStr">
        <s:is>
          <s:t>店舗EBITDA</s:t>
        </s:is>
      </s:c>
      <s:c r="C67" s="35">
        <s:f>C61-SUM(C62:C66)</s:f>
        <s:v>0.0</s:v>
      </s:c>
      <s:c r="D67" s="35">
        <s:f>D61-SUM(D62:D66)</s:f>
        <s:v>0.0</s:v>
      </s:c>
      <s:c r="E67" s="35">
        <s:f>E61-SUM(E62:E66)</s:f>
        <s:v>65.56</s:v>
      </s:c>
      <s:c r="F67" s="35">
        <s:f>F61-SUM(F62:F66)</s:f>
        <s:v>131.9624</s:v>
      </s:c>
      <s:c r="G67" s="35">
        <s:f>G61-SUM(G62:G66)</s:f>
        <s:v>152.27599999999995</s:v>
      </s:c>
    </s:row>
    <s:row r="68">
      <s:c r="A68" s="9" t="inlineStr">
        <s:is>
          <s:t>減価償却費</s:t>
        </s:is>
      </s:c>
      <s:c r="C68" s="34">
        <s:f>IF(C52=0,0,'前提条件'!$C$42*$B$50*IF(C52=1,$B$51/12,1))</s:f>
        <s:v>0.0</s:v>
      </s:c>
      <s:c r="D68" s="34">
        <s:f>IF(D52=0,0,'前提条件'!$C$42*$B$50*IF(D52=1,$B$51/12,1))</s:f>
        <s:v>0.0</s:v>
      </s:c>
      <s:c r="E68" s="34">
        <s:f>IF(E52=0,0,'前提条件'!$C$42*$B$50*IF(E52=1,$B$51/12,1))</s:f>
        <s:v>25.375</s:v>
      </s:c>
      <s:c r="F68" s="34">
        <s:f>IF(F52=0,0,'前提条件'!$C$42*$B$50*IF(F52=1,$B$51/12,1))</s:f>
        <s:v>40.6</s:v>
      </s:c>
      <s:c r="G68" s="34">
        <s:f>IF(G52=0,0,'前提条件'!$C$42*$B$50*IF(G52=1,$B$51/12,1))</s:f>
        <s:v>40.6</s:v>
      </s:c>
    </s:row>
    <s:row r="69">
      <s:c r="A69" s="13" t="inlineStr">
        <s:is>
          <s:t>店舗営業利益</s:t>
        </s:is>
      </s:c>
      <s:c r="C69" s="35">
        <s:f>C67-C68</s:f>
        <s:v>0.0</s:v>
      </s:c>
      <s:c r="D69" s="35">
        <s:f>D67-D68</s:f>
        <s:v>0.0</s:v>
      </s:c>
      <s:c r="E69" s="35">
        <s:f>E67-E68</s:f>
        <s:v>40.185</s:v>
      </s:c>
      <s:c r="F69" s="35">
        <s:f>F67-F68</s:f>
        <s:v>91.36240000000001</s:v>
      </s:c>
      <s:c r="G69" s="35">
        <s:f>G67-G68</s:f>
        <s:v>111.67599999999996</s:v>
      </s:c>
    </s:row>
    <s:row r="70"/>
    <s:row r="71">
      <s:c r="A71" s="3" t="inlineStr">
        <s:is>
          <s:t xml:space="preserve">　④ FY2030出店（リゾート含む）</s:t>
        </s:is>
      </s:c>
      <s:c r="B71" s="3" t="n"/>
      <s:c r="C71" s="3" t="n"/>
      <s:c r="D71" s="3" t="n"/>
      <s:c r="E71" s="3" t="n"/>
      <s:c r="F71" s="3" t="n"/>
      <s:c r="G71" s="3" t="n"/>
    </s:row>
    <s:row r="72">
      <s:c r="A72" s="38" t="inlineStr">
        <s:is>
          <s:t>店舗数（店）</s:t>
        </s:is>
      </s:c>
      <s:c r="B72" s="30" t="n">
        <s:v>2</s:v>
      </s:c>
    </s:row>
    <s:row r="73">
      <s:c r="A73" s="38" t="inlineStr">
        <s:is>
          <s:t>開業年度の稼働月数</s:t>
        </s:is>
      </s:c>
      <s:c r="B73" s="39">
        <s:f>'前提条件'!$B$9</s:f>
        <s:v>7.5</s:v>
      </s:c>
    </s:row>
    <s:row r="74">
      <s:c r="A74" s="38" t="inlineStr">
        <s:is>
          <s:t>年次（0=未開業/1/2/3）</s:t>
        </s:is>
      </s:c>
      <s:c r="C74" s="30" t="n">
        <s:v>0</s:v>
      </s:c>
      <s:c r="D74" s="30" t="n">
        <s:v>0</s:v>
      </s:c>
      <s:c r="E74" s="30" t="n">
        <s:v>0</s:v>
      </s:c>
      <s:c r="F74" s="30" t="n">
        <s:v>1</s:v>
      </s:c>
      <s:c r="G74" s="30" t="n">
        <s:v>2</s:v>
      </s:c>
    </s:row>
    <s:row r="75">
      <s:c r="A75" s="13" t="inlineStr">
        <s:is>
          <s:t>売上高</s:t>
        </s:is>
      </s:c>
      <s:c r="C75" s="33">
        <s:f>IF(C74=0,0,'前提条件'!$B$5*INDEX('前提条件'!$B$6:$B$8,C74)*$B$72*IF(C74=1,$B$73/12,1))</s:f>
        <s:v>0.0</s:v>
      </s:c>
      <s:c r="D75" s="33">
        <s:f>IF(D74=0,0,'前提条件'!$B$5*INDEX('前提条件'!$B$6:$B$8,D74)*$B$72*IF(D74=1,$B$73/12,1))</s:f>
        <s:v>0.0</s:v>
      </s:c>
      <s:c r="E75" s="33">
        <s:f>IF(E74=0,0,'前提条件'!$B$5*INDEX('前提条件'!$B$6:$B$8,E74)*$B$72*IF(E74=1,$B$73/12,1))</s:f>
        <s:v>0.0</s:v>
      </s:c>
      <s:c r="F75" s="33">
        <s:f>IF(F74=0,0,'前提条件'!$B$5*INDEX('前提条件'!$B$6:$B$8,F74)*$B$72*IF(F74=1,$B$73/12,1))</s:f>
        <s:v>517.5</s:v>
      </s:c>
      <s:c r="G75" s="33">
        <s:f>IF(G74=0,0,'前提条件'!$B$5*INDEX('前提条件'!$B$6:$B$8,G74)*$B$72*IF(G74=1,$B$73/12,1))</s:f>
        <s:v>901.6</s:v>
      </s:c>
    </s:row>
    <s:row r="76">
      <s:c r="A76" s="19" t="inlineStr">
        <s:is>
          <s:t>売上原価</s:t>
        </s:is>
      </s:c>
      <s:c r="C76" s="34">
        <s:f>IF(C$74=0,0,C$75*INDEX('前提条件'!$B$22:$D$22,1,C$74))</s:f>
        <s:v>0.0</s:v>
      </s:c>
      <s:c r="D76" s="34">
        <s:f>IF(D$74=0,0,D$75*INDEX('前提条件'!$B$22:$D$22,1,D$74))</s:f>
        <s:v>0.0</s:v>
      </s:c>
      <s:c r="E76" s="34">
        <s:f>IF(E$74=0,0,E$75*INDEX('前提条件'!$B$22:$D$22,1,E$74))</s:f>
        <s:v>0.0</s:v>
      </s:c>
      <s:c r="F76" s="34">
        <s:f>IF(F$74=0,0,F$75*INDEX('前提条件'!$B$22:$D$22,1,F$74))</s:f>
        <s:v>152.6625</s:v>
      </s:c>
      <s:c r="G76" s="34">
        <s:f>IF(G$74=0,0,G$75*INDEX('前提条件'!$B$22:$D$22,1,G$74))</s:f>
        <s:v>261.464</s:v>
      </s:c>
    </s:row>
    <s:row r="77">
      <s:c r="A77" s="19" t="inlineStr">
        <s:is>
          <s:t>人件費</s:t>
        </s:is>
      </s:c>
      <s:c r="C77" s="34">
        <s:f>IF(C$74=0,0,C$75*INDEX('前提条件'!$B$23:$D$23,1,C$74))</s:f>
        <s:v>0.0</s:v>
      </s:c>
      <s:c r="D77" s="34">
        <s:f>IF(D$74=0,0,D$75*INDEX('前提条件'!$B$23:$D$23,1,D$74))</s:f>
        <s:v>0.0</s:v>
      </s:c>
      <s:c r="E77" s="34">
        <s:f>IF(E$74=0,0,E$75*INDEX('前提条件'!$B$23:$D$23,1,E$74))</s:f>
        <s:v>0.0</s:v>
      </s:c>
      <s:c r="F77" s="34">
        <s:f>IF(F$74=0,0,F$75*INDEX('前提条件'!$B$23:$D$23,1,F$74))</s:f>
        <s:v>178.5375</s:v>
      </s:c>
      <s:c r="G77" s="34">
        <s:f>IF(G$74=0,0,G$75*INDEX('前提条件'!$B$23:$D$23,1,G$74))</s:f>
        <s:v>302.036</s:v>
      </s:c>
    </s:row>
    <s:row r="78">
      <s:c r="A78" s="19" t="inlineStr">
        <s:is>
          <s:t>業務委託費・消耗品他</s:t>
        </s:is>
      </s:c>
      <s:c r="C78" s="34">
        <s:f>IF(C$74=0,0,C$75*INDEX('前提条件'!$B$24:$D$24,1,C$74))</s:f>
        <s:v>0.0</s:v>
      </s:c>
      <s:c r="D78" s="34">
        <s:f>IF(D$74=0,0,D$75*INDEX('前提条件'!$B$24:$D$24,1,D$74))</s:f>
        <s:v>0.0</s:v>
      </s:c>
      <s:c r="E78" s="34">
        <s:f>IF(E$74=0,0,E$75*INDEX('前提条件'!$B$24:$D$24,1,E$74))</s:f>
        <s:v>0.0</s:v>
      </s:c>
      <s:c r="F78" s="34">
        <s:f>IF(F$74=0,0,F$75*INDEX('前提条件'!$B$24:$D$24,1,F$74))</s:f>
        <s:v>12.42</s:v>
      </s:c>
      <s:c r="G78" s="34">
        <s:f>IF(G$74=0,0,G$75*INDEX('前提条件'!$B$24:$D$24,1,G$74))</s:f>
        <s:v>19.8352</s:v>
      </s:c>
    </s:row>
    <s:row r="79">
      <s:c r="A79" s="40" t="inlineStr">
        <s:is>
          <s:t>部門利益</s:t>
        </s:is>
      </s:c>
      <s:c r="C79" s="35">
        <s:f>C75-SUM(C76:C78)</s:f>
        <s:v>0.0</s:v>
      </s:c>
      <s:c r="D79" s="35">
        <s:f>D75-SUM(D76:D78)</s:f>
        <s:v>0.0</s:v>
      </s:c>
      <s:c r="E79" s="35">
        <s:f>E75-SUM(E76:E78)</s:f>
        <s:v>0.0</s:v>
      </s:c>
      <s:c r="F79" s="35">
        <s:f>F75-SUM(F76:F78)</s:f>
        <s:v>173.88</s:v>
      </s:c>
      <s:c r="G79" s="35">
        <s:f>G75-SUM(G76:G78)</s:f>
        <s:v>318.26480000000004</s:v>
      </s:c>
    </s:row>
    <s:row r="80">
      <s:c r="A80" s="19" t="inlineStr">
        <s:is>
          <s:t>広告宣伝費・販売促進費</s:t>
        </s:is>
      </s:c>
      <s:c r="C80" s="34">
        <s:f>IF(C$74=0,0,C$75*INDEX('前提条件'!$B$25:$D$25,1,C$74))</s:f>
        <s:v>0.0</s:v>
      </s:c>
      <s:c r="D80" s="34">
        <s:f>IF(D$74=0,0,D$75*INDEX('前提条件'!$B$25:$D$25,1,D$74))</s:f>
        <s:v>0.0</s:v>
      </s:c>
      <s:c r="E80" s="34">
        <s:f>IF(E$74=0,0,E$75*INDEX('前提条件'!$B$25:$D$25,1,E$74))</s:f>
        <s:v>0.0</s:v>
      </s:c>
      <s:c r="F80" s="34">
        <s:f>IF(F$74=0,0,F$75*INDEX('前提条件'!$B$25:$D$25,1,F$74))</s:f>
        <s:v>7.245</s:v>
      </s:c>
      <s:c r="G80" s="34">
        <s:f>IF(G$74=0,0,G$75*INDEX('前提条件'!$B$25:$D$25,1,G$74))</s:f>
        <s:v>12.6224</s:v>
      </s:c>
    </s:row>
    <s:row r="81">
      <s:c r="A81" s="19" t="inlineStr">
        <s:is>
          <s:t>その他経費</s:t>
        </s:is>
      </s:c>
      <s:c r="C81" s="34">
        <s:f>IF(C$74=0,0,C$75*INDEX('前提条件'!$B$26:$D$26,1,C$74))</s:f>
        <s:v>0.0</s:v>
      </s:c>
      <s:c r="D81" s="34">
        <s:f>IF(D$74=0,0,D$75*INDEX('前提条件'!$B$26:$D$26,1,D$74))</s:f>
        <s:v>0.0</s:v>
      </s:c>
      <s:c r="E81" s="34">
        <s:f>IF(E$74=0,0,E$75*INDEX('前提条件'!$B$26:$D$26,1,E$74))</s:f>
        <s:v>0.0</s:v>
      </s:c>
      <s:c r="F81" s="34">
        <s:f>IF(F$74=0,0,F$75*INDEX('前提条件'!$B$26:$D$26,1,F$74))</s:f>
        <s:v>2.5875</s:v>
      </s:c>
      <s:c r="G81" s="34">
        <s:f>IF(G$74=0,0,G$75*INDEX('前提条件'!$B$26:$D$26,1,G$74))</s:f>
        <s:v>4.508</s:v>
      </s:c>
    </s:row>
    <s:row r="82">
      <s:c r="A82" s="19" t="inlineStr">
        <s:is>
          <s:t>水道光熱費</s:t>
        </s:is>
      </s:c>
      <s:c r="C82" s="34">
        <s:f>IF(C$74=0,0,C$75*INDEX('前提条件'!$B$27:$D$27,1,C$74))</s:f>
        <s:v>0.0</s:v>
      </s:c>
      <s:c r="D82" s="34">
        <s:f>IF(D$74=0,0,D$75*INDEX('前提条件'!$B$27:$D$27,1,D$74))</s:f>
        <s:v>0.0</s:v>
      </s:c>
      <s:c r="E82" s="34">
        <s:f>IF(E$74=0,0,E$75*INDEX('前提条件'!$B$27:$D$27,1,E$74))</s:f>
        <s:v>0.0</s:v>
      </s:c>
      <s:c r="F82" s="34">
        <s:f>IF(F$74=0,0,F$75*INDEX('前提条件'!$B$27:$D$27,1,F$74))</s:f>
        <s:v>20.7</s:v>
      </s:c>
      <s:c r="G82" s="34">
        <s:f>IF(G$74=0,0,G$75*INDEX('前提条件'!$B$27:$D$27,1,G$74))</s:f>
        <s:v>34.2608</s:v>
      </s:c>
    </s:row>
    <s:row r="83">
      <s:c r="A83" s="40" t="inlineStr">
        <s:is>
          <s:t>GOP（店舗営業総利益）</s:t>
        </s:is>
      </s:c>
      <s:c r="C83" s="35">
        <s:f>C79-SUM(C80:C82)</s:f>
        <s:v>0.0</s:v>
      </s:c>
      <s:c r="D83" s="35">
        <s:f>D79-SUM(D80:D82)</s:f>
        <s:v>0.0</s:v>
      </s:c>
      <s:c r="E83" s="35">
        <s:f>E79-SUM(E80:E82)</s:f>
        <s:v>0.0</s:v>
      </s:c>
      <s:c r="F83" s="35">
        <s:f>F79-SUM(F80:F82)</s:f>
        <s:v>143.3475</s:v>
      </s:c>
      <s:c r="G83" s="35">
        <s:f>G79-SUM(G80:G82)</s:f>
        <s:v>266.8736</s:v>
      </s:c>
    </s:row>
    <s:row r="84">
      <s:c r="A84" s="19" t="inlineStr">
        <s:is>
          <s:t>ロイヤリティ</s:t>
        </s:is>
      </s:c>
      <s:c r="C84" s="34">
        <s:f>IF(C$74=0,0,C$75*INDEX('前提条件'!$B$28:$D$28,1,C$74))</s:f>
        <s:v>0.0</s:v>
      </s:c>
      <s:c r="D84" s="34">
        <s:f>IF(D$74=0,0,D$75*INDEX('前提条件'!$B$28:$D$28,1,D$74))</s:f>
        <s:v>0.0</s:v>
      </s:c>
      <s:c r="E84" s="34">
        <s:f>IF(E$74=0,0,E$75*INDEX('前提条件'!$B$28:$D$28,1,E$74))</s:f>
        <s:v>0.0</s:v>
      </s:c>
      <s:c r="F84" s="34">
        <s:f>IF(F$74=0,0,F$75*INDEX('前提条件'!$B$28:$D$28,1,F$74))</s:f>
        <s:v>20.7</s:v>
      </s:c>
      <s:c r="G84" s="34">
        <s:f>IF(G$74=0,0,G$75*INDEX('前提条件'!$B$28:$D$28,1,G$74))</s:f>
        <s:v>36.064</s:v>
      </s:c>
    </s:row>
    <s:row r="85">
      <s:c r="A85" s="19" t="inlineStr">
        <s:is>
          <s:t>保険・租税公課</s:t>
        </s:is>
      </s:c>
      <s:c r="C85" s="34">
        <s:f>IF(C$74=0,0,C$75*INDEX('前提条件'!$B$29:$D$29,1,C$74))</s:f>
        <s:v>0.0</s:v>
      </s:c>
      <s:c r="D85" s="34">
        <s:f>IF(D$74=0,0,D$75*INDEX('前提条件'!$B$29:$D$29,1,D$74))</s:f>
        <s:v>0.0</s:v>
      </s:c>
      <s:c r="E85" s="34">
        <s:f>IF(E$74=0,0,E$75*INDEX('前提条件'!$B$29:$D$29,1,E$74))</s:f>
        <s:v>0.0</s:v>
      </s:c>
      <s:c r="F85" s="34">
        <s:f>IF(F$74=0,0,F$75*INDEX('前提条件'!$B$29:$D$29,1,F$74))</s:f>
        <s:v>3.6225</s:v>
      </s:c>
      <s:c r="G85" s="34">
        <s:f>IF(G$74=0,0,G$75*INDEX('前提条件'!$B$29:$D$29,1,G$74))</s:f>
        <s:v>6.3112</s:v>
      </s:c>
    </s:row>
    <s:row r="86">
      <s:c r="A86" s="19" t="inlineStr">
        <s:is>
          <s:t>地代家賃（固定）</s:t>
        </s:is>
      </s:c>
      <s:c r="C86" s="34">
        <s:f>IF(C74=0,0,'前提条件'!$B$14*$B$72*IF(C74=1,$B$73/12,1))</s:f>
        <s:v>0.0</s:v>
      </s:c>
      <s:c r="D86" s="34">
        <s:f>IF(D74=0,0,'前提条件'!$B$14*$B$72*IF(D74=1,$B$73/12,1))</s:f>
        <s:v>0.0</s:v>
      </s:c>
      <s:c r="E86" s="34">
        <s:f>IF(E74=0,0,'前提条件'!$B$14*$B$72*IF(E74=1,$B$73/12,1))</s:f>
        <s:v>0.0</s:v>
      </s:c>
      <s:c r="F86" s="34">
        <s:f>IF(F74=0,0,'前提条件'!$B$14*$B$72*IF(F74=1,$B$73/12,1))</s:f>
        <s:v>33.3</s:v>
      </s:c>
      <s:c r="G86" s="34">
        <s:f>IF(G74=0,0,'前提条件'!$B$14*$B$72*IF(G74=1,$B$73/12,1))</s:f>
        <s:v>53.28</s:v>
      </s:c>
    </s:row>
    <s:row r="87">
      <s:c r="A87" s="19" t="inlineStr">
        <s:is>
          <s:t>歩合家賃</s:t>
        </s:is>
      </s:c>
      <s:c r="C87" s="34">
        <s:f>IF(C74=0,0,MAX(0,C75/$B$72-'前提条件'!$B$16*IF(C74=1,$B$73/12,1))*'前提条件'!$B$15*$B$72)</s:f>
        <s:v>0.0</s:v>
      </s:c>
      <s:c r="D87" s="34">
        <s:f>IF(D74=0,0,MAX(0,D75/$B$72-'前提条件'!$B$16*IF(D74=1,$B$73/12,1))*'前提条件'!$B$15*$B$72)</s:f>
        <s:v>0.0</s:v>
      </s:c>
      <s:c r="E87" s="34">
        <s:f>IF(E74=0,0,MAX(0,E75/$B$72-'前提条件'!$B$16*IF(E74=1,$B$73/12,1))*'前提条件'!$B$15*$B$72)</s:f>
        <s:v>0.0</s:v>
      </s:c>
      <s:c r="F87" s="34">
        <s:f>IF(F74=0,0,MAX(0,F75/$B$72-'前提条件'!$B$16*IF(F74=1,$B$73/12,1))*'前提条件'!$B$15*$B$72)</s:f>
        <s:v>7.227500000000001</s:v>
      </s:c>
      <s:c r="G87" s="34">
        <s:f>IF(G74=0,0,MAX(0,G75/$B$72-'前提条件'!$B$16*IF(G74=1,$B$73/12,1))*'前提条件'!$B$15*$B$72)</s:f>
        <s:v>16.716000000000005</s:v>
      </s:c>
    </s:row>
    <s:row r="88">
      <s:c r="A88" s="19" t="inlineStr">
        <s:is>
          <s:t>修繕維持費（FFE）</s:t>
        </s:is>
      </s:c>
      <s:c r="C88" s="34">
        <s:f>IF(C$74=0,0,C$75*INDEX('前提条件'!$B$30:$D$30,1,C$74))</s:f>
        <s:v>0.0</s:v>
      </s:c>
      <s:c r="D88" s="34">
        <s:f>IF(D$74=0,0,D$75*INDEX('前提条件'!$B$30:$D$30,1,D$74))</s:f>
        <s:v>0.0</s:v>
      </s:c>
      <s:c r="E88" s="34">
        <s:f>IF(E$74=0,0,E$75*INDEX('前提条件'!$B$30:$D$30,1,E$74))</s:f>
        <s:v>0.0</s:v>
      </s:c>
      <s:c r="F88" s="34">
        <s:f>IF(F$74=0,0,F$75*INDEX('前提条件'!$B$30:$D$30,1,F$74))</s:f>
        <s:v>12.9375</s:v>
      </s:c>
      <s:c r="G88" s="34">
        <s:f>IF(G$74=0,0,G$75*INDEX('前提条件'!$B$30:$D$30,1,G$74))</s:f>
        <s:v>22.540000000000003</s:v>
      </s:c>
    </s:row>
    <s:row r="89">
      <s:c r="A89" s="13" t="inlineStr">
        <s:is>
          <s:t>店舗EBITDA</s:t>
        </s:is>
      </s:c>
      <s:c r="C89" s="35">
        <s:f>C83-SUM(C84:C88)</s:f>
        <s:v>0.0</s:v>
      </s:c>
      <s:c r="D89" s="35">
        <s:f>D83-SUM(D84:D88)</s:f>
        <s:v>0.0</s:v>
      </s:c>
      <s:c r="E89" s="35">
        <s:f>E83-SUM(E84:E88)</s:f>
        <s:v>0.0</s:v>
      </s:c>
      <s:c r="F89" s="35">
        <s:f>F83-SUM(F84:F88)</s:f>
        <s:v>65.56</s:v>
      </s:c>
      <s:c r="G89" s="35">
        <s:f>G83-SUM(G84:G88)</s:f>
        <s:v>131.9624</s:v>
      </s:c>
    </s:row>
    <s:row r="90">
      <s:c r="A90" s="9" t="inlineStr">
        <s:is>
          <s:t>減価償却費</s:t>
        </s:is>
      </s:c>
      <s:c r="C90" s="34">
        <s:f>IF(C74=0,0,'前提条件'!$C$42*$B$72*IF(C74=1,$B$73/12,1))</s:f>
        <s:v>0.0</s:v>
      </s:c>
      <s:c r="D90" s="34">
        <s:f>IF(D74=0,0,'前提条件'!$C$42*$B$72*IF(D74=1,$B$73/12,1))</s:f>
        <s:v>0.0</s:v>
      </s:c>
      <s:c r="E90" s="34">
        <s:f>IF(E74=0,0,'前提条件'!$C$42*$B$72*IF(E74=1,$B$73/12,1))</s:f>
        <s:v>0.0</s:v>
      </s:c>
      <s:c r="F90" s="34">
        <s:f>IF(F74=0,0,'前提条件'!$C$42*$B$72*IF(F74=1,$B$73/12,1))</s:f>
        <s:v>25.375</s:v>
      </s:c>
      <s:c r="G90" s="34">
        <s:f>IF(G74=0,0,'前提条件'!$C$42*$B$72*IF(G74=1,$B$73/12,1))</s:f>
        <s:v>40.6</s:v>
      </s:c>
    </s:row>
    <s:row r="91">
      <s:c r="A91" s="13" t="inlineStr">
        <s:is>
          <s:t>店舗営業利益</s:t>
        </s:is>
      </s:c>
      <s:c r="C91" s="35">
        <s:f>C89-C90</s:f>
        <s:v>0.0</s:v>
      </s:c>
      <s:c r="D91" s="35">
        <s:f>D89-D90</s:f>
        <s:v>0.0</s:v>
      </s:c>
      <s:c r="E91" s="35">
        <s:f>E89-E90</s:f>
        <s:v>0.0</s:v>
      </s:c>
      <s:c r="F91" s="35">
        <s:f>F89-F90</s:f>
        <s:v>40.185</s:v>
      </s:c>
      <s:c r="G91" s="35">
        <s:f>G89-G90</s:f>
        <s:v>91.36240000000001</s:v>
      </s:c>
    </s:row>
    <s:row r="92"/>
    <s:row r="93">
      <s:c r="A93" s="3" t="inlineStr">
        <s:is>
          <s:t xml:space="preserve">　⑤ FY2031出店（リゾート含む）</s:t>
        </s:is>
      </s:c>
      <s:c r="B93" s="3" t="n"/>
      <s:c r="C93" s="3" t="n"/>
      <s:c r="D93" s="3" t="n"/>
      <s:c r="E93" s="3" t="n"/>
      <s:c r="F93" s="3" t="n"/>
      <s:c r="G93" s="3" t="n"/>
    </s:row>
    <s:row r="94">
      <s:c r="A94" s="38" t="inlineStr">
        <s:is>
          <s:t>店舗数（店）</s:t>
        </s:is>
      </s:c>
      <s:c r="B94" s="30" t="n">
        <s:v>2</s:v>
      </s:c>
    </s:row>
    <s:row r="95">
      <s:c r="A95" s="38" t="inlineStr">
        <s:is>
          <s:t>開業年度の稼働月数</s:t>
        </s:is>
      </s:c>
      <s:c r="B95" s="39">
        <s:f>'前提条件'!$B$9</s:f>
        <s:v>7.5</s:v>
      </s:c>
    </s:row>
    <s:row r="96">
      <s:c r="A96" s="38" t="inlineStr">
        <s:is>
          <s:t>年次（0=未開業/1/2/3）</s:t>
        </s:is>
      </s:c>
      <s:c r="C96" s="30" t="n">
        <s:v>0</s:v>
      </s:c>
      <s:c r="D96" s="30" t="n">
        <s:v>0</s:v>
      </s:c>
      <s:c r="E96" s="30" t="n">
        <s:v>0</s:v>
      </s:c>
      <s:c r="F96" s="30" t="n">
        <s:v>0</s:v>
      </s:c>
      <s:c r="G96" s="30" t="n">
        <s:v>1</s:v>
      </s:c>
    </s:row>
    <s:row r="97">
      <s:c r="A97" s="13" t="inlineStr">
        <s:is>
          <s:t>売上高</s:t>
        </s:is>
      </s:c>
      <s:c r="C97" s="33">
        <s:f>IF(C96=0,0,'前提条件'!$B$5*INDEX('前提条件'!$B$6:$B$8,C96)*$B$94*IF(C96=1,$B$95/12,1))</s:f>
        <s:v>0.0</s:v>
      </s:c>
      <s:c r="D97" s="33">
        <s:f>IF(D96=0,0,'前提条件'!$B$5*INDEX('前提条件'!$B$6:$B$8,D96)*$B$94*IF(D96=1,$B$95/12,1))</s:f>
        <s:v>0.0</s:v>
      </s:c>
      <s:c r="E97" s="33">
        <s:f>IF(E96=0,0,'前提条件'!$B$5*INDEX('前提条件'!$B$6:$B$8,E96)*$B$94*IF(E96=1,$B$95/12,1))</s:f>
        <s:v>0.0</s:v>
      </s:c>
      <s:c r="F97" s="33">
        <s:f>IF(F96=0,0,'前提条件'!$B$5*INDEX('前提条件'!$B$6:$B$8,F96)*$B$94*IF(F96=1,$B$95/12,1))</s:f>
        <s:v>0.0</s:v>
      </s:c>
      <s:c r="G97" s="33">
        <s:f>IF(G96=0,0,'前提条件'!$B$5*INDEX('前提条件'!$B$6:$B$8,G96)*$B$94*IF(G96=1,$B$95/12,1))</s:f>
        <s:v>517.5</s:v>
      </s:c>
    </s:row>
    <s:row r="98">
      <s:c r="A98" s="19" t="inlineStr">
        <s:is>
          <s:t>売上原価</s:t>
        </s:is>
      </s:c>
      <s:c r="C98" s="34">
        <s:f>IF(C$96=0,0,C$97*INDEX('前提条件'!$B$22:$D$22,1,C$96))</s:f>
        <s:v>0.0</s:v>
      </s:c>
      <s:c r="D98" s="34">
        <s:f>IF(D$96=0,0,D$97*INDEX('前提条件'!$B$22:$D$22,1,D$96))</s:f>
        <s:v>0.0</s:v>
      </s:c>
      <s:c r="E98" s="34">
        <s:f>IF(E$96=0,0,E$97*INDEX('前提条件'!$B$22:$D$22,1,E$96))</s:f>
        <s:v>0.0</s:v>
      </s:c>
      <s:c r="F98" s="34">
        <s:f>IF(F$96=0,0,F$97*INDEX('前提条件'!$B$22:$D$22,1,F$96))</s:f>
        <s:v>0.0</s:v>
      </s:c>
      <s:c r="G98" s="34">
        <s:f>IF(G$96=0,0,G$97*INDEX('前提条件'!$B$22:$D$22,1,G$96))</s:f>
        <s:v>152.6625</s:v>
      </s:c>
    </s:row>
    <s:row r="99">
      <s:c r="A99" s="19" t="inlineStr">
        <s:is>
          <s:t>人件費</s:t>
        </s:is>
      </s:c>
      <s:c r="C99" s="34">
        <s:f>IF(C$96=0,0,C$97*INDEX('前提条件'!$B$23:$D$23,1,C$96))</s:f>
        <s:v>0.0</s:v>
      </s:c>
      <s:c r="D99" s="34">
        <s:f>IF(D$96=0,0,D$97*INDEX('前提条件'!$B$23:$D$23,1,D$96))</s:f>
        <s:v>0.0</s:v>
      </s:c>
      <s:c r="E99" s="34">
        <s:f>IF(E$96=0,0,E$97*INDEX('前提条件'!$B$23:$D$23,1,E$96))</s:f>
        <s:v>0.0</s:v>
      </s:c>
      <s:c r="F99" s="34">
        <s:f>IF(F$96=0,0,F$97*INDEX('前提条件'!$B$23:$D$23,1,F$96))</s:f>
        <s:v>0.0</s:v>
      </s:c>
      <s:c r="G99" s="34">
        <s:f>IF(G$96=0,0,G$97*INDEX('前提条件'!$B$23:$D$23,1,G$96))</s:f>
        <s:v>178.5375</s:v>
      </s:c>
    </s:row>
    <s:row r="100">
      <s:c r="A100" s="19" t="inlineStr">
        <s:is>
          <s:t>業務委託費・消耗品他</s:t>
        </s:is>
      </s:c>
      <s:c r="C100" s="34">
        <s:f>IF(C$96=0,0,C$97*INDEX('前提条件'!$B$24:$D$24,1,C$96))</s:f>
        <s:v>0.0</s:v>
      </s:c>
      <s:c r="D100" s="34">
        <s:f>IF(D$96=0,0,D$97*INDEX('前提条件'!$B$24:$D$24,1,D$96))</s:f>
        <s:v>0.0</s:v>
      </s:c>
      <s:c r="E100" s="34">
        <s:f>IF(E$96=0,0,E$97*INDEX('前提条件'!$B$24:$D$24,1,E$96))</s:f>
        <s:v>0.0</s:v>
      </s:c>
      <s:c r="F100" s="34">
        <s:f>IF(F$96=0,0,F$97*INDEX('前提条件'!$B$24:$D$24,1,F$96))</s:f>
        <s:v>0.0</s:v>
      </s:c>
      <s:c r="G100" s="34">
        <s:f>IF(G$96=0,0,G$97*INDEX('前提条件'!$B$24:$D$24,1,G$96))</s:f>
        <s:v>12.42</s:v>
      </s:c>
    </s:row>
    <s:row r="101">
      <s:c r="A101" s="40" t="inlineStr">
        <s:is>
          <s:t>部門利益</s:t>
        </s:is>
      </s:c>
      <s:c r="C101" s="35">
        <s:f>C97-SUM(C98:C100)</s:f>
        <s:v>0.0</s:v>
      </s:c>
      <s:c r="D101" s="35">
        <s:f>D97-SUM(D98:D100)</s:f>
        <s:v>0.0</s:v>
      </s:c>
      <s:c r="E101" s="35">
        <s:f>E97-SUM(E98:E100)</s:f>
        <s:v>0.0</s:v>
      </s:c>
      <s:c r="F101" s="35">
        <s:f>F97-SUM(F98:F100)</s:f>
        <s:v>0.0</s:v>
      </s:c>
      <s:c r="G101" s="35">
        <s:f>G97-SUM(G98:G100)</s:f>
        <s:v>173.88</s:v>
      </s:c>
    </s:row>
    <s:row r="102">
      <s:c r="A102" s="19" t="inlineStr">
        <s:is>
          <s:t>広告宣伝費・販売促進費</s:t>
        </s:is>
      </s:c>
      <s:c r="C102" s="34">
        <s:f>IF(C$96=0,0,C$97*INDEX('前提条件'!$B$25:$D$25,1,C$96))</s:f>
        <s:v>0.0</s:v>
      </s:c>
      <s:c r="D102" s="34">
        <s:f>IF(D$96=0,0,D$97*INDEX('前提条件'!$B$25:$D$25,1,D$96))</s:f>
        <s:v>0.0</s:v>
      </s:c>
      <s:c r="E102" s="34">
        <s:f>IF(E$96=0,0,E$97*INDEX('前提条件'!$B$25:$D$25,1,E$96))</s:f>
        <s:v>0.0</s:v>
      </s:c>
      <s:c r="F102" s="34">
        <s:f>IF(F$96=0,0,F$97*INDEX('前提条件'!$B$25:$D$25,1,F$96))</s:f>
        <s:v>0.0</s:v>
      </s:c>
      <s:c r="G102" s="34">
        <s:f>IF(G$96=0,0,G$97*INDEX('前提条件'!$B$25:$D$25,1,G$96))</s:f>
        <s:v>7.245</s:v>
      </s:c>
    </s:row>
    <s:row r="103">
      <s:c r="A103" s="19" t="inlineStr">
        <s:is>
          <s:t>その他経費</s:t>
        </s:is>
      </s:c>
      <s:c r="C103" s="34">
        <s:f>IF(C$96=0,0,C$97*INDEX('前提条件'!$B$26:$D$26,1,C$96))</s:f>
        <s:v>0.0</s:v>
      </s:c>
      <s:c r="D103" s="34">
        <s:f>IF(D$96=0,0,D$97*INDEX('前提条件'!$B$26:$D$26,1,D$96))</s:f>
        <s:v>0.0</s:v>
      </s:c>
      <s:c r="E103" s="34">
        <s:f>IF(E$96=0,0,E$97*INDEX('前提条件'!$B$26:$D$26,1,E$96))</s:f>
        <s:v>0.0</s:v>
      </s:c>
      <s:c r="F103" s="34">
        <s:f>IF(F$96=0,0,F$97*INDEX('前提条件'!$B$26:$D$26,1,F$96))</s:f>
        <s:v>0.0</s:v>
      </s:c>
      <s:c r="G103" s="34">
        <s:f>IF(G$96=0,0,G$97*INDEX('前提条件'!$B$26:$D$26,1,G$96))</s:f>
        <s:v>2.5875</s:v>
      </s:c>
    </s:row>
    <s:row r="104">
      <s:c r="A104" s="19" t="inlineStr">
        <s:is>
          <s:t>水道光熱費</s:t>
        </s:is>
      </s:c>
      <s:c r="C104" s="34">
        <s:f>IF(C$96=0,0,C$97*INDEX('前提条件'!$B$27:$D$27,1,C$96))</s:f>
        <s:v>0.0</s:v>
      </s:c>
      <s:c r="D104" s="34">
        <s:f>IF(D$96=0,0,D$97*INDEX('前提条件'!$B$27:$D$27,1,D$96))</s:f>
        <s:v>0.0</s:v>
      </s:c>
      <s:c r="E104" s="34">
        <s:f>IF(E$96=0,0,E$97*INDEX('前提条件'!$B$27:$D$27,1,E$96))</s:f>
        <s:v>0.0</s:v>
      </s:c>
      <s:c r="F104" s="34">
        <s:f>IF(F$96=0,0,F$97*INDEX('前提条件'!$B$27:$D$27,1,F$96))</s:f>
        <s:v>0.0</s:v>
      </s:c>
      <s:c r="G104" s="34">
        <s:f>IF(G$96=0,0,G$97*INDEX('前提条件'!$B$27:$D$27,1,G$96))</s:f>
        <s:v>20.7</s:v>
      </s:c>
    </s:row>
    <s:row r="105">
      <s:c r="A105" s="40" t="inlineStr">
        <s:is>
          <s:t>GOP（店舗営業総利益）</s:t>
        </s:is>
      </s:c>
      <s:c r="C105" s="35">
        <s:f>C101-SUM(C102:C104)</s:f>
        <s:v>0.0</s:v>
      </s:c>
      <s:c r="D105" s="35">
        <s:f>D101-SUM(D102:D104)</s:f>
        <s:v>0.0</s:v>
      </s:c>
      <s:c r="E105" s="35">
        <s:f>E101-SUM(E102:E104)</s:f>
        <s:v>0.0</s:v>
      </s:c>
      <s:c r="F105" s="35">
        <s:f>F101-SUM(F102:F104)</s:f>
        <s:v>0.0</s:v>
      </s:c>
      <s:c r="G105" s="35">
        <s:f>G101-SUM(G102:G104)</s:f>
        <s:v>143.3475</s:v>
      </s:c>
    </s:row>
    <s:row r="106">
      <s:c r="A106" s="19" t="inlineStr">
        <s:is>
          <s:t>ロイヤリティ</s:t>
        </s:is>
      </s:c>
      <s:c r="C106" s="34">
        <s:f>IF(C$96=0,0,C$97*INDEX('前提条件'!$B$28:$D$28,1,C$96))</s:f>
        <s:v>0.0</s:v>
      </s:c>
      <s:c r="D106" s="34">
        <s:f>IF(D$96=0,0,D$97*INDEX('前提条件'!$B$28:$D$28,1,D$96))</s:f>
        <s:v>0.0</s:v>
      </s:c>
      <s:c r="E106" s="34">
        <s:f>IF(E$96=0,0,E$97*INDEX('前提条件'!$B$28:$D$28,1,E$96))</s:f>
        <s:v>0.0</s:v>
      </s:c>
      <s:c r="F106" s="34">
        <s:f>IF(F$96=0,0,F$97*INDEX('前提条件'!$B$28:$D$28,1,F$96))</s:f>
        <s:v>0.0</s:v>
      </s:c>
      <s:c r="G106" s="34">
        <s:f>IF(G$96=0,0,G$97*INDEX('前提条件'!$B$28:$D$28,1,G$96))</s:f>
        <s:v>20.7</s:v>
      </s:c>
    </s:row>
    <s:row r="107">
      <s:c r="A107" s="19" t="inlineStr">
        <s:is>
          <s:t>保険・租税公課</s:t>
        </s:is>
      </s:c>
      <s:c r="C107" s="34">
        <s:f>IF(C$96=0,0,C$97*INDEX('前提条件'!$B$29:$D$29,1,C$96))</s:f>
        <s:v>0.0</s:v>
      </s:c>
      <s:c r="D107" s="34">
        <s:f>IF(D$96=0,0,D$97*INDEX('前提条件'!$B$29:$D$29,1,D$96))</s:f>
        <s:v>0.0</s:v>
      </s:c>
      <s:c r="E107" s="34">
        <s:f>IF(E$96=0,0,E$97*INDEX('前提条件'!$B$29:$D$29,1,E$96))</s:f>
        <s:v>0.0</s:v>
      </s:c>
      <s:c r="F107" s="34">
        <s:f>IF(F$96=0,0,F$97*INDEX('前提条件'!$B$29:$D$29,1,F$96))</s:f>
        <s:v>0.0</s:v>
      </s:c>
      <s:c r="G107" s="34">
        <s:f>IF(G$96=0,0,G$97*INDEX('前提条件'!$B$29:$D$29,1,G$96))</s:f>
        <s:v>3.6225</s:v>
      </s:c>
    </s:row>
    <s:row r="108">
      <s:c r="A108" s="19" t="inlineStr">
        <s:is>
          <s:t>地代家賃（固定）</s:t>
        </s:is>
      </s:c>
      <s:c r="C108" s="34">
        <s:f>IF(C96=0,0,'前提条件'!$B$14*$B$94*IF(C96=1,$B$95/12,1))</s:f>
        <s:v>0.0</s:v>
      </s:c>
      <s:c r="D108" s="34">
        <s:f>IF(D96=0,0,'前提条件'!$B$14*$B$94*IF(D96=1,$B$95/12,1))</s:f>
        <s:v>0.0</s:v>
      </s:c>
      <s:c r="E108" s="34">
        <s:f>IF(E96=0,0,'前提条件'!$B$14*$B$94*IF(E96=1,$B$95/12,1))</s:f>
        <s:v>0.0</s:v>
      </s:c>
      <s:c r="F108" s="34">
        <s:f>IF(F96=0,0,'前提条件'!$B$14*$B$94*IF(F96=1,$B$95/12,1))</s:f>
        <s:v>0.0</s:v>
      </s:c>
      <s:c r="G108" s="34">
        <s:f>IF(G96=0,0,'前提条件'!$B$14*$B$94*IF(G96=1,$B$95/12,1))</s:f>
        <s:v>33.3</s:v>
      </s:c>
    </s:row>
    <s:row r="109">
      <s:c r="A109" s="19" t="inlineStr">
        <s:is>
          <s:t>歩合家賃</s:t>
        </s:is>
      </s:c>
      <s:c r="C109" s="34">
        <s:f>IF(C96=0,0,MAX(0,C97/$B$94-'前提条件'!$B$16*IF(C96=1,$B$95/12,1))*'前提条件'!$B$15*$B$94)</s:f>
        <s:v>0.0</s:v>
      </s:c>
      <s:c r="D109" s="34">
        <s:f>IF(D96=0,0,MAX(0,D97/$B$94-'前提条件'!$B$16*IF(D96=1,$B$95/12,1))*'前提条件'!$B$15*$B$94)</s:f>
        <s:v>0.0</s:v>
      </s:c>
      <s:c r="E109" s="34">
        <s:f>IF(E96=0,0,MAX(0,E97/$B$94-'前提条件'!$B$16*IF(E96=1,$B$95/12,1))*'前提条件'!$B$15*$B$94)</s:f>
        <s:v>0.0</s:v>
      </s:c>
      <s:c r="F109" s="34">
        <s:f>IF(F96=0,0,MAX(0,F97/$B$94-'前提条件'!$B$16*IF(F96=1,$B$95/12,1))*'前提条件'!$B$15*$B$94)</s:f>
        <s:v>0.0</s:v>
      </s:c>
      <s:c r="G109" s="34">
        <s:f>IF(G96=0,0,MAX(0,G97/$B$94-'前提条件'!$B$16*IF(G96=1,$B$95/12,1))*'前提条件'!$B$15*$B$94)</s:f>
        <s:v>7.227500000000001</s:v>
      </s:c>
    </s:row>
    <s:row r="110">
      <s:c r="A110" s="19" t="inlineStr">
        <s:is>
          <s:t>修繕維持費（FFE）</s:t>
        </s:is>
      </s:c>
      <s:c r="C110" s="34">
        <s:f>IF(C$96=0,0,C$97*INDEX('前提条件'!$B$30:$D$30,1,C$96))</s:f>
        <s:v>0.0</s:v>
      </s:c>
      <s:c r="D110" s="34">
        <s:f>IF(D$96=0,0,D$97*INDEX('前提条件'!$B$30:$D$30,1,D$96))</s:f>
        <s:v>0.0</s:v>
      </s:c>
      <s:c r="E110" s="34">
        <s:f>IF(E$96=0,0,E$97*INDEX('前提条件'!$B$30:$D$30,1,E$96))</s:f>
        <s:v>0.0</s:v>
      </s:c>
      <s:c r="F110" s="34">
        <s:f>IF(F$96=0,0,F$97*INDEX('前提条件'!$B$30:$D$30,1,F$96))</s:f>
        <s:v>0.0</s:v>
      </s:c>
      <s:c r="G110" s="34">
        <s:f>IF(G$96=0,0,G$97*INDEX('前提条件'!$B$30:$D$30,1,G$96))</s:f>
        <s:v>12.9375</s:v>
      </s:c>
    </s:row>
    <s:row r="111">
      <s:c r="A111" s="13" t="inlineStr">
        <s:is>
          <s:t>店舗EBITDA</s:t>
        </s:is>
      </s:c>
      <s:c r="C111" s="35">
        <s:f>C105-SUM(C106:C110)</s:f>
        <s:v>0.0</s:v>
      </s:c>
      <s:c r="D111" s="35">
        <s:f>D105-SUM(D106:D110)</s:f>
        <s:v>0.0</s:v>
      </s:c>
      <s:c r="E111" s="35">
        <s:f>E105-SUM(E106:E110)</s:f>
        <s:v>0.0</s:v>
      </s:c>
      <s:c r="F111" s="35">
        <s:f>F105-SUM(F106:F110)</s:f>
        <s:v>0.0</s:v>
      </s:c>
      <s:c r="G111" s="35">
        <s:f>G105-SUM(G106:G110)</s:f>
        <s:v>65.56</s:v>
      </s:c>
    </s:row>
    <s:row r="112">
      <s:c r="A112" s="9" t="inlineStr">
        <s:is>
          <s:t>減価償却費</s:t>
        </s:is>
      </s:c>
      <s:c r="C112" s="34">
        <s:f>IF(C96=0,0,'前提条件'!$C$42*$B$94*IF(C96=1,$B$95/12,1))</s:f>
        <s:v>0.0</s:v>
      </s:c>
      <s:c r="D112" s="34">
        <s:f>IF(D96=0,0,'前提条件'!$C$42*$B$94*IF(D96=1,$B$95/12,1))</s:f>
        <s:v>0.0</s:v>
      </s:c>
      <s:c r="E112" s="34">
        <s:f>IF(E96=0,0,'前提条件'!$C$42*$B$94*IF(E96=1,$B$95/12,1))</s:f>
        <s:v>0.0</s:v>
      </s:c>
      <s:c r="F112" s="34">
        <s:f>IF(F96=0,0,'前提条件'!$C$42*$B$94*IF(F96=1,$B$95/12,1))</s:f>
        <s:v>0.0</s:v>
      </s:c>
      <s:c r="G112" s="34">
        <s:f>IF(G96=0,0,'前提条件'!$C$42*$B$94*IF(G96=1,$B$95/12,1))</s:f>
        <s:v>25.375</s:v>
      </s:c>
    </s:row>
    <s:row r="113">
      <s:c r="A113" s="13" t="inlineStr">
        <s:is>
          <s:t>店舗営業利益</s:t>
        </s:is>
      </s:c>
      <s:c r="C113" s="35">
        <s:f>C111-C112</s:f>
        <s:v>0.0</s:v>
      </s:c>
      <s:c r="D113" s="35">
        <s:f>D111-D112</s:f>
        <s:v>0.0</s:v>
      </s:c>
      <s:c r="E113" s="35">
        <s:f>E111-E112</s:f>
        <s:v>0.0</s:v>
      </s:c>
      <s:c r="F113" s="35">
        <s:f>F111-F112</s:f>
        <s:v>0.0</s:v>
      </s:c>
      <s:c r="G113" s="35">
        <s:f>G111-G112</s:f>
        <s:v>40.185</s:v>
      </s:c>
    </s:row>
  </s:sheetData>
  <s:pageMargins left="0.75" right="0.75" top="1" bottom="1" header="0.5" footer="0.5"/>
</s:worksheet>
</file>

<file path=xl/worksheets/sheet5.xml><?xml version="1.0" encoding="utf-8"?>
<s:worksheet xmlns:s="http://schemas.openxmlformats.org/spreadsheetml/2006/main">
  <s:sheetPr>
    <s:outlinePr summaryBelow="1" summaryRight="1"/>
    <s:pageSetUpPr/>
  </s:sheetPr>
  <s:dimension ref="A1:H29"/>
  <s:sheetViews>
    <s:sheetView showGridLines="0" workbookViewId="0">
      <s:selection activeCell="A1" sqref="A1"/>
    </s:sheetView>
  </s:sheetViews>
  <s:sheetFormatPr baseColWidth="8" defaultRowHeight="15"/>
  <s:cols>
    <s:col width="30" customWidth="1" min="1" max="1"/>
    <s:col width="10" customWidth="1" min="2" max="2"/>
    <s:col width="14" customWidth="1" min="3" max="3"/>
    <s:col width="14" customWidth="1" min="4" max="4"/>
    <s:col width="14" customWidth="1" min="5" max="5"/>
    <s:col width="14" customWidth="1" min="6" max="6"/>
    <s:col width="14" customWidth="1" min="7" max="7"/>
    <s:col width="14" customWidth="1" min="8" max="8"/>
  </s:cols>
  <s:sheetData>
    <s:row r="1">
      <s:c r="A1" s="1" t="inlineStr">
        <s:is>
          <s:t>5か年事業計画　連結損益計画（FY2027-FY2031・百万円）</s:t>
        </s:is>
      </s:c>
      <s:c r="B1" s="1" t="n"/>
      <s:c r="C1" s="1" t="n"/>
      <s:c r="D1" s="1" t="n"/>
      <s:c r="E1" s="1" t="n"/>
      <s:c r="F1" s="1" t="n"/>
      <s:c r="G1" s="1" t="n"/>
      <s:c r="H1" s="1" t="n"/>
    </s:row>
    <s:row r="2">
      <s:c r="A2" s="2" t="inlineStr">
        <s:is>
          <s:t>FY＝4月〜翌3月。2027年4月 六本木開業 → 2028年 札幌・大阪 → 2029年 首都圏・政令指定都市 → 2030年以降 リゾート含め年2店舗</s:t>
        </s:is>
      </s:c>
    </s:row>
    <s:row r="3">
      <s:c r="A3" s="7" t="inlineStr">
        <s:is>
          <s:t>科　目</s:t>
        </s:is>
      </s:c>
      <s:c r="B3" s="32" t="inlineStr">
        <s:is>
          <s:t>対売上比
(FY2031)</s:t>
        </s:is>
      </s:c>
      <s:c r="C3" s="8" t="inlineStr">
        <s:is>
          <s:t>FY2027</s:t>
        </s:is>
      </s:c>
      <s:c r="D3" s="8" t="inlineStr">
        <s:is>
          <s:t>FY2028</s:t>
        </s:is>
      </s:c>
      <s:c r="E3" s="8" t="inlineStr">
        <s:is>
          <s:t>FY2029</s:t>
        </s:is>
      </s:c>
      <s:c r="F3" s="8" t="inlineStr">
        <s:is>
          <s:t>FY2030</s:t>
        </s:is>
      </s:c>
      <s:c r="G3" s="8" t="inlineStr">
        <s:is>
          <s:t>FY2031</s:t>
        </s:is>
      </s:c>
      <s:c r="H3" s="8" t="inlineStr">
        <s:is>
          <s:t>5年累計</s:t>
        </s:is>
      </s:c>
    </s:row>
    <s:row r="4">
      <s:c r="A4" s="13" t="inlineStr">
        <s:is>
          <s:t>期末店舗数（店）</s:t>
        </s:is>
      </s:c>
      <s:c r="C4" s="41">
        <s:f>'前提条件'!B55</s:f>
        <s:v>1.0</s:v>
      </s:c>
      <s:c r="D4" s="41">
        <s:f>'前提条件'!C55</s:f>
        <s:v>3.0</s:v>
      </s:c>
      <s:c r="E4" s="41">
        <s:f>'前提条件'!D55</s:f>
        <s:v>5.0</s:v>
      </s:c>
      <s:c r="F4" s="41">
        <s:f>'前提条件'!E55</s:f>
        <s:v>7.0</s:v>
      </s:c>
      <s:c r="G4" s="41">
        <s:f>'前提条件'!F55</s:f>
        <s:v>9.0</s:v>
      </s:c>
    </s:row>
    <s:row r="5">
      <s:c r="A5" s="13" t="inlineStr">
        <s:is>
          <s:t>売上高</s:t>
        </s:is>
      </s:c>
      <s:c r="B5" s="42">
        <s:f>IF($G$5=0,0,G5/$G$5)</s:f>
        <s:v>1.0</s:v>
      </s:c>
      <s:c r="C5" s="43">
        <s:f>'店舗群別PL'!C9+'店舗群別PL'!C31+'店舗群別PL'!C53+'店舗群別PL'!C75+'店舗群別PL'!C97</s:f>
        <s:v>414.0</s:v>
      </s:c>
      <s:c r="D5" s="43">
        <s:f>'店舗群別PL'!D9+'店舗群別PL'!D31+'店舗群別PL'!D53+'店舗群別PL'!D75+'店舗群別PL'!D97</s:f>
        <s:v>968.3</s:v>
      </s:c>
      <s:c r="E5" s="43">
        <s:f>'店舗群別PL'!E9+'店舗群別PL'!E31+'店舗群別PL'!E53+'店舗群別PL'!E75+'店舗群別PL'!E97</s:f>
        <s:v>1879.1</s:v>
      </s:c>
      <s:c r="F5" s="43">
        <s:f>'店舗群別PL'!F9+'店舗群別PL'!F31+'店舗群別PL'!F53+'店舗群別PL'!F75+'店舗群別PL'!F97</s:f>
        <s:v>2799.1</s:v>
      </s:c>
      <s:c r="G5" s="43">
        <s:f>'店舗群別PL'!G9+'店舗群別PL'!G31+'店舗群別PL'!G53+'店舗群別PL'!G75+'店舗群別PL'!G97</s:f>
        <s:v>3719.1</s:v>
      </s:c>
      <s:c r="H5" s="35">
        <s:f>SUM(C5:G5)</s:f>
        <s:v>9779.6</s:v>
      </s:c>
    </s:row>
    <s:row r="6">
      <s:c r="A6" s="19" t="inlineStr">
        <s:is>
          <s:t>売上原価</s:t>
        </s:is>
      </s:c>
      <s:c r="B6" s="42">
        <s:f>IF($G$5=0,0,G6/$G$5)</s:f>
        <s:v>0.28760358688930115</s:v>
      </s:c>
      <s:c r="C6" s="11">
        <s:f>'店舗群別PL'!C10+'店舗群別PL'!C32+'店舗群別PL'!C54+'店舗群別PL'!C76+'店舗群別PL'!C98</s:f>
        <s:v>122.13</s:v>
      </s:c>
      <s:c r="D6" s="11">
        <s:f>'店舗群別PL'!D10+'店舗群別PL'!D32+'店舗群別PL'!D54+'店舗群別PL'!D76+'店舗群別PL'!D98</s:f>
        <s:v>283.3945</s:v>
      </s:c>
      <s:c r="E6" s="11">
        <s:f>'店舗群別PL'!E10+'店舗群別PL'!E32+'店舗群別PL'!E54+'店舗群別PL'!E76+'店舗群別PL'!E98</s:f>
        <s:v>545.2265</s:v>
      </s:c>
      <s:c r="F6" s="11">
        <s:f>'店舗群別PL'!F10+'店舗群別PL'!F32+'店舗群別PL'!F54+'店舗群別PL'!F76+'店舗群別PL'!F98</s:f>
        <s:v>807.4264999999999</s:v>
      </s:c>
      <s:c r="G6" s="11">
        <s:f>'店舗群別PL'!G10+'店舗群別PL'!G32+'店舗群別PL'!G54+'店舗群別PL'!G76+'店舗群別PL'!G98</s:f>
        <s:v>1069.6264999999999</s:v>
      </s:c>
      <s:c r="H6" s="35">
        <s:f>SUM(C6:G6)</s:f>
        <s:v>2827.8039999999996</s:v>
      </s:c>
    </s:row>
    <s:row r="7">
      <s:c r="A7" s="19" t="inlineStr">
        <s:is>
          <s:t>人件費</s:t>
        </s:is>
      </s:c>
      <s:c r="B7" s="42">
        <s:f>IF($G$5=0,0,G7/$G$5)</s:f>
        <s:v>0.33020717377860237</s:v>
      </s:c>
      <s:c r="C7" s="11">
        <s:f>'店舗群別PL'!C11+'店舗群別PL'!C33+'店舗群別PL'!C55+'店舗群別PL'!C77+'店舗群別PL'!C99</s:f>
        <s:v>142.82999999999998</s:v>
      </s:c>
      <s:c r="D7" s="11">
        <s:f>'店舗群別PL'!D11+'店舗群別PL'!D33+'店舗群別PL'!D55+'店舗群別PL'!D77+'店舗群別PL'!D99</s:f>
        <s:v>329.5555</s:v>
      </s:c>
      <s:c r="E7" s="11">
        <s:f>'店舗群別PL'!E11+'店舗群別PL'!E33+'店舗群別PL'!E55+'店舗群別PL'!E77+'店舗群別PL'!E99</s:f>
        <s:v>630.0735</s:v>
      </s:c>
      <s:c r="F7" s="11">
        <s:f>'店舗群別PL'!F11+'店舗群別PL'!F33+'店舗群別PL'!F55+'店舗群別PL'!F77+'店舗群別PL'!F99</s:f>
        <s:v>929.0735000000001</s:v>
      </s:c>
      <s:c r="G7" s="11">
        <s:f>'店舗群別PL'!G11+'店舗群別PL'!G33+'店舗群別PL'!G55+'店舗群別PL'!G77+'店舗群別PL'!G99</s:f>
        <s:v>1228.0735</s:v>
      </s:c>
      <s:c r="H7" s="35">
        <s:f>SUM(C7:G7)</s:f>
        <s:v>3259.6059999999998</s:v>
      </s:c>
    </s:row>
    <s:row r="8">
      <s:c r="A8" s="19" t="inlineStr">
        <s:is>
          <s:t>業務委託費・消耗品他</s:t>
        </s:is>
      </s:c>
      <s:c r="B8" s="42">
        <s:f>IF($G$5=0,0,G8/$G$5)</s:f>
        <s:v>0.02104143475572047</s:v>
      </s:c>
      <s:c r="C8" s="11">
        <s:f>'店舗群別PL'!C12+'店舗群別PL'!C34+'店舗群別PL'!C56+'店舗群別PL'!C78+'店舗群別PL'!C100</s:f>
        <s:v>9.936</s:v>
      </s:c>
      <s:c r="D8" s="11">
        <s:f>'店舗群別PL'!D12+'店舗群別PL'!D34+'店舗群別PL'!D56+'店舗群別PL'!D78+'店舗群別PL'!D100</s:f>
        <s:v>22.337600000000002</s:v>
      </s:c>
      <s:c r="E8" s="11">
        <s:f>'店舗群別PL'!E12+'店舗群別PL'!E34+'店舗群別PL'!E56+'店舗群別PL'!E78+'店舗群別PL'!E100</s:f>
        <s:v>41.455200000000005</s:v>
      </s:c>
      <s:c r="F8" s="11">
        <s:f>'店舗群別PL'!F12+'店舗群別PL'!F34+'店舗群別PL'!F56+'店舗群別PL'!F78+'店舗群別PL'!F100</s:f>
        <s:v>59.8552</s:v>
      </s:c>
      <s:c r="G8" s="11">
        <s:f>'店舗群別PL'!G12+'店舗群別PL'!G34+'店舗群別PL'!G56+'店舗群別PL'!G78+'店舗群別PL'!G100</s:f>
        <s:v>78.2552</s:v>
      </s:c>
      <s:c r="H8" s="35">
        <s:f>SUM(C8:G8)</s:f>
        <s:v>211.8392</s:v>
      </s:c>
    </s:row>
    <s:row r="9">
      <s:c r="A9" s="40" t="inlineStr">
        <s:is>
          <s:t>部門利益</s:t>
        </s:is>
      </s:c>
      <s:c r="B9" s="42">
        <s:f>IF($G$5=0,0,G9/$G$5)</s:f>
        <s:v>0.361147804576376</s:v>
      </s:c>
      <s:c r="C9" s="12">
        <s:f>'店舗群別PL'!C13+'店舗群別PL'!C35+'店舗群別PL'!C57+'店舗群別PL'!C79+'店舗群別PL'!C101</s:f>
        <s:v>139.10400000000004</s:v>
      </s:c>
      <s:c r="D9" s="12">
        <s:f>'店舗群別PL'!D13+'店舗群別PL'!D35+'店舗群別PL'!D57+'店舗群別PL'!D79+'店舗群別PL'!D101</s:f>
        <s:v>333.0124</s:v>
      </s:c>
      <s:c r="E9" s="12">
        <s:f>'店舗群別PL'!E13+'店舗群別PL'!E35+'店舗群別PL'!E57+'店舗群別PL'!E79+'店舗群別PL'!E101</s:f>
        <s:v>662.3448000000001</s:v>
      </s:c>
      <s:c r="F9" s="12">
        <s:f>'店舗群別PL'!F13+'店舗群別PL'!F35+'店舗群別PL'!F57+'店舗群別PL'!F79+'店舗群別PL'!F101</s:f>
        <s:v>1002.7448</s:v>
      </s:c>
      <s:c r="G9" s="12">
        <s:f>'店舗群別PL'!G13+'店舗群別PL'!G35+'店舗群別PL'!G57+'店舗群別PL'!G79+'店舗群別PL'!G101</s:f>
        <s:v>1343.1448</s:v>
      </s:c>
      <s:c r="H9" s="35">
        <s:f>SUM(C9:G9)</s:f>
        <s:v>3480.3508</s:v>
      </s:c>
    </s:row>
    <s:row r="10">
      <s:c r="A10" s="19" t="inlineStr">
        <s:is>
          <s:t>広告宣伝費・販売促進費</s:t>
        </s:is>
      </s:c>
      <s:c r="B10" s="42">
        <s:f>IF($G$5=0,0,G10/$G$5)</s:f>
        <s:v>0.014</s:v>
      </s:c>
      <s:c r="C10" s="11">
        <s:f>'店舗群別PL'!C14+'店舗群別PL'!C36+'店舗群別PL'!C58+'店舗群別PL'!C80+'店舗群別PL'!C102</s:f>
        <s:v>5.796</s:v>
      </s:c>
      <s:c r="D10" s="11">
        <s:f>'店舗群別PL'!D14+'店舗群別PL'!D36+'店舗群別PL'!D58+'店舗群別PL'!D80+'店舗群別PL'!D102</s:f>
        <s:v>13.5562</s:v>
      </s:c>
      <s:c r="E10" s="11">
        <s:f>'店舗群別PL'!E14+'店舗群別PL'!E36+'店舗群別PL'!E58+'店舗群別PL'!E80+'店舗群別PL'!E102</s:f>
        <s:v>26.3074</s:v>
      </s:c>
      <s:c r="F10" s="11">
        <s:f>'店舗群別PL'!F14+'店舗群別PL'!F36+'店舗群別PL'!F58+'店舗群別PL'!F80+'店舗群別PL'!F102</s:f>
        <s:v>39.1874</s:v>
      </s:c>
      <s:c r="G10" s="11">
        <s:f>'店舗群別PL'!G14+'店舗群別PL'!G36+'店舗群別PL'!G58+'店舗群別PL'!G80+'店舗群別PL'!G102</s:f>
        <s:v>52.0674</s:v>
      </s:c>
      <s:c r="H10" s="35">
        <s:f>SUM(C10:G10)</s:f>
        <s:v>136.9144</s:v>
      </s:c>
    </s:row>
    <s:row r="11">
      <s:c r="A11" s="19" t="inlineStr">
        <s:is>
          <s:t>その他経費</s:t>
        </s:is>
      </s:c>
      <s:c r="B11" s="42">
        <s:f>IF($G$5=0,0,G11/$G$5)</s:f>
        <s:v>0.004999999999999999</s:v>
      </s:c>
      <s:c r="C11" s="11">
        <s:f>'店舗群別PL'!C15+'店舗群別PL'!C37+'店舗群別PL'!C59+'店舗群別PL'!C81+'店舗群別PL'!C103</s:f>
        <s:v>2.07</s:v>
      </s:c>
      <s:c r="D11" s="11">
        <s:f>'店舗群別PL'!D15+'店舗群別PL'!D37+'店舗群別PL'!D59+'店舗群別PL'!D81+'店舗群別PL'!D103</s:f>
        <s:v>4.8415</s:v>
      </s:c>
      <s:c r="E11" s="11">
        <s:f>'店舗群別PL'!E15+'店舗群別PL'!E37+'店舗群別PL'!E59+'店舗群別PL'!E81+'店舗群別PL'!E103</s:f>
        <s:v>9.3955</s:v>
      </s:c>
      <s:c r="F11" s="11">
        <s:f>'店舗群別PL'!F15+'店舗群別PL'!F37+'店舗群別PL'!F59+'店舗群別PL'!F81+'店舗群別PL'!F103</s:f>
        <s:v>13.995500000000002</s:v>
      </s:c>
      <s:c r="G11" s="11">
        <s:f>'店舗群別PL'!G15+'店舗群別PL'!G37+'店舗群別PL'!G59+'店舗群別PL'!G81+'店舗群別PL'!G103</s:f>
        <s:v>18.595499999999998</s:v>
      </s:c>
      <s:c r="H11" s="35">
        <s:f>SUM(C11:G11)</s:f>
        <s:v>48.897999999999996</s:v>
      </s:c>
    </s:row>
    <s:row r="12">
      <s:c r="A12" s="19" t="inlineStr">
        <s:is>
          <s:t>水道光熱費</s:t>
        </s:is>
      </s:c>
      <s:c r="B12" s="42">
        <s:f>IF($G$5=0,0,G12/$G$5)</s:f>
        <s:v>0.03704143475572047</s:v>
      </s:c>
      <s:c r="C12" s="11">
        <s:f>'店舗群別PL'!C16+'店舗群別PL'!C38+'店舗群別PL'!C60+'店舗群別PL'!C82+'店舗群別PL'!C104</s:f>
        <s:v>16.56</s:v>
      </s:c>
      <s:c r="D12" s="11">
        <s:f>'店舗群別PL'!D16+'店舗群別PL'!D38+'店舗群別PL'!D60+'店舗群別PL'!D82+'店舗群別PL'!D104</s:f>
        <s:v>37.8304</s:v>
      </s:c>
      <s:c r="E12" s="11">
        <s:f>'店舗群別PL'!E16+'店舗群別PL'!E38+'店舗群別PL'!E60+'店舗群別PL'!E82+'店舗群別PL'!E104</s:f>
        <s:v>71.52080000000001</s:v>
      </s:c>
      <s:c r="F12" s="11">
        <s:f>'店舗群別PL'!F16+'店舗群別PL'!F38+'店舗群別PL'!F60+'店舗群別PL'!F82+'店舗群別PL'!F104</s:f>
        <s:v>104.6408</s:v>
      </s:c>
      <s:c r="G12" s="11">
        <s:f>'店舗群別PL'!G16+'店舗群別PL'!G38+'店舗群別PL'!G60+'店舗群別PL'!G82+'店舗群別PL'!G104</s:f>
        <s:v>137.7608</s:v>
      </s:c>
      <s:c r="H12" s="35">
        <s:f>SUM(C12:G12)</s:f>
        <s:v>368.31280000000004</s:v>
      </s:c>
    </s:row>
    <s:row r="13">
      <s:c r="A13" s="40" t="inlineStr">
        <s:is>
          <s:t>GOP（店舗営業総利益）</s:t>
        </s:is>
      </s:c>
      <s:c r="B13" s="42">
        <s:f>IF($G$5=0,0,G13/$G$5)</s:f>
        <s:v>0.30510636982065553</s:v>
      </s:c>
      <s:c r="C13" s="12">
        <s:f>'店舗群別PL'!C17+'店舗群別PL'!C39+'店舗群別PL'!C61+'店舗群別PL'!C83+'店舗群別PL'!C105</s:f>
        <s:v>114.67800000000004</s:v>
      </s:c>
      <s:c r="D13" s="12">
        <s:f>'店舗群別PL'!D17+'店舗群別PL'!D39+'店舗群別PL'!D61+'店舗群別PL'!D83+'店舗群別PL'!D105</s:f>
        <s:v>276.78430000000003</s:v>
      </s:c>
      <s:c r="E13" s="12">
        <s:f>'店舗群別PL'!E17+'店舗群別PL'!E39+'店舗群別PL'!E61+'店舗群別PL'!E83+'店舗群別PL'!E105</s:f>
        <s:v>555.1211</s:v>
      </s:c>
      <s:c r="F13" s="12">
        <s:f>'店舗群別PL'!F17+'店舗群別PL'!F39+'店舗群別PL'!F61+'店舗群別PL'!F83+'店舗群別PL'!F105</s:f>
        <s:v>844.9210999999999</s:v>
      </s:c>
      <s:c r="G13" s="12">
        <s:f>'店舗群別PL'!G17+'店舗群別PL'!G39+'店舗群別PL'!G61+'店舗群別PL'!G83+'店舗群別PL'!G105</s:f>
        <s:v>1134.7211</s:v>
      </s:c>
      <s:c r="H13" s="35">
        <s:f>SUM(C13:G13)</s:f>
        <s:v>2926.2255999999998</s:v>
      </s:c>
    </s:row>
    <s:row r="14">
      <s:c r="A14" s="19" t="inlineStr">
        <s:is>
          <s:t>ロイヤリティ</s:t>
        </s:is>
      </s:c>
      <s:c r="B14" s="42">
        <s:f>IF($G$5=0,0,G14/$G$5)</s:f>
        <s:v>0.039999999999999994</s:v>
      </s:c>
      <s:c r="C14" s="11">
        <s:f>'店舗群別PL'!C18+'店舗群別PL'!C40+'店舗群別PL'!C62+'店舗群別PL'!C84+'店舗群別PL'!C106</s:f>
        <s:v>16.56</s:v>
      </s:c>
      <s:c r="D14" s="11">
        <s:f>'店舗群別PL'!D18+'店舗群別PL'!D40+'店舗群別PL'!D62+'店舗群別PL'!D84+'店舗群別PL'!D106</s:f>
        <s:v>38.732</s:v>
      </s:c>
      <s:c r="E14" s="11">
        <s:f>'店舗群別PL'!E18+'店舗群別PL'!E40+'店舗群別PL'!E62+'店舗群別PL'!E84+'店舗群別PL'!E106</s:f>
        <s:v>75.164</s:v>
      </s:c>
      <s:c r="F14" s="11">
        <s:f>'店舗群別PL'!F18+'店舗群別PL'!F40+'店舗群別PL'!F62+'店舗群別PL'!F84+'店舗群別PL'!F106</s:f>
        <s:v>111.96400000000001</s:v>
      </s:c>
      <s:c r="G14" s="11">
        <s:f>'店舗群別PL'!G18+'店舗群別PL'!G40+'店舗群別PL'!G62+'店舗群別PL'!G84+'店舗群別PL'!G106</s:f>
        <s:v>148.76399999999998</s:v>
      </s:c>
      <s:c r="H14" s="35">
        <s:f>SUM(C14:G14)</s:f>
        <s:v>391.18399999999997</s:v>
      </s:c>
    </s:row>
    <s:row r="15">
      <s:c r="A15" s="19" t="inlineStr">
        <s:is>
          <s:t>保険・租税公課</s:t>
        </s:is>
      </s:c>
      <s:c r="B15" s="42">
        <s:f>IF($G$5=0,0,G15/$G$5)</s:f>
        <s:v>0.007</s:v>
      </s:c>
      <s:c r="C15" s="11">
        <s:f>'店舗群別PL'!C19+'店舗群別PL'!C41+'店舗群別PL'!C63+'店舗群別PL'!C85+'店舗群別PL'!C107</s:f>
        <s:v>2.898</s:v>
      </s:c>
      <s:c r="D15" s="11">
        <s:f>'店舗群別PL'!D19+'店舗群別PL'!D41+'店舗群別PL'!D63+'店舗群別PL'!D85+'店舗群別PL'!D107</s:f>
        <s:v>6.7781</s:v>
      </s:c>
      <s:c r="E15" s="11">
        <s:f>'店舗群別PL'!E19+'店舗群別PL'!E41+'店舗群別PL'!E63+'店舗群別PL'!E85+'店舗群別PL'!E107</s:f>
        <s:v>13.1537</s:v>
      </s:c>
      <s:c r="F15" s="11">
        <s:f>'店舗群別PL'!F19+'店舗群別PL'!F41+'店舗群別PL'!F63+'店舗群別PL'!F85+'店舗群別PL'!F107</s:f>
        <s:v>19.5937</s:v>
      </s:c>
      <s:c r="G15" s="11">
        <s:f>'店舗群別PL'!G19+'店舗群別PL'!G41+'店舗群別PL'!G63+'店舗群別PL'!G85+'店舗群別PL'!G107</s:f>
        <s:v>26.0337</s:v>
      </s:c>
      <s:c r="H15" s="35">
        <s:f>SUM(C15:G15)</s:f>
        <s:v>68.4572</s:v>
      </s:c>
    </s:row>
    <s:row r="16">
      <s:c r="A16" s="19" t="inlineStr">
        <s:is>
          <s:t>地代家賃（固定）</s:t>
        </s:is>
      </s:c>
      <s:c r="B16" s="42">
        <s:f>IF($G$5=0,0,G16/$G$5)</s:f>
        <s:v>0.059094942324755984</s:v>
      </s:c>
      <s:c r="C16" s="11">
        <s:f>'店舗群別PL'!C20+'店舗群別PL'!C42+'店舗群別PL'!C64+'店舗群別PL'!C86+'店舗群別PL'!C108</s:f>
        <s:v>26.64</s:v>
      </s:c>
      <s:c r="D16" s="11">
        <s:f>'店舗群別PL'!D20+'店舗群別PL'!D42+'店舗群別PL'!D64+'店舗群別PL'!D86+'店舗群別PL'!D108</s:f>
        <s:v>59.94</s:v>
      </s:c>
      <s:c r="E16" s="11">
        <s:f>'店舗群別PL'!E20+'店舗群別PL'!E42+'店舗群別PL'!E64+'店舗群別PL'!E86+'店舗群別PL'!E108</s:f>
        <s:v>113.22</s:v>
      </s:c>
      <s:c r="F16" s="11">
        <s:f>'店舗群別PL'!F20+'店舗群別PL'!F42+'店舗群別PL'!F64+'店舗群別PL'!F86+'店舗群別PL'!F108</s:f>
        <s:v>166.5</s:v>
      </s:c>
      <s:c r="G16" s="11">
        <s:f>'店舗群別PL'!G20+'店舗群別PL'!G42+'店舗群別PL'!G64+'店舗群別PL'!G86+'店舗群別PL'!G108</s:f>
        <s:v>219.77999999999997</s:v>
      </s:c>
      <s:c r="H16" s="35">
        <s:f>SUM(C16:G16)</s:f>
        <s:v>586.0799999999999</s:v>
      </s:c>
    </s:row>
    <s:row r="17">
      <s:c r="A17" s="19" t="inlineStr">
        <s:is>
          <s:t>歩合家賃</s:t>
        </s:is>
      </s:c>
      <s:c r="B17" s="42">
        <s:f>IF($G$5=0,0,G17/$G$5)</s:f>
        <s:v>0.018540372670807458</s:v>
      </s:c>
      <s:c r="C17" s="11">
        <s:f>'店舗群別PL'!C21+'店舗群別PL'!C43+'店舗群別PL'!C65+'店舗群別PL'!C87+'店舗群別PL'!C109</s:f>
        <s:v>5.782000000000002</s:v>
      </s:c>
      <s:c r="D17" s="11">
        <s:f>'店舗群別PL'!D21+'店舗群別PL'!D43+'店舗群別PL'!D65+'店舗群別PL'!D87+'店舗群別PL'!D109</s:f>
        <s:v>15.585500000000003</s:v>
      </s:c>
      <s:c r="E17" s="11">
        <s:f>'店舗群別PL'!E21+'店舗群別PL'!E43+'店舗群別PL'!E65+'店舗群別PL'!E87+'店舗群別PL'!E109</s:f>
        <s:v>32.94550000000001</s:v>
      </s:c>
      <s:c r="F17" s="11">
        <s:f>'店舗群別PL'!F21+'店舗群別PL'!F43+'店舗群別PL'!F65+'店舗群別PL'!F87+'店舗群別PL'!F109</s:f>
        <s:v>50.94950000000001</s:v>
      </s:c>
      <s:c r="G17" s="11">
        <s:f>'店舗群別PL'!G21+'店舗群別PL'!G43+'店舗群別PL'!G65+'店舗群別PL'!G87+'店舗群別PL'!G109</s:f>
        <s:v>68.95350000000002</s:v>
      </s:c>
      <s:c r="H17" s="35">
        <s:f>SUM(C17:G17)</s:f>
        <s:v>174.21600000000004</s:v>
      </s:c>
    </s:row>
    <s:row r="18">
      <s:c r="A18" s="19" t="inlineStr">
        <s:is>
          <s:t>修繕維持費（FFE）</s:t>
        </s:is>
      </s:c>
      <s:c r="B18" s="42">
        <s:f>IF($G$5=0,0,G18/$G$5)</s:f>
        <s:v>0.025</s:v>
      </s:c>
      <s:c r="C18" s="11">
        <s:f>'店舗群別PL'!C22+'店舗群別PL'!C44+'店舗群別PL'!C66+'店舗群別PL'!C88+'店舗群別PL'!C110</s:f>
        <s:v>10.350000000000001</s:v>
      </s:c>
      <s:c r="D18" s="11">
        <s:f>'店舗群別PL'!D22+'店舗群別PL'!D44+'店舗群別PL'!D66+'店舗群別PL'!D88+'店舗群別PL'!D110</s:f>
        <s:v>24.207500000000003</s:v>
      </s:c>
      <s:c r="E18" s="11">
        <s:f>'店舗群別PL'!E22+'店舗群別PL'!E44+'店舗群別PL'!E66+'店舗群別PL'!E88+'店舗群別PL'!E110</s:f>
        <s:v>46.977500000000006</s:v>
      </s:c>
      <s:c r="F18" s="11">
        <s:f>'店舗群別PL'!F22+'店舗群別PL'!F44+'店舗群別PL'!F66+'店舗群別PL'!F88+'店舗群別PL'!F110</s:f>
        <s:v>69.9775</s:v>
      </s:c>
      <s:c r="G18" s="11">
        <s:f>'店舗群別PL'!G22+'店舗群別PL'!G44+'店舗群別PL'!G66+'店舗群別PL'!G88+'店舗群別PL'!G110</s:f>
        <s:v>92.9775</s:v>
      </s:c>
      <s:c r="H18" s="35">
        <s:f>SUM(C18:G18)</s:f>
        <s:v>244.49</s:v>
      </s:c>
    </s:row>
    <s:row r="19">
      <s:c r="A19" s="13" t="inlineStr">
        <s:is>
          <s:t>店舗EBITDA　計</s:t>
        </s:is>
      </s:c>
      <s:c r="B19" s="42">
        <s:f>IF($G$5=0,0,G19/$G$5)</s:f>
        <s:v>0.15547105482509208</s:v>
      </s:c>
      <s:c r="C19" s="12">
        <s:f>'店舗群別PL'!C23+'店舗群別PL'!C45+'店舗群別PL'!C67+'店舗群別PL'!C89+'店舗群別PL'!C111</s:f>
        <s:v>52.448000000000036</s:v>
      </s:c>
      <s:c r="D19" s="12">
        <s:f>'店舗群別PL'!D23+'店舗群別PL'!D45+'店舗群別PL'!D67+'店舗群別PL'!D89+'店舗群別PL'!D111</s:f>
        <s:v>131.5412</s:v>
      </s:c>
      <s:c r="E19" s="12">
        <s:f>'店舗群別PL'!E23+'店舗群別PL'!E45+'店舗群別PL'!E67+'店舗群別PL'!E89+'店舗群別PL'!E111</s:f>
        <s:v>273.6604</s:v>
      </s:c>
      <s:c r="F19" s="12">
        <s:f>'店舗群別PL'!F23+'店舗群別PL'!F45+'店舗群別PL'!F67+'店舗群別PL'!F89+'店舗群別PL'!F111</s:f>
        <s:v>425.93639999999994</s:v>
      </s:c>
      <s:c r="G19" s="12">
        <s:f>'店舗群別PL'!G23+'店舗群別PL'!G45+'店舗群別PL'!G67+'店舗群別PL'!G89+'店舗群別PL'!G111</s:f>
        <s:v>578.2123999999999</s:v>
      </s:c>
      <s:c r="H19" s="35">
        <s:f>SUM(C19:G19)</s:f>
        <s:v>1461.7984</s:v>
      </s:c>
    </s:row>
    <s:row r="20">
      <s:c r="A20" s="9" t="inlineStr">
        <s:is>
          <s:t>本部費</s:t>
        </s:is>
      </s:c>
      <s:c r="B20" s="42">
        <s:f>IF($G$5=0,0,G20/$G$5)</s:f>
        <s:v>0.014788524105294291</s:v>
      </s:c>
      <s:c r="C20" s="11">
        <s:f>'前提条件'!B56</s:f>
        <s:v>15.0</s:v>
      </s:c>
      <s:c r="D20" s="11">
        <s:f>'前提条件'!C56</s:f>
        <s:v>28.0</s:v>
      </s:c>
      <s:c r="E20" s="11">
        <s:f>'前提条件'!D56</s:f>
        <s:v>40.0</s:v>
      </s:c>
      <s:c r="F20" s="11">
        <s:f>'前提条件'!E56</s:f>
        <s:v>48.0</s:v>
      </s:c>
      <s:c r="G20" s="11">
        <s:f>'前提条件'!F56</s:f>
        <s:v>55.0</s:v>
      </s:c>
      <s:c r="H20" s="35">
        <s:f>SUM(C20:G20)</s:f>
        <s:v>186.0</s:v>
      </s:c>
    </s:row>
    <s:row r="21">
      <s:c r="A21" s="13" t="inlineStr">
        <s:is>
          <s:t>連結EBITDA</s:t>
        </s:is>
      </s:c>
      <s:c r="B21" s="42">
        <s:f>IF($G$5=0,0,G21/$G$5)</s:f>
        <s:v>0.14068253071979778</s:v>
      </s:c>
      <s:c r="C21" s="36">
        <s:f>C19-C20</s:f>
        <s:v>37.448000000000036</s:v>
      </s:c>
      <s:c r="D21" s="36">
        <s:f>D19-D20</s:f>
        <s:v>103.5412</s:v>
      </s:c>
      <s:c r="E21" s="36">
        <s:f>E19-E20</s:f>
        <s:v>233.66039999999998</s:v>
      </s:c>
      <s:c r="F21" s="36">
        <s:f>F19-F20</s:f>
        <s:v>377.93639999999994</s:v>
      </s:c>
      <s:c r="G21" s="36">
        <s:f>G19-G20</s:f>
        <s:v>523.2123999999999</s:v>
      </s:c>
      <s:c r="H21" s="35">
        <s:f>SUM(C21:G21)</s:f>
        <s:v>1275.7984</s:v>
      </s:c>
    </s:row>
    <s:row r="22">
      <s:c r="A22" s="13" t="inlineStr">
        <s:is>
          <s:t xml:space="preserve">　EBITDA率</s:t>
        </s:is>
      </s:c>
      <s:c r="C22" s="37">
        <s:f>IF(C5=0,0,C21/C5)</s:f>
        <s:v>0.09045410628019332</s:v>
      </s:c>
      <s:c r="D22" s="37">
        <s:f>IF(D5=0,0,D21/D5)</s:f>
        <s:v>0.10693090984199112</s:v>
      </s:c>
      <s:c r="E22" s="37">
        <s:f>IF(E5=0,0,E21/E5)</s:f>
        <s:v>0.12434697461550742</s:v>
      </s:c>
      <s:c r="F22" s="37">
        <s:f>IF(F5=0,0,F21/F5)</s:f>
        <s:v>0.13502068522024935</s:v>
      </s:c>
      <s:c r="G22" s="37">
        <s:f>IF(G5=0,0,G21/G5)</s:f>
        <s:v>0.14068253071979778</s:v>
      </s:c>
      <s:c r="H22" s="25">
        <s:f>H21/H5</s:f>
        <s:v>0.13045506973700355</s:v>
      </s:c>
    </s:row>
    <s:row r="23">
      <s:c r="A23" s="9" t="inlineStr">
        <s:is>
          <s:t>減価償却費</s:t>
        </s:is>
      </s:c>
      <s:c r="B23" s="42">
        <s:f>IF($G$5=0,0,G23/$G$5)</s:f>
        <s:v>0.04543437928531096</s:v>
      </s:c>
      <s:c r="C23" s="11">
        <s:f>'店舗群別PL'!C24+'店舗群別PL'!C46+'店舗群別PL'!C68+'店舗群別PL'!C90+'店舗群別PL'!C112</s:f>
        <s:v>20.8</s:v>
      </s:c>
      <s:c r="D23" s="11">
        <s:f>'店舗群別PL'!D24+'店舗群別PL'!D46+'店舗群別PL'!D68+'店舗群別PL'!D90+'店舗群別PL'!D112</s:f>
        <s:v>46.8</s:v>
      </s:c>
      <s:c r="E23" s="11">
        <s:f>'店舗群別PL'!E24+'店舗群別PL'!E46+'店舗群別PL'!E68+'店舗群別PL'!E90+'店舗群別PL'!E112</s:f>
        <s:v>87.775</s:v>
      </s:c>
      <s:c r="F23" s="11">
        <s:f>'店舗群別PL'!F24+'店舗群別PL'!F46+'店舗群別PL'!F68+'店舗群別PL'!F90+'店舗群別PL'!F112</s:f>
        <s:v>128.375</s:v>
      </s:c>
      <s:c r="G23" s="11">
        <s:f>'店舗群別PL'!G24+'店舗群別PL'!G46+'店舗群別PL'!G68+'店舗群別PL'!G90+'店舗群別PL'!G112</s:f>
        <s:v>168.975</s:v>
      </s:c>
      <s:c r="H23" s="35">
        <s:f>SUM(C23:G23)</s:f>
        <s:v>452.725</s:v>
      </s:c>
    </s:row>
    <s:row r="24">
      <s:c r="A24" s="13" t="inlineStr">
        <s:is>
          <s:t>営業利益</s:t>
        </s:is>
      </s:c>
      <s:c r="B24" s="42">
        <s:f>IF($G$5=0,0,G24/$G$5)</s:f>
        <s:v>0.09524815143448681</s:v>
      </s:c>
      <s:c r="C24" s="36">
        <s:f>C21-C23</s:f>
        <s:v>16.648000000000035</s:v>
      </s:c>
      <s:c r="D24" s="36">
        <s:f>D21-D23</s:f>
        <s:v>56.741200000000006</s:v>
      </s:c>
      <s:c r="E24" s="36">
        <s:f>E21-E23</s:f>
        <s:v>145.88539999999998</s:v>
      </s:c>
      <s:c r="F24" s="36">
        <s:f>F21-F23</s:f>
        <s:v>249.56139999999994</s:v>
      </s:c>
      <s:c r="G24" s="36">
        <s:f>G21-G23</s:f>
        <s:v>354.23739999999987</s:v>
      </s:c>
      <s:c r="H24" s="35">
        <s:f>SUM(C24:G24)</s:f>
        <s:v>823.0733999999998</s:v>
      </s:c>
    </s:row>
    <s:row r="25">
      <s:c r="A25" s="13" t="inlineStr">
        <s:is>
          <s:t xml:space="preserve">　営業利益率</s:t>
        </s:is>
      </s:c>
      <s:c r="C25" s="37">
        <s:f>IF(C5=0,0,C24/C5)</s:f>
        <s:v>0.040212560386473514</s:v>
      </s:c>
      <s:c r="D25" s="37">
        <s:f>IF(D5=0,0,D24/D5)</s:f>
        <s:v>0.05859878136941032</s:v>
      </s:c>
      <s:c r="E25" s="37">
        <s:f>IF(E5=0,0,E24/E5)</s:f>
        <s:v>0.07763578308764833</s:v>
      </s:c>
      <s:c r="F25" s="37">
        <s:f>IF(F5=0,0,F24/F5)</s:f>
        <s:v>0.08915772927012251</s:v>
      </s:c>
      <s:c r="G25" s="37">
        <s:f>IF(G5=0,0,G24/G5)</s:f>
        <s:v>0.09524815143448681</s:v>
      </s:c>
      <s:c r="H25" s="25">
        <s:f>H24/H5</s:f>
        <s:v>0.08416227657572904</s:v>
      </s:c>
    </s:row>
    <s:row r="26"/>
    <s:row r="27">
      <s:c r="A27" s="6" t="inlineStr">
        <s:is>
          <s:t>【計画のポイント】FY2028に連結EBITDA率10%超、FY2029に営業利益率5%超。FY2031はEBITDA率14.0%・営業利益率9.5%。</s:t>
        </s:is>
      </s:c>
    </s:row>
    <s:row r="28">
      <s:c r="A28" s="2" t="inlineStr">
        <s:is>
          <s:t>※ 1号店の初年度は2026年8月3日提出P&amp;Lをそのまま採用。新店初年度は売上90%・開業7.5か月で保守的に計上。</s:t>
        </s:is>
      </s:c>
    </s:row>
    <s:row r="29">
      <s:c r="A29" s="2" t="inlineStr">
        <s:is>
          <s:t>※ ロイヤリティ4%・歩合家賃7%・地代家賃は契約条件どおり全店適用。金利・税金は含まない。</s:t>
        </s:is>
      </s:c>
    </s:row>
  </s:sheetData>
  <s:pageMargins left="0.75" right="0.75" top="1" bottom="1" header="0.5" footer="0.5"/>
</s:worksheet>
</file>

<file path=xl/worksheets/sheet6.xml><?xml version="1.0" encoding="utf-8"?>
<s:worksheet xmlns:s="http://schemas.openxmlformats.org/spreadsheetml/2006/main">
  <s:sheetPr>
    <s:outlinePr summaryBelow="1" summaryRight="1"/>
    <s:pageSetUpPr/>
  </s:sheetPr>
  <s:dimension ref="A1:H28"/>
  <s:sheetViews>
    <s:sheetView showGridLines="0" workbookViewId="0">
      <s:selection activeCell="A1" sqref="A1"/>
    </s:sheetView>
  </s:sheetViews>
  <s:sheetFormatPr baseColWidth="8" defaultRowHeight="15"/>
  <s:cols>
    <s:col width="32" customWidth="1" min="1" max="1"/>
    <s:col width="14" customWidth="1" min="3" max="3"/>
    <s:col width="14" customWidth="1" min="4" max="4"/>
    <s:col width="14" customWidth="1" min="5" max="5"/>
    <s:col width="14" customWidth="1" min="6" max="6"/>
    <s:col width="14" customWidth="1" min="7" max="7"/>
    <s:col width="14" customWidth="1" min="8" max="8"/>
  </s:cols>
  <s:sheetData>
    <s:row r="1">
      <s:c r="A1" s="1" t="inlineStr">
        <s:is>
          <s:t>5か年事業計画　連結キャッシュフロー（百万円）</s:t>
        </s:is>
      </s:c>
      <s:c r="B1" s="1" t="n"/>
      <s:c r="C1" s="1" t="n"/>
      <s:c r="D1" s="1" t="n"/>
      <s:c r="E1" s="1" t="n"/>
      <s:c r="F1" s="1" t="n"/>
      <s:c r="G1" s="1" t="n"/>
      <s:c r="H1" s="1" t="n"/>
    </s:row>
    <s:row r="2">
      <s:c r="A2" s="2" t="inlineStr">
        <s:is>
          <s:t>分割払いスキーム活用により、1店あたり開業時現金支出を247百万円 → 108百万円に圧縮。</s:t>
        </s:is>
      </s:c>
    </s:row>
    <s:row r="3">
      <s:c r="A3" s="7" t="inlineStr">
        <s:is>
          <s:t>項　目</s:t>
        </s:is>
      </s:c>
      <s:c r="C3" s="8" t="inlineStr">
        <s:is>
          <s:t>FY2027</s:t>
        </s:is>
      </s:c>
      <s:c r="D3" s="8" t="inlineStr">
        <s:is>
          <s:t>FY2028</s:t>
        </s:is>
      </s:c>
      <s:c r="E3" s="8" t="inlineStr">
        <s:is>
          <s:t>FY2029</s:t>
        </s:is>
      </s:c>
      <s:c r="F3" s="8" t="inlineStr">
        <s:is>
          <s:t>FY2030</s:t>
        </s:is>
      </s:c>
      <s:c r="G3" s="8" t="inlineStr">
        <s:is>
          <s:t>FY2031</s:t>
        </s:is>
      </s:c>
      <s:c r="H3" s="8" t="inlineStr">
        <s:is>
          <s:t>5年累計</s:t>
        </s:is>
      </s:c>
    </s:row>
    <s:row r="4">
      <s:c r="A4" s="9" t="inlineStr">
        <s:is>
          <s:t>新規出店数（店）</s:t>
        </s:is>
      </s:c>
      <s:c r="C4" s="10">
        <s:f>'前提条件'!B54</s:f>
        <s:v>1.0</s:v>
      </s:c>
      <s:c r="D4" s="10">
        <s:f>'前提条件'!C54</s:f>
        <s:v>2.0</s:v>
      </s:c>
      <s:c r="E4" s="10">
        <s:f>'前提条件'!D54</s:f>
        <s:v>2.0</s:v>
      </s:c>
      <s:c r="F4" s="10">
        <s:f>'前提条件'!E54</s:f>
        <s:v>2.0</s:v>
      </s:c>
      <s:c r="G4" s="10">
        <s:f>'前提条件'!F54</s:f>
        <s:v>2.0</s:v>
      </s:c>
      <s:c r="H4" s="44">
        <s:f>SUM(C4:G4)</s:f>
        <s:v>9.0</s:v>
      </s:c>
    </s:row>
    <s:row r="5">
      <s:c r="A5" s="9" t="inlineStr">
        <s:is>
          <s:t>期末店舗数（店）</s:t>
        </s:is>
      </s:c>
      <s:c r="C5" s="10">
        <s:f>'前提条件'!B55</s:f>
        <s:v>1.0</s:v>
      </s:c>
      <s:c r="D5" s="10">
        <s:f>'前提条件'!C55</s:f>
        <s:v>3.0</s:v>
      </s:c>
      <s:c r="E5" s="10">
        <s:f>'前提条件'!D55</s:f>
        <s:v>5.0</s:v>
      </s:c>
      <s:c r="F5" s="10">
        <s:f>'前提条件'!E55</s:f>
        <s:v>7.0</s:v>
      </s:c>
      <s:c r="G5" s="10">
        <s:f>'前提条件'!F55</s:f>
        <s:v>9.0</s:v>
      </s:c>
    </s:row>
    <s:row r="6">
      <s:c r="A6" s="9" t="inlineStr">
        <s:is>
          <s:t>初期投資（総額）</s:t>
        </s:is>
      </s:c>
      <s:c r="C6" s="34">
        <s:f>-C4*'前提条件'!$B$39</s:f>
        <s:v>-247.0</s:v>
      </s:c>
      <s:c r="D6" s="34">
        <s:f>-D4*'前提条件'!$B$39</s:f>
        <s:v>-494.0</s:v>
      </s:c>
      <s:c r="E6" s="34">
        <s:f>-E4*'前提条件'!$C$39</s:f>
        <s:v>-484.0</s:v>
      </s:c>
      <s:c r="F6" s="34">
        <s:f>-F4*'前提条件'!$C$39</s:f>
        <s:v>-484.0</s:v>
      </s:c>
      <s:c r="G6" s="34">
        <s:f>-G4*'前提条件'!$C$39</s:f>
        <s:v>-484.0</s:v>
      </s:c>
      <s:c r="H6" s="35">
        <s:f>SUM(C6:G6)</s:f>
        <s:v>-2193.0</s:v>
      </s:c>
    </s:row>
    <s:row r="7">
      <s:c r="A7" s="9" t="inlineStr">
        <s:is>
          <s:t>うち分割対象額</s:t>
        </s:is>
      </s:c>
      <s:c r="C7" s="34">
        <s:f>C4*'前提条件'!$B$47</s:f>
        <s:v>138.9</s:v>
      </s:c>
      <s:c r="D7" s="34">
        <s:f>D4*'前提条件'!$B$47</s:f>
        <s:v>277.8</s:v>
      </s:c>
      <s:c r="E7" s="34">
        <s:f>E4*'前提条件'!$B$47</s:f>
        <s:v>277.8</s:v>
      </s:c>
      <s:c r="F7" s="34">
        <s:f>F4*'前提条件'!$B$47</s:f>
        <s:v>277.8</s:v>
      </s:c>
      <s:c r="G7" s="34">
        <s:f>G4*'前提条件'!$B$47</s:f>
        <s:v>277.8</s:v>
      </s:c>
      <s:c r="H7" s="35">
        <s:f>SUM(C7:G7)</s:f>
        <s:v>1250.1</s:v>
      </s:c>
    </s:row>
    <s:row r="8">
      <s:c r="A8" s="13" t="inlineStr">
        <s:is>
          <s:t>開業時 現金支出</s:t>
        </s:is>
      </s:c>
      <s:c r="C8" s="35">
        <s:f>C6+C7</s:f>
        <s:v>-108.1</s:v>
      </s:c>
      <s:c r="D8" s="35">
        <s:f>D6+D7</s:f>
        <s:v>-216.2</s:v>
      </s:c>
      <s:c r="E8" s="35">
        <s:f>E6+E7</s:f>
        <s:v>-206.2</s:v>
      </s:c>
      <s:c r="F8" s="35">
        <s:f>F6+F7</s:f>
        <s:v>-206.2</s:v>
      </s:c>
      <s:c r="G8" s="35">
        <s:f>G6+G7</s:f>
        <s:v>-206.2</s:v>
      </s:c>
      <s:c r="H8" s="35">
        <s:f>SUM(C8:G8)</s:f>
        <s:v>-942.9000000000001</s:v>
      </s:c>
    </s:row>
    <s:row r="9">
      <s:c r="A9" s="9" t="inlineStr">
        <s:is>
          <s:t>分割弁済額</s:t>
        </s:is>
      </s:c>
      <s:c r="C9" s="34">
        <s:f>-(IF('店舗群別PL'!C8=0,0,'前提条件'!$B$48*'店舗群別PL'!$B$6*IF('店舗群別PL'!C8=1,'店舗群別PL'!$B$7/12,1))+IF('店舗群別PL'!C30=0,0,'前提条件'!$B$48*'店舗群別PL'!$B$28*IF('店舗群別PL'!C30=1,'店舗群別PL'!$B$29/12,1))+IF('店舗群別PL'!C52=0,0,'前提条件'!$B$48*'店舗群別PL'!$B$50*IF('店舗群別PL'!C52=1,'店舗群別PL'!$B$51/12,1))+IF('店舗群別PL'!C74=0,0,'前提条件'!$B$48*'店舗群別PL'!$B$72*IF('店舗群別PL'!C74=1,'店舗群別PL'!$B$73/12,1))+IF('店舗群別PL'!C96=0,0,'前提条件'!$B$48*'店舗群別PL'!$B$94*IF('店舗群別PL'!C96=1,'店舗群別PL'!$B$95/12,1)))</s:f>
        <s:v>-15.6</s:v>
      </s:c>
      <s:c r="D9" s="34">
        <s:f>-(IF('店舗群別PL'!D8=0,0,'前提条件'!$B$48*'店舗群別PL'!$B$6*IF('店舗群別PL'!D8=1,'店舗群別PL'!$B$7/12,1))+IF('店舗群別PL'!D30=0,0,'前提条件'!$B$48*'店舗群別PL'!$B$28*IF('店舗群別PL'!D30=1,'店舗群別PL'!$B$29/12,1))+IF('店舗群別PL'!D52=0,0,'前提条件'!$B$48*'店舗群別PL'!$B$50*IF('店舗群別PL'!D52=1,'店舗群別PL'!$B$51/12,1))+IF('店舗群別PL'!D74=0,0,'前提条件'!$B$48*'店舗群別PL'!$B$72*IF('店舗群別PL'!D74=1,'店舗群別PL'!$B$73/12,1))+IF('店舗群別PL'!D96=0,0,'前提条件'!$B$48*'店舗群別PL'!$B$94*IF('店舗群別PL'!D96=1,'店舗群別PL'!$B$95/12,1)))</s:f>
        <s:v>-35.1</s:v>
      </s:c>
      <s:c r="E9" s="34">
        <s:f>-(IF('店舗群別PL'!E8=0,0,'前提条件'!$B$48*'店舗群別PL'!$B$6*IF('店舗群別PL'!E8=1,'店舗群別PL'!$B$7/12,1))+IF('店舗群別PL'!E30=0,0,'前提条件'!$B$48*'店舗群別PL'!$B$28*IF('店舗群別PL'!E30=1,'店舗群別PL'!$B$29/12,1))+IF('店舗群別PL'!E52=0,0,'前提条件'!$B$48*'店舗群別PL'!$B$50*IF('店舗群別PL'!E52=1,'店舗群別PL'!$B$51/12,1))+IF('店舗群別PL'!E74=0,0,'前提条件'!$B$48*'店舗群別PL'!$B$72*IF('店舗群別PL'!E74=1,'店舗群別PL'!$B$73/12,1))+IF('店舗群別PL'!E96=0,0,'前提条件'!$B$48*'店舗群別PL'!$B$94*IF('店舗群別PL'!E96=1,'店舗群別PL'!$B$95/12,1)))</s:f>
        <s:v>-66.3</s:v>
      </s:c>
      <s:c r="F9" s="34">
        <s:f>-(IF('店舗群別PL'!F8=0,0,'前提条件'!$B$48*'店舗群別PL'!$B$6*IF('店舗群別PL'!F8=1,'店舗群別PL'!$B$7/12,1))+IF('店舗群別PL'!F30=0,0,'前提条件'!$B$48*'店舗群別PL'!$B$28*IF('店舗群別PL'!F30=1,'店舗群別PL'!$B$29/12,1))+IF('店舗群別PL'!F52=0,0,'前提条件'!$B$48*'店舗群別PL'!$B$50*IF('店舗群別PL'!F52=1,'店舗群別PL'!$B$51/12,1))+IF('店舗群別PL'!F74=0,0,'前提条件'!$B$48*'店舗群別PL'!$B$72*IF('店舗群別PL'!F74=1,'店舗群別PL'!$B$73/12,1))+IF('店舗群別PL'!F96=0,0,'前提条件'!$B$48*'店舗群別PL'!$B$94*IF('店舗群別PL'!F96=1,'店舗群別PL'!$B$95/12,1)))</s:f>
        <s:v>-97.5</s:v>
      </s:c>
      <s:c r="G9" s="34">
        <s:f>-(IF('店舗群別PL'!G8=0,0,'前提条件'!$B$48*'店舗群別PL'!$B$6*IF('店舗群別PL'!G8=1,'店舗群別PL'!$B$7/12,1))+IF('店舗群別PL'!G30=0,0,'前提条件'!$B$48*'店舗群別PL'!$B$28*IF('店舗群別PL'!G30=1,'店舗群別PL'!$B$29/12,1))+IF('店舗群別PL'!G52=0,0,'前提条件'!$B$48*'店舗群別PL'!$B$50*IF('店舗群別PL'!G52=1,'店舗群別PL'!$B$51/12,1))+IF('店舗群別PL'!G74=0,0,'前提条件'!$B$48*'店舗群別PL'!$B$72*IF('店舗群別PL'!G74=1,'店舗群別PL'!$B$73/12,1))+IF('店舗群別PL'!G96=0,0,'前提条件'!$B$48*'店舗群別PL'!$B$94*IF('店舗群別PL'!G96=1,'店舗群別PL'!$B$95/12,1)))</s:f>
        <s:v>-128.7</s:v>
      </s:c>
      <s:c r="H9" s="35">
        <s:f>SUM(C9:G9)</s:f>
        <s:v>-343.2</s:v>
      </s:c>
    </s:row>
    <s:row r="10">
      <s:c r="A10" s="13" t="inlineStr">
        <s:is>
          <s:t>投資キャッシュアウト　計</s:t>
        </s:is>
      </s:c>
      <s:c r="C10" s="35">
        <s:f>C8+C9</s:f>
        <s:v>-123.69999999999999</s:v>
      </s:c>
      <s:c r="D10" s="35">
        <s:f>D8+D9</s:f>
        <s:v>-251.29999999999998</s:v>
      </s:c>
      <s:c r="E10" s="35">
        <s:f>E8+E9</s:f>
        <s:v>-272.5</s:v>
      </s:c>
      <s:c r="F10" s="35">
        <s:f>F8+F9</s:f>
        <s:v>-303.7</s:v>
      </s:c>
      <s:c r="G10" s="35">
        <s:f>G8+G9</s:f>
        <s:v>-334.9</s:v>
      </s:c>
      <s:c r="H10" s="35">
        <s:f>SUM(C10:G10)</s:f>
        <s:v>-1286.1</s:v>
      </s:c>
    </s:row>
    <s:row r="11">
      <s:c r="A11" s="13" t="inlineStr">
        <s:is>
          <s:t>連結EBITDA</s:t>
        </s:is>
      </s:c>
      <s:c r="C11" s="43">
        <s:f>'5カ年連結PL'!C21</s:f>
        <s:v>37.448000000000036</s:v>
      </s:c>
      <s:c r="D11" s="43">
        <s:f>'5カ年連結PL'!D21</s:f>
        <s:v>103.5412</s:v>
      </s:c>
      <s:c r="E11" s="43">
        <s:f>'5カ年連結PL'!E21</s:f>
        <s:v>233.66039999999998</s:v>
      </s:c>
      <s:c r="F11" s="43">
        <s:f>'5カ年連結PL'!F21</s:f>
        <s:v>377.93639999999994</s:v>
      </s:c>
      <s:c r="G11" s="43">
        <s:f>'5カ年連結PL'!G21</s:f>
        <s:v>523.2123999999999</s:v>
      </s:c>
      <s:c r="H11" s="35">
        <s:f>SUM(C11:G11)</s:f>
        <s:v>1275.7984</s:v>
      </s:c>
    </s:row>
    <s:row r="12">
      <s:c r="A12" s="13" t="inlineStr">
        <s:is>
          <s:t>簡易フリーキャッシュフロー</s:t>
        </s:is>
      </s:c>
      <s:c r="C12" s="36">
        <s:f>C11+C10</s:f>
        <s:v>-86.25199999999995</s:v>
      </s:c>
      <s:c r="D12" s="36">
        <s:f>D11+D10</s:f>
        <s:v>-147.75879999999998</s:v>
      </s:c>
      <s:c r="E12" s="36">
        <s:f>E11+E10</s:f>
        <s:v>-38.83960000000002</s:v>
      </s:c>
      <s:c r="F12" s="36">
        <s:f>F11+F10</s:f>
        <s:v>74.23639999999995</s:v>
      </s:c>
      <s:c r="G12" s="36">
        <s:f>G11+G10</s:f>
        <s:v>188.3123999999999</s:v>
      </s:c>
      <s:c r="H12" s="35">
        <s:f>SUM(C12:G12)</s:f>
        <s:v>-10.301600000000064</s:v>
      </s:c>
    </s:row>
    <s:row r="13">
      <s:c r="A13" s="13" t="inlineStr">
        <s:is>
          <s:t>累計フリーキャッシュフロー</s:t>
        </s:is>
      </s:c>
      <s:c r="C13" s="35">
        <s:f>C12</s:f>
        <s:v>-86.25199999999995</s:v>
      </s:c>
      <s:c r="D13" s="35">
        <s:f>C13+D12</s:f>
        <s:v>-234.01079999999993</s:v>
      </s:c>
      <s:c r="E13" s="35">
        <s:f>D13+E12</s:f>
        <s:v>-272.8503999999999</s:v>
      </s:c>
      <s:c r="F13" s="35">
        <s:f>E13+F12</s:f>
        <s:v>-198.61399999999998</s:v>
      </s:c>
      <s:c r="G13" s="35">
        <s:f>F13+G12</s:f>
        <s:v>-10.301600000000064</s:v>
      </s:c>
    </s:row>
    <s:row r="14"/>
    <s:row r="15">
      <s:c r="A15" s="3" t="inlineStr">
        <s:is>
          <s:t>■ 分割払いスキーム</s:t>
        </s:is>
      </s:c>
      <s:c r="B15" s="3" t="n"/>
      <s:c r="C15" s="3" t="n"/>
      <s:c r="D15" s="3" t="n"/>
      <s:c r="E15" s="3" t="n"/>
      <s:c r="F15" s="3" t="n"/>
      <s:c r="G15" s="3" t="n"/>
      <s:c r="H15" s="3" t="n"/>
    </s:row>
    <s:row r="16">
      <s:c r="A16" s="2" t="inlineStr">
        <s:is>
          <s:t>内装工事費100百万円（月833千円×120回・10年）／保証金38.9百万円（月463千円×84回・7年）。1店あたり開業時現金支出 247→108百万円。</s:t>
        </s:is>
      </s:c>
    </s:row>
    <s:row r="17">
      <s:c r="A17" s="2" t="inlineStr">
        <s:is>
          <s:t>分割弁済は資産計上済みの繰延支払（損益は減価償却で費用化済み）のため、P/Lには影響させずCF上のみ計上。</s:t>
        </s:is>
      </s:c>
    </s:row>
    <s:row r="18">
      <s:c r="A18" s="2" t="inlineStr">
        <s:is>
          <s:t>※ 簡易FCF＝連結EBITDA－投資キャッシュアウト。法人税・運転資本増減・借入/返済・分割払い金利相当は含まない。</s:t>
        </s:is>
      </s:c>
    </s:row>
    <s:row r="19"/>
    <s:row r="20">
      <s:c r="A20" s="3" t="inlineStr">
        <s:is>
          <s:t>■ 単店の投資回収（1〜3号店・分割払い活用ベース）</s:t>
        </s:is>
      </s:c>
      <s:c r="B20" s="3" t="n"/>
      <s:c r="C20" s="3" t="n"/>
      <s:c r="D20" s="3" t="n"/>
      <s:c r="E20" s="3" t="n"/>
      <s:c r="F20" s="3" t="n"/>
      <s:c r="G20" s="3" t="n"/>
      <s:c r="H20" s="3" t="n"/>
    </s:row>
    <s:row r="21">
      <s:c r="A21" s="7" t="inlineStr">
        <s:is>
          <s:t>項　目</s:t>
        </s:is>
      </s:c>
      <s:c r="C21" s="8" t="inlineStr">
        <s:is>
          <s:t>1年目</s:t>
        </s:is>
      </s:c>
      <s:c r="D21" s="8" t="inlineStr">
        <s:is>
          <s:t>2年目</s:t>
        </s:is>
      </s:c>
      <s:c r="E21" s="8" t="inlineStr">
        <s:is>
          <s:t>3年目</s:t>
        </s:is>
      </s:c>
      <s:c r="F21" s="8" t="inlineStr">
        <s:is>
          <s:t>4年目</s:t>
        </s:is>
      </s:c>
      <s:c r="G21" s="8" t="inlineStr">
        <s:is>
          <s:t>5年目</s:t>
        </s:is>
      </s:c>
    </s:row>
    <s:row r="22">
      <s:c r="A22" s="9" t="inlineStr">
        <s:is>
          <s:t>EBITDA</s:t>
        </s:is>
      </s:c>
      <s:c r="C22" s="11">
        <s:f>'単店モデルPL'!C19</s:f>
        <s:v>52.448000000000036</s:v>
      </s:c>
      <s:c r="D22" s="11">
        <s:f>'単店モデルPL'!D19</s:f>
        <s:v>65.9812</s:v>
      </s:c>
      <s:c r="E22" s="11">
        <s:f>'単店モデルPL'!E19</s:f>
        <s:v>76.13799999999998</s:v>
      </s:c>
      <s:c r="F22" s="11">
        <s:f>'単店モデルPL'!E19</s:f>
        <s:v>76.13799999999998</s:v>
      </s:c>
      <s:c r="G22" s="11">
        <s:f>'単店モデルPL'!E19</s:f>
        <s:v>76.13799999999998</s:v>
      </s:c>
    </s:row>
    <s:row r="23">
      <s:c r="A23" s="9" t="inlineStr">
        <s:is>
          <s:t>分割弁済</s:t>
        </s:is>
      </s:c>
      <s:c r="C23" s="34">
        <s:f>-'前提条件'!$B$48</s:f>
        <s:v>-15.6</s:v>
      </s:c>
      <s:c r="D23" s="34">
        <s:f>-'前提条件'!$B$48</s:f>
        <s:v>-15.6</s:v>
      </s:c>
      <s:c r="E23" s="34">
        <s:f>-'前提条件'!$B$48</s:f>
        <s:v>-15.6</s:v>
      </s:c>
      <s:c r="F23" s="34">
        <s:f>-'前提条件'!$B$48</s:f>
        <s:v>-15.6</s:v>
      </s:c>
      <s:c r="G23" s="34">
        <s:f>-'前提条件'!$B$48</s:f>
        <s:v>-15.6</s:v>
      </s:c>
    </s:row>
    <s:row r="24">
      <s:c r="A24" s="13" t="inlineStr">
        <s:is>
          <s:t>単店FCF</s:t>
        </s:is>
      </s:c>
      <s:c r="C24" s="35">
        <s:f>C22+C23</s:f>
        <s:v>36.848000000000035</s:v>
      </s:c>
      <s:c r="D24" s="35">
        <s:f>D22+D23</s:f>
        <s:v>50.3812</s:v>
      </s:c>
      <s:c r="E24" s="35">
        <s:f>E22+E23</s:f>
        <s:v>60.537999999999975</s:v>
      </s:c>
      <s:c r="F24" s="35">
        <s:f>F22+F23</s:f>
        <s:v>60.537999999999975</s:v>
      </s:c>
      <s:c r="G24" s="35">
        <s:f>G22+G23</s:f>
        <s:v>60.537999999999975</s:v>
      </s:c>
    </s:row>
    <s:row r="25">
      <s:c r="A25" s="13" t="inlineStr">
        <s:is>
          <s:t>累計FCF（開業時支出△108含む）</s:t>
        </s:is>
      </s:c>
      <s:c r="C25" s="36">
        <s:f>-('前提条件'!$B$39-'前提条件'!$B$47)+C24</s:f>
        <s:v>-71.25199999999995</s:v>
      </s:c>
      <s:c r="D25" s="36">
        <s:f>C25+D24</s:f>
        <s:v>-20.870799999999953</s:v>
      </s:c>
      <s:c r="E25" s="36">
        <s:f>D25+E24</s:f>
        <s:v>39.66720000000002</s:v>
      </s:c>
      <s:c r="F25" s="36">
        <s:f>E25+F24</s:f>
        <s:v>100.20519999999999</s:v>
      </s:c>
      <s:c r="G25" s="36">
        <s:f>F25+G24</s:f>
        <s:v>160.74319999999997</s:v>
      </s:c>
    </s:row>
    <s:row r="26"/>
    <s:row r="27">
      <s:c r="A27" s="6" t="inlineStr">
        <s:is>
          <s:t>→ 開業3年目に累計FCFが黒字転換（投資回収 約2.8年）。保証金39百万円は退去時返還対象のため実質回収はさらに短期。</s:t>
        </s:is>
      </s:c>
    </s:row>
    <s:row r="28">
      <s:c r="A28" s="2" t="inlineStr">
        <s:is>
          <s:t>※ 分割払いを使わない場合は開業時支出247百万円・回収約3.3年。定常期の年間FCFは60百万円で2号店以降の出店原資となる。</s:t>
        </s:is>
      </s:c>
    </s:row>
  </s:sheetData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2026-08-18T16:00:29Z</dcterms:created>
  <dcterms:modified xsi:type="dcterms:W3CDTF">2026-08-18T16:00:29Z</dcterms:modified>
</cp:coreProperties>
</file>