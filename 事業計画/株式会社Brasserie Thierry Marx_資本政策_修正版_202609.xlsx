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資本政策" sheetId="2" state="visible" r:id="rId4"/>
    <sheet name="合意書整合チェック" sheetId="3" state="visible" r:id="rId5"/>
    <sheet name="資金需要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<sst xmlns="http://schemas.openxmlformats.org/spreadsheetml/2006/main" count="151" uniqueCount="142">
  <si>
    <t xml:space="preserve">前提条件（青字＝入力値）</t>
  </si>
  <si>
    <r>
      <rPr>
        <sz val="9"/>
        <color rgb="FF7F7F7F"/>
        <rFont val="WenQuanYi Zen Hei"/>
        <family val="2"/>
      </rPr>
      <t xml:space="preserve">出典：合意書（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月）／資本政策</t>
    </r>
    <r>
      <rPr>
        <sz val="9"/>
        <color rgb="FF7F7F7F"/>
        <rFont val="Meiryo"/>
        <family val="0"/>
        <charset val="1"/>
      </rPr>
      <t xml:space="preserve">202609</t>
    </r>
    <r>
      <rPr>
        <sz val="9"/>
        <color rgb="FF7F7F7F"/>
        <rFont val="WenQuanYi Zen Hei"/>
        <family val="2"/>
      </rPr>
      <t xml:space="preserve">（投資家様）／事業収支資料</t>
    </r>
    <r>
      <rPr>
        <sz val="9"/>
        <color rgb="FF7F7F7F"/>
        <rFont val="Meiryo"/>
        <family val="0"/>
        <charset val="1"/>
      </rPr>
      <t xml:space="preserve">20260904</t>
    </r>
    <r>
      <rPr>
        <sz val="9"/>
        <color rgb="FF7F7F7F"/>
        <rFont val="WenQuanYi Zen Hei"/>
        <family val="2"/>
      </rPr>
      <t xml:space="preserve">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か年事業計画</t>
    </r>
    <r>
      <rPr>
        <sz val="9"/>
        <color rgb="FF7F7F7F"/>
        <rFont val="Meiryo"/>
        <family val="0"/>
        <charset val="1"/>
      </rPr>
      <t xml:space="preserve">FY2027-2031</t>
    </r>
  </si>
  <si>
    <r>
      <rPr>
        <b val="true"/>
        <sz val="10"/>
        <color rgb="FF000000"/>
        <rFont val="WenQuanYi Zen Hei"/>
        <family val="2"/>
      </rPr>
      <t xml:space="preserve">■ 現在の株主構成（</t>
    </r>
    <r>
      <rPr>
        <b val="true"/>
        <sz val="10"/>
        <color rgb="FF000000"/>
        <rFont val="Meiryo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月末）</t>
    </r>
  </si>
  <si>
    <t xml:space="preserve">中野邦人　保有株数</t>
  </si>
  <si>
    <r>
      <rPr>
        <sz val="9"/>
        <color rgb="FF7F7F7F"/>
        <rFont val="WenQuanYi Zen Hei"/>
        <family val="2"/>
      </rPr>
      <t xml:space="preserve">資本政策</t>
    </r>
    <r>
      <rPr>
        <sz val="9"/>
        <color rgb="FF7F7F7F"/>
        <rFont val="Meiryo"/>
        <family val="0"/>
        <charset val="1"/>
      </rPr>
      <t xml:space="preserve">202609</t>
    </r>
    <r>
      <rPr>
        <sz val="9"/>
        <color rgb="FF7F7F7F"/>
        <rFont val="WenQuanYi Zen Hei"/>
        <family val="2"/>
      </rPr>
      <t xml:space="preserve">より</t>
    </r>
  </si>
  <si>
    <r>
      <rPr>
        <sz val="10"/>
        <color rgb="FF000000"/>
        <rFont val="WenQuanYi Zen Hei"/>
        <family val="2"/>
      </rPr>
      <t xml:space="preserve">合同会社</t>
    </r>
    <r>
      <rPr>
        <sz val="10"/>
        <color rgb="FF000000"/>
        <rFont val="Meiryo"/>
        <family val="0"/>
        <charset val="1"/>
      </rPr>
      <t xml:space="preserve">WineBank P3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WBP3</t>
    </r>
    <r>
      <rPr>
        <sz val="10"/>
        <color rgb="FF000000"/>
        <rFont val="WenQuanYi Zen Hei"/>
        <family val="2"/>
      </rPr>
      <t xml:space="preserve">）保有株数</t>
    </r>
  </si>
  <si>
    <r>
      <rPr>
        <sz val="9"/>
        <color rgb="FF7F7F7F"/>
        <rFont val="WenQuanYi Zen Hei"/>
        <family val="2"/>
      </rPr>
      <t xml:space="preserve">アピシウスの株主。対象会社の直接株主はこの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者のみ</t>
    </r>
  </si>
  <si>
    <t xml:space="preserve">資本金（千円）</t>
  </si>
  <si>
    <t xml:space="preserve">資本準備金（千円）</t>
  </si>
  <si>
    <t xml:space="preserve">現在の発行済株式総数</t>
  </si>
  <si>
    <r>
      <rPr>
        <b val="true"/>
        <sz val="10"/>
        <color rgb="FF000000"/>
        <rFont val="WenQuanYi Zen Hei"/>
        <family val="2"/>
      </rPr>
      <t xml:space="preserve">■ 第三者割当①（</t>
    </r>
    <r>
      <rPr>
        <b val="true"/>
        <sz val="10"/>
        <color rgb="FF000000"/>
        <rFont val="Meiryo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Meiryo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月末＝本件実行日）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</si>
  <si>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株あたり発行価額（円）</t>
    </r>
  </si>
  <si>
    <r>
      <rPr>
        <sz val="9"/>
        <color rgb="FF7F7F7F"/>
        <rFont val="Meiryo"/>
        <family val="0"/>
        <charset val="1"/>
      </rPr>
      <t xml:space="preserve">Pre</t>
    </r>
    <r>
      <rPr>
        <sz val="9"/>
        <color rgb="FF7F7F7F"/>
        <rFont val="WenQuanYi Zen Hei"/>
        <family val="2"/>
      </rPr>
      <t xml:space="preserve">バリュー</t>
    </r>
    <r>
      <rPr>
        <sz val="9"/>
        <color rgb="FF7F7F7F"/>
        <rFont val="Meiryo"/>
        <family val="0"/>
        <charset val="1"/>
      </rPr>
      <t xml:space="preserve">300,000,000</t>
    </r>
    <r>
      <rPr>
        <sz val="9"/>
        <color rgb="FF7F7F7F"/>
        <rFont val="WenQuanYi Zen Hei"/>
        <family val="2"/>
      </rPr>
      <t xml:space="preserve">円 </t>
    </r>
    <r>
      <rPr>
        <sz val="9"/>
        <color rgb="FF7F7F7F"/>
        <rFont val="Meiryo"/>
        <family val="0"/>
        <charset val="1"/>
      </rPr>
      <t xml:space="preserve">÷ </t>
    </r>
    <r>
      <rPr>
        <sz val="9"/>
        <color rgb="FF7F7F7F"/>
        <rFont val="WenQuanYi Zen Hei"/>
        <family val="2"/>
      </rPr>
      <t xml:space="preserve">現在</t>
    </r>
    <r>
      <rPr>
        <sz val="9"/>
        <color rgb="FF7F7F7F"/>
        <rFont val="Meiryo"/>
        <family val="0"/>
        <charset val="1"/>
      </rPr>
      <t xml:space="preserve">2,000</t>
    </r>
    <r>
      <rPr>
        <sz val="9"/>
        <color rgb="FF7F7F7F"/>
        <rFont val="WenQuanYi Zen Hei"/>
        <family val="2"/>
      </rPr>
      <t xml:space="preserve">株＝</t>
    </r>
    <r>
      <rPr>
        <sz val="9"/>
        <color rgb="FF7F7F7F"/>
        <rFont val="Meiryo"/>
        <family val="0"/>
        <charset val="1"/>
      </rPr>
      <t xml:space="preserve">@150,000</t>
    </r>
    <r>
      <rPr>
        <sz val="9"/>
        <color rgb="FF7F7F7F"/>
        <rFont val="WenQuanYi Zen Hei"/>
        <family val="2"/>
      </rPr>
      <t xml:space="preserve">円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</si>
  <si>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AnyColor</t>
    </r>
    <r>
      <rPr>
        <sz val="10"/>
        <color rgb="FF000000"/>
        <rFont val="WenQuanYi Zen Hei"/>
        <family val="2"/>
      </rPr>
      <t xml:space="preserve">オーナー）割当株数</t>
    </r>
  </si>
  <si>
    <r>
      <rPr>
        <sz val="9"/>
        <color rgb="FF7F7F7F"/>
        <rFont val="WenQuanYi Zen Hei"/>
        <family val="2"/>
      </rPr>
      <t xml:space="preserve">合意書は「金</t>
    </r>
    <r>
      <rPr>
        <sz val="9"/>
        <color rgb="FF7F7F7F"/>
        <rFont val="Meiryo"/>
        <family val="0"/>
        <charset val="1"/>
      </rPr>
      <t xml:space="preserve">20,000,000</t>
    </r>
    <r>
      <rPr>
        <sz val="9"/>
        <color rgb="FF7F7F7F"/>
        <rFont val="WenQuanYi Zen Hei"/>
        <family val="2"/>
      </rPr>
      <t xml:space="preserve">円」。</t>
    </r>
    <r>
      <rPr>
        <sz val="9"/>
        <color rgb="FF7F7F7F"/>
        <rFont val="Meiryo"/>
        <family val="0"/>
        <charset val="1"/>
      </rPr>
      <t xml:space="preserve">@150,000</t>
    </r>
    <r>
      <rPr>
        <sz val="9"/>
        <color rgb="FF7F7F7F"/>
        <rFont val="WenQuanYi Zen Hei"/>
        <family val="2"/>
      </rPr>
      <t xml:space="preserve">では</t>
    </r>
    <r>
      <rPr>
        <sz val="9"/>
        <color rgb="FF7F7F7F"/>
        <rFont val="Meiryo"/>
        <family val="0"/>
        <charset val="1"/>
      </rPr>
      <t xml:space="preserve">133.33</t>
    </r>
    <r>
      <rPr>
        <sz val="9"/>
        <color rgb="FF7F7F7F"/>
        <rFont val="WenQuanYi Zen Hei"/>
        <family val="2"/>
      </rPr>
      <t xml:space="preserve">株となり端数が出る（後掲チェック参照）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</si>
  <si>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　割当株数</t>
    </r>
  </si>
  <si>
    <r>
      <rPr>
        <sz val="9"/>
        <color rgb="FF7F7F7F"/>
        <rFont val="Meiryo"/>
        <family val="0"/>
        <charset val="1"/>
      </rPr>
      <t xml:space="preserve">4,000</t>
    </r>
    <r>
      <rPr>
        <sz val="9"/>
        <color rgb="FF7F7F7F"/>
        <rFont val="WenQuanYi Zen Hei"/>
        <family val="2"/>
      </rPr>
      <t xml:space="preserve">万円枠。</t>
    </r>
    <r>
      <rPr>
        <sz val="9"/>
        <color rgb="FF7F7F7F"/>
        <rFont val="Meiryo"/>
        <family val="0"/>
        <charset val="1"/>
      </rPr>
      <t xml:space="preserve">266.67</t>
    </r>
    <r>
      <rPr>
        <sz val="9"/>
        <color rgb="FF7F7F7F"/>
        <rFont val="WenQuanYi Zen Hei"/>
        <family val="2"/>
      </rPr>
      <t xml:space="preserve">株を切上げ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</si>
  <si>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　割当株数</t>
    </r>
  </si>
  <si>
    <r>
      <rPr>
        <sz val="9"/>
        <color rgb="FF7F7F7F"/>
        <rFont val="Meiryo"/>
        <family val="0"/>
        <charset val="1"/>
      </rPr>
      <t xml:space="preserve">6,000</t>
    </r>
    <r>
      <rPr>
        <sz val="9"/>
        <color rgb="FF7F7F7F"/>
        <rFont val="WenQuanYi Zen Hei"/>
        <family val="2"/>
      </rPr>
      <t xml:space="preserve">万円枠。端数なし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</si>
  <si>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　割当株数</t>
    </r>
  </si>
  <si>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万円枠。端数なし</t>
    </r>
  </si>
  <si>
    <t xml:space="preserve">資本金への計上割合</t>
  </si>
  <si>
    <r>
      <rPr>
        <sz val="9"/>
        <color rgb="FF7F7F7F"/>
        <rFont val="WenQuanYi Zen Hei"/>
        <family val="2"/>
      </rPr>
      <t xml:space="preserve">残額は資本準備金へ（会社法</t>
    </r>
    <r>
      <rPr>
        <sz val="9"/>
        <color rgb="FF7F7F7F"/>
        <rFont val="Meiryo"/>
        <family val="0"/>
        <charset val="1"/>
      </rPr>
      <t xml:space="preserve">445</t>
    </r>
    <r>
      <rPr>
        <sz val="9"/>
        <color rgb="FF7F7F7F"/>
        <rFont val="WenQuanYi Zen Hei"/>
        <family val="2"/>
      </rPr>
      <t xml:space="preserve">条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項・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項）</t>
    </r>
  </si>
  <si>
    <t xml:space="preserve">割当株数　計</t>
  </si>
  <si>
    <t xml:space="preserve">本件出資総額（円）</t>
  </si>
  <si>
    <r>
      <rPr>
        <b val="true"/>
        <sz val="9"/>
        <color rgb="FFC00000"/>
        <rFont val="WenQuanYi Zen Hei"/>
        <family val="2"/>
      </rPr>
      <t xml:space="preserve">合意書：総額</t>
    </r>
    <r>
      <rPr>
        <b val="true"/>
        <sz val="9"/>
        <color rgb="FFC00000"/>
        <rFont val="Meiryo"/>
        <family val="0"/>
        <charset val="1"/>
      </rPr>
      <t xml:space="preserve">150,000,000</t>
    </r>
    <r>
      <rPr>
        <b val="true"/>
        <sz val="9"/>
        <color rgb="FFC00000"/>
        <rFont val="WenQuanYi Zen Hei"/>
        <family val="2"/>
      </rPr>
      <t xml:space="preserve">円の募集</t>
    </r>
  </si>
  <si>
    <r>
      <rPr>
        <b val="true"/>
        <sz val="10"/>
        <color rgb="FF000000"/>
        <rFont val="WenQuanYi Zen Hei"/>
        <family val="2"/>
      </rPr>
      <t xml:space="preserve">■ ストックオプション（</t>
    </r>
    <r>
      <rPr>
        <b val="true"/>
        <sz val="10"/>
        <color rgb="FF000000"/>
        <rFont val="Meiryo"/>
        <family val="0"/>
        <charset val="1"/>
      </rPr>
      <t xml:space="preserve">2028</t>
    </r>
    <r>
      <rPr>
        <b val="true"/>
        <sz val="10"/>
        <color rgb="FF000000"/>
        <rFont val="WenQuanYi Zen Hei"/>
        <family val="2"/>
      </rPr>
      <t xml:space="preserve">年想定）</t>
    </r>
  </si>
  <si>
    <r>
      <rPr>
        <sz val="10"/>
        <color rgb="FF000000"/>
        <rFont val="Meiryo"/>
        <family val="0"/>
        <charset val="1"/>
      </rPr>
      <t xml:space="preserve">SO</t>
    </r>
    <r>
      <rPr>
        <sz val="10"/>
        <color rgb="FF000000"/>
        <rFont val="WenQuanYi Zen Hei"/>
        <family val="2"/>
      </rPr>
      <t xml:space="preserve">付与株数（潜在株式）</t>
    </r>
  </si>
  <si>
    <r>
      <rPr>
        <sz val="9"/>
        <color rgb="FF7F7F7F"/>
        <rFont val="WenQuanYi Zen Hei"/>
        <family val="2"/>
      </rPr>
      <t xml:space="preserve">資本政策</t>
    </r>
    <r>
      <rPr>
        <sz val="9"/>
        <color rgb="FF7F7F7F"/>
        <rFont val="Meiryo"/>
        <family val="0"/>
        <charset val="1"/>
      </rPr>
      <t xml:space="preserve">202609</t>
    </r>
    <r>
      <rPr>
        <sz val="9"/>
        <color rgb="FF7F7F7F"/>
        <rFont val="WenQuanYi Zen Hei"/>
        <family val="2"/>
      </rPr>
      <t xml:space="preserve">の備考「潜在株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％以内」を発行済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株の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％として設定</t>
    </r>
  </si>
  <si>
    <r>
      <rPr>
        <b val="true"/>
        <sz val="10"/>
        <color rgb="FF000000"/>
        <rFont val="WenQuanYi Zen Hei"/>
        <family val="2"/>
      </rPr>
      <t xml:space="preserve">■ 第三者割当②（</t>
    </r>
    <r>
      <rPr>
        <b val="true"/>
        <sz val="10"/>
        <color rgb="FF000000"/>
        <rFont val="Meiryo"/>
        <family val="0"/>
        <charset val="1"/>
      </rPr>
      <t xml:space="preserve">2029</t>
    </r>
    <r>
      <rPr>
        <b val="true"/>
        <sz val="10"/>
        <color rgb="FF000000"/>
        <rFont val="WenQuanYi Zen Hei"/>
        <family val="2"/>
      </rPr>
      <t xml:space="preserve">年・想定枠）</t>
    </r>
  </si>
  <si>
    <t xml:space="preserve">割当株数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</si>
  <si>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「調達金額</t>
    </r>
    <r>
      <rPr>
        <sz val="9"/>
        <color rgb="FF7F7F7F"/>
        <rFont val="Meiryo"/>
        <family val="0"/>
        <charset val="1"/>
      </rPr>
      <t xml:space="preserve">2.0-3.0</t>
    </r>
    <r>
      <rPr>
        <sz val="9"/>
        <color rgb="FF7F7F7F"/>
        <rFont val="WenQuanYi Zen Hei"/>
        <family val="2"/>
      </rPr>
      <t xml:space="preserve">億円」を実現する場合の枠。バリュエーション未確定のため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で設定</t>
    </r>
  </si>
  <si>
    <r>
      <rPr>
        <sz val="9"/>
        <color rgb="FF7F7F7F"/>
        <rFont val="WenQuanYi Zen Hei"/>
        <family val="2"/>
      </rPr>
      <t xml:space="preserve">旧資本政策の</t>
    </r>
    <r>
      <rPr>
        <sz val="9"/>
        <color rgb="FF7F7F7F"/>
        <rFont val="Meiryo"/>
        <family val="0"/>
        <charset val="1"/>
      </rPr>
      <t xml:space="preserve">@192,000</t>
    </r>
    <r>
      <rPr>
        <sz val="9"/>
        <color rgb="FF7F7F7F"/>
        <rFont val="WenQuanYi Zen Hei"/>
        <family val="2"/>
      </rPr>
      <t xml:space="preserve">円は前回</t>
    </r>
    <r>
      <rPr>
        <sz val="9"/>
        <color rgb="FF7F7F7F"/>
        <rFont val="Meiryo"/>
        <family val="0"/>
        <charset val="1"/>
      </rPr>
      <t xml:space="preserve">@150,000</t>
    </r>
    <r>
      <rPr>
        <sz val="9"/>
        <color rgb="FF7F7F7F"/>
        <rFont val="WenQuanYi Zen Hei"/>
        <family val="2"/>
      </rPr>
      <t xml:space="preserve">円より高いが、</t>
    </r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年の</t>
    </r>
    <r>
      <rPr>
        <sz val="9"/>
        <color rgb="FF7F7F7F"/>
        <rFont val="Meiryo"/>
        <family val="0"/>
        <charset val="1"/>
      </rPr>
      <t xml:space="preserve">@50,000</t>
    </r>
    <r>
      <rPr>
        <sz val="9"/>
        <color rgb="FF7F7F7F"/>
        <rFont val="WenQuanYi Zen Hei"/>
        <family val="2"/>
      </rPr>
      <t xml:space="preserve">円はダウンラウンドで整合しない</t>
    </r>
  </si>
  <si>
    <t xml:space="preserve">■ 合意書の確約条件</t>
  </si>
  <si>
    <t xml:space="preserve">甲側 持株比率の下限</t>
  </si>
  <si>
    <r>
      <rPr>
        <sz val="9"/>
        <color rgb="FF7F7F7F"/>
        <rFont val="WenQuanYi Zen Hei"/>
        <family val="2"/>
      </rPr>
      <t xml:space="preserve">合意書 第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条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項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号。現行文は「</t>
    </r>
    <r>
      <rPr>
        <sz val="9"/>
        <color rgb="FF7F7F7F"/>
        <rFont val="Meiryo"/>
        <family val="0"/>
        <charset val="1"/>
      </rPr>
      <t xml:space="preserve">WBP3</t>
    </r>
    <r>
      <rPr>
        <sz val="9"/>
        <color rgb="FF7F7F7F"/>
        <rFont val="WenQuanYi Zen Hei"/>
        <family val="2"/>
      </rPr>
      <t xml:space="preserve">の持株比率」だが</t>
    </r>
    <r>
      <rPr>
        <sz val="9"/>
        <color rgb="FF7F7F7F"/>
        <rFont val="Meiryo"/>
        <family val="0"/>
        <charset val="1"/>
      </rPr>
      <t xml:space="preserve">WBP3</t>
    </r>
    <r>
      <rPr>
        <sz val="9"/>
        <color rgb="FF7F7F7F"/>
        <rFont val="WenQuanYi Zen Hei"/>
        <family val="2"/>
      </rPr>
      <t xml:space="preserve">単独は</t>
    </r>
    <r>
      <rPr>
        <sz val="9"/>
        <color rgb="FF7F7F7F"/>
        <rFont val="Meiryo"/>
        <family val="0"/>
        <charset val="1"/>
      </rPr>
      <t xml:space="preserve">23.3%</t>
    </r>
    <r>
      <rPr>
        <sz val="9"/>
        <color rgb="FF7F7F7F"/>
        <rFont val="WenQuanYi Zen Hei"/>
        <family val="2"/>
      </rPr>
      <t xml:space="preserve">。中野邦人との合計と解する</t>
    </r>
  </si>
  <si>
    <t xml:space="preserve">外部投資家 比率（合意書表記）</t>
  </si>
  <si>
    <r>
      <rPr>
        <sz val="9"/>
        <color rgb="FF7F7F7F"/>
        <rFont val="WenQuanYi Zen Hei"/>
        <family val="2"/>
      </rPr>
      <t xml:space="preserve">合意書「本件</t>
    </r>
    <r>
      <rPr>
        <sz val="9"/>
        <color rgb="FF7F7F7F"/>
        <rFont val="Meiryo"/>
        <family val="0"/>
        <charset val="1"/>
      </rPr>
      <t xml:space="preserve">34</t>
    </r>
    <r>
      <rPr>
        <sz val="9"/>
        <color rgb="FF7F7F7F"/>
        <rFont val="WenQuanYi Zen Hei"/>
        <family val="2"/>
      </rPr>
      <t xml:space="preserve">％投資家」。実際の外部合計は</t>
    </r>
    <r>
      <rPr>
        <sz val="9"/>
        <color rgb="FF7F7F7F"/>
        <rFont val="Meiryo"/>
        <family val="0"/>
        <charset val="1"/>
      </rPr>
      <t xml:space="preserve">33.3%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</si>
  <si>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出資額（合意書記載・円）</t>
    </r>
  </si>
  <si>
    <r>
      <rPr>
        <sz val="9"/>
        <color rgb="FF7F7F7F"/>
        <rFont val="WenQuanYi Zen Hei"/>
        <family val="2"/>
      </rPr>
      <t xml:space="preserve">合意書 第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条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項</t>
    </r>
  </si>
  <si>
    <r>
      <rPr>
        <sz val="10"/>
        <color rgb="FF000000"/>
        <rFont val="Meiryo"/>
        <family val="0"/>
        <charset val="1"/>
      </rPr>
      <t xml:space="preserve">Pre</t>
    </r>
    <r>
      <rPr>
        <sz val="10"/>
        <color rgb="FF000000"/>
        <rFont val="WenQuanYi Zen Hei"/>
        <family val="2"/>
      </rPr>
      <t xml:space="preserve">バリュー（合意書記載・円）</t>
    </r>
  </si>
  <si>
    <t xml:space="preserve">本件出資総額（合意書記載・円）</t>
  </si>
  <si>
    <r>
      <rPr>
        <b val="true"/>
        <sz val="11"/>
        <color rgb="FFFFFFFF"/>
        <rFont val="WenQuanYi Zen Hei"/>
        <family val="2"/>
      </rPr>
      <t xml:space="preserve">株式会社</t>
    </r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資本政策（修正版）</t>
    </r>
  </si>
  <si>
    <t xml:space="preserve">単位：株／円。青字＝「前提」シートの入力値に連動。※旧版の「株式譲渡」列見出しは実態（第三者割当増資）に合わせて修正済み</t>
  </si>
  <si>
    <r>
      <rPr>
        <b val="true"/>
        <sz val="9"/>
        <color rgb="FF000000"/>
        <rFont val="WenQuanYi Zen Hei"/>
        <family val="2"/>
      </rPr>
      <t xml:space="preserve">現在
</t>
    </r>
    <r>
      <rPr>
        <b val="true"/>
        <sz val="9"/>
        <color rgb="FF000000"/>
        <rFont val="Meiryo"/>
        <family val="0"/>
        <charset val="1"/>
      </rPr>
      <t xml:space="preserve">2026</t>
    </r>
    <r>
      <rPr>
        <b val="true"/>
        <sz val="9"/>
        <color rgb="FF000000"/>
        <rFont val="WenQuanYi Zen Hei"/>
        <family val="2"/>
      </rPr>
      <t xml:space="preserve">年</t>
    </r>
    <r>
      <rPr>
        <b val="true"/>
        <sz val="9"/>
        <color rgb="FF000000"/>
        <rFont val="Meiryo"/>
        <family val="0"/>
        <charset val="1"/>
      </rPr>
      <t xml:space="preserve">9</t>
    </r>
    <r>
      <rPr>
        <b val="true"/>
        <sz val="9"/>
        <color rgb="FF000000"/>
        <rFont val="WenQuanYi Zen Hei"/>
        <family val="2"/>
      </rPr>
      <t xml:space="preserve">月末</t>
    </r>
  </si>
  <si>
    <r>
      <rPr>
        <b val="true"/>
        <sz val="9"/>
        <color rgb="FF000000"/>
        <rFont val="WenQuanYi Zen Hei"/>
        <family val="2"/>
      </rPr>
      <t xml:space="preserve">第三者割当①
</t>
    </r>
    <r>
      <rPr>
        <b val="true"/>
        <sz val="9"/>
        <color rgb="FF000000"/>
        <rFont val="Meiryo"/>
        <family val="0"/>
        <charset val="1"/>
      </rPr>
      <t xml:space="preserve">2026</t>
    </r>
    <r>
      <rPr>
        <b val="true"/>
        <sz val="9"/>
        <color rgb="FF000000"/>
        <rFont val="WenQuanYi Zen Hei"/>
        <family val="2"/>
      </rPr>
      <t xml:space="preserve">年</t>
    </r>
    <r>
      <rPr>
        <b val="true"/>
        <sz val="9"/>
        <color rgb="FF000000"/>
        <rFont val="Meiryo"/>
        <family val="0"/>
        <charset val="1"/>
      </rPr>
      <t xml:space="preserve">10</t>
    </r>
    <r>
      <rPr>
        <b val="true"/>
        <sz val="9"/>
        <color rgb="FF000000"/>
        <rFont val="WenQuanYi Zen Hei"/>
        <family val="2"/>
      </rPr>
      <t xml:space="preserve">月末（本件実行日）</t>
    </r>
  </si>
  <si>
    <r>
      <rPr>
        <b val="true"/>
        <sz val="9"/>
        <color rgb="FF000000"/>
        <rFont val="Meiryo"/>
        <family val="0"/>
        <charset val="1"/>
      </rPr>
      <t xml:space="preserve">SO</t>
    </r>
    <r>
      <rPr>
        <b val="true"/>
        <sz val="9"/>
        <color rgb="FF000000"/>
        <rFont val="WenQuanYi Zen Hei"/>
        <family val="2"/>
      </rPr>
      <t xml:space="preserve">付与
</t>
    </r>
    <r>
      <rPr>
        <b val="true"/>
        <sz val="9"/>
        <color rgb="FF000000"/>
        <rFont val="Meiryo"/>
        <family val="0"/>
        <charset val="1"/>
      </rPr>
      <t xml:space="preserve">2028</t>
    </r>
    <r>
      <rPr>
        <b val="true"/>
        <sz val="9"/>
        <color rgb="FF000000"/>
        <rFont val="WenQuanYi Zen Hei"/>
        <family val="2"/>
      </rPr>
      <t xml:space="preserve">年</t>
    </r>
  </si>
  <si>
    <r>
      <rPr>
        <b val="true"/>
        <sz val="9"/>
        <color rgb="FF000000"/>
        <rFont val="WenQuanYi Zen Hei"/>
        <family val="2"/>
      </rPr>
      <t xml:space="preserve">第三者割当②
</t>
    </r>
    <r>
      <rPr>
        <b val="true"/>
        <sz val="9"/>
        <color rgb="FF000000"/>
        <rFont val="Meiryo"/>
        <family val="0"/>
        <charset val="1"/>
      </rPr>
      <t xml:space="preserve">2029</t>
    </r>
    <r>
      <rPr>
        <b val="true"/>
        <sz val="9"/>
        <color rgb="FF000000"/>
        <rFont val="WenQuanYi Zen Hei"/>
        <family val="2"/>
      </rPr>
      <t xml:space="preserve">年（想定枠）</t>
    </r>
  </si>
  <si>
    <t xml:space="preserve">No</t>
  </si>
  <si>
    <t xml:space="preserve">株主</t>
  </si>
  <si>
    <t xml:space="preserve">株数</t>
  </si>
  <si>
    <t xml:space="preserve">比率</t>
  </si>
  <si>
    <r>
      <rPr>
        <b val="true"/>
        <sz val="9"/>
        <color rgb="FF000000"/>
        <rFont val="WenQuanYi Zen Hei"/>
        <family val="2"/>
      </rPr>
      <t xml:space="preserve">払込金額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</si>
  <si>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発行済株数</t>
  </si>
  <si>
    <t xml:space="preserve">潜在込株数</t>
  </si>
  <si>
    <t xml:space="preserve">潜在込比率</t>
  </si>
  <si>
    <t xml:space="preserve">中野邦人</t>
  </si>
  <si>
    <r>
      <rPr>
        <sz val="10"/>
        <color rgb="FF000000"/>
        <rFont val="WenQuanYi Zen Hei"/>
        <family val="2"/>
      </rPr>
      <t xml:space="preserve">合同会社</t>
    </r>
    <r>
      <rPr>
        <sz val="10"/>
        <color rgb="FF000000"/>
        <rFont val="Meiryo"/>
        <family val="0"/>
        <charset val="1"/>
      </rPr>
      <t xml:space="preserve">WineBank P3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WBP3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</si>
  <si>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小計　甲側（中野＋</t>
    </r>
    <r>
      <rPr>
        <b val="true"/>
        <sz val="10"/>
        <color rgb="FF000000"/>
        <rFont val="Meiryo"/>
        <family val="0"/>
        <charset val="1"/>
      </rPr>
      <t xml:space="preserve">WBP3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</si>
  <si>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AnyColor</t>
    </r>
    <r>
      <rPr>
        <sz val="10"/>
        <color rgb="FF000000"/>
        <rFont val="WenQuanYi Zen Hei"/>
        <family val="2"/>
      </rPr>
      <t xml:space="preserve">オーナー）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</si>
  <si>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B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</si>
  <si>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C</t>
    </r>
  </si>
  <si>
    <r>
      <rPr>
        <sz val="10"/>
        <color rgb="FF000000"/>
        <rFont val="WenQuanYi Zen Hei"/>
        <family val="2"/>
      </rPr>
      <t xml:space="preserve">投資家</t>
    </r>
    <r>
      <rPr>
        <sz val="10"/>
        <color rgb="FF000000"/>
        <rFont val="Meiryo"/>
        <family val="0"/>
        <charset val="1"/>
      </rPr>
      <t xml:space="preserve">D</t>
    </r>
  </si>
  <si>
    <t xml:space="preserve">小計　外部投資家</t>
  </si>
  <si>
    <t xml:space="preserve">ストックオプション（未行使）</t>
  </si>
  <si>
    <t xml:space="preserve">合　計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</si>
  <si>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株あたり発行価額（円）</t>
    </r>
  </si>
  <si>
    <t xml:space="preserve">調達額（円）</t>
  </si>
  <si>
    <r>
      <rPr>
        <b val="true"/>
        <sz val="10"/>
        <color rgb="FF000000"/>
        <rFont val="Meiryo"/>
        <family val="0"/>
        <charset val="1"/>
      </rPr>
      <t xml:space="preserve">Pre-money</t>
    </r>
    <r>
      <rPr>
        <b val="true"/>
        <sz val="10"/>
        <color rgb="FF000000"/>
        <rFont val="WenQuanYi Zen Hei"/>
        <family val="2"/>
      </rPr>
      <t xml:space="preserve">（円）</t>
    </r>
  </si>
  <si>
    <r>
      <rPr>
        <b val="true"/>
        <sz val="10"/>
        <color rgb="FF000000"/>
        <rFont val="Meiryo"/>
        <family val="0"/>
        <charset val="1"/>
      </rPr>
      <t xml:space="preserve">Post-money</t>
    </r>
    <r>
      <rPr>
        <b val="true"/>
        <sz val="10"/>
        <color rgb="FF000000"/>
        <rFont val="WenQuanYi Zen Hei"/>
        <family val="2"/>
      </rPr>
      <t xml:space="preserve">（円）</t>
    </r>
  </si>
  <si>
    <t xml:space="preserve">資本金（円）</t>
  </si>
  <si>
    <t xml:space="preserve">資本準備金（円）</t>
  </si>
  <si>
    <t xml:space="preserve">▼ 旧版からの主な修正点</t>
  </si>
  <si>
    <r>
      <rPr>
        <sz val="9"/>
        <color rgb="FF7F7F7F"/>
        <rFont val="Meiryo"/>
        <family val="0"/>
        <charset val="1"/>
      </rPr>
      <t xml:space="preserve">① 2028</t>
    </r>
    <r>
      <rPr>
        <sz val="9"/>
        <color rgb="FF7F7F7F"/>
        <rFont val="WenQuanYi Zen Hei"/>
        <family val="2"/>
      </rPr>
      <t xml:space="preserve">年以降で投資家</t>
    </r>
    <r>
      <rPr>
        <sz val="9"/>
        <color rgb="FF7F7F7F"/>
        <rFont val="Meiryo"/>
        <family val="0"/>
        <charset val="1"/>
      </rPr>
      <t xml:space="preserve">A</t>
    </r>
    <r>
      <rPr>
        <sz val="9"/>
        <color rgb="FF7F7F7F"/>
        <rFont val="WenQuanYi Zen Hei"/>
        <family val="2"/>
      </rPr>
      <t xml:space="preserve">（</t>
    </r>
    <r>
      <rPr>
        <sz val="9"/>
        <color rgb="FF7F7F7F"/>
        <rFont val="Meiryo"/>
        <family val="0"/>
        <charset val="1"/>
      </rPr>
      <t xml:space="preserve">134</t>
    </r>
    <r>
      <rPr>
        <sz val="9"/>
        <color rgb="FF7F7F7F"/>
        <rFont val="WenQuanYi Zen Hei"/>
        <family val="2"/>
      </rPr>
      <t xml:space="preserve">株）が「潜在株式考慮後」から消え、合計が</t>
    </r>
    <r>
      <rPr>
        <sz val="9"/>
        <color rgb="FF7F7F7F"/>
        <rFont val="Meiryo"/>
        <family val="0"/>
        <charset val="1"/>
      </rPr>
      <t xml:space="preserve">3,000→2,866</t>
    </r>
    <r>
      <rPr>
        <sz val="9"/>
        <color rgb="FF7F7F7F"/>
        <rFont val="WenQuanYi Zen Hei"/>
        <family val="2"/>
      </rPr>
      <t xml:space="preserve">株に減っていた計算式の破損を修正</t>
    </r>
  </si>
  <si>
    <r>
      <rPr>
        <sz val="9"/>
        <color rgb="FF7F7F7F"/>
        <rFont val="Meiryo"/>
        <family val="0"/>
        <charset val="1"/>
      </rPr>
      <t xml:space="preserve">② SO</t>
    </r>
    <r>
      <rPr>
        <sz val="9"/>
        <color rgb="FF7F7F7F"/>
        <rFont val="WenQuanYi Zen Hei"/>
        <family val="2"/>
      </rPr>
      <t xml:space="preserve">付与株数が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のままだったため、備考「潜在株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％以内」に沿って</t>
    </r>
    <r>
      <rPr>
        <sz val="9"/>
        <color rgb="FF7F7F7F"/>
        <rFont val="Meiryo"/>
        <family val="0"/>
        <charset val="1"/>
      </rPr>
      <t xml:space="preserve">300</t>
    </r>
    <r>
      <rPr>
        <sz val="9"/>
        <color rgb="FF7F7F7F"/>
        <rFont val="WenQuanYi Zen Hei"/>
        <family val="2"/>
      </rPr>
      <t xml:space="preserve">株を計上（潜在込</t>
    </r>
    <r>
      <rPr>
        <sz val="9"/>
        <color rgb="FF7F7F7F"/>
        <rFont val="Meiryo"/>
        <family val="0"/>
        <charset val="1"/>
      </rPr>
      <t xml:space="preserve">3,300</t>
    </r>
    <r>
      <rPr>
        <sz val="9"/>
        <color rgb="FF7F7F7F"/>
        <rFont val="WenQuanYi Zen Hei"/>
        <family val="2"/>
      </rPr>
      <t xml:space="preserve">株）</t>
    </r>
  </si>
  <si>
    <r>
      <rPr>
        <sz val="9"/>
        <color rgb="FF7F7F7F"/>
        <rFont val="Meiryo"/>
        <family val="0"/>
        <charset val="1"/>
      </rPr>
      <t xml:space="preserve">③ 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12</t>
    </r>
    <r>
      <rPr>
        <sz val="9"/>
        <color rgb="FF7F7F7F"/>
        <rFont val="WenQuanYi Zen Hei"/>
        <family val="2"/>
      </rPr>
      <t xml:space="preserve">月末の列見出し「株式譲渡」を実態（第三者割当増資）に修正。払込期日は合意書に合わせ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月末に統一</t>
    </r>
  </si>
  <si>
    <r>
      <rPr>
        <sz val="9"/>
        <color rgb="FF7F7F7F"/>
        <rFont val="Meiryo"/>
        <family val="0"/>
        <charset val="1"/>
      </rPr>
      <t xml:space="preserve">④ 2027</t>
    </r>
    <r>
      <rPr>
        <sz val="9"/>
        <color rgb="FF7F7F7F"/>
        <rFont val="WenQuanYi Zen Hei"/>
        <family val="2"/>
      </rPr>
      <t xml:space="preserve">年の</t>
    </r>
    <r>
      <rPr>
        <sz val="9"/>
        <color rgb="FF7F7F7F"/>
        <rFont val="Meiryo"/>
        <family val="0"/>
        <charset val="1"/>
      </rPr>
      <t xml:space="preserve">@50,000</t>
    </r>
    <r>
      <rPr>
        <sz val="9"/>
        <color rgb="FF7F7F7F"/>
        <rFont val="WenQuanYi Zen Hei"/>
        <family val="2"/>
      </rPr>
      <t xml:space="preserve">円（前回</t>
    </r>
    <r>
      <rPr>
        <sz val="9"/>
        <color rgb="FF7F7F7F"/>
        <rFont val="Meiryo"/>
        <family val="0"/>
        <charset val="1"/>
      </rPr>
      <t xml:space="preserve">@150,000</t>
    </r>
    <r>
      <rPr>
        <sz val="9"/>
        <color rgb="FF7F7F7F"/>
        <rFont val="WenQuanYi Zen Hei"/>
        <family val="2"/>
      </rPr>
      <t xml:space="preserve">円に対するダウンラウンド）を削除。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年は価額未確定のため空欄の想定枠に</t>
    </r>
  </si>
  <si>
    <r>
      <rPr>
        <sz val="9"/>
        <color rgb="FF7F7F7F"/>
        <rFont val="WenQuanYi Zen Hei"/>
        <family val="2"/>
      </rPr>
      <t xml:space="preserve">⑤ 備考欄の</t>
    </r>
    <r>
      <rPr>
        <sz val="9"/>
        <color rgb="FF7F7F7F"/>
        <rFont val="Meiryo"/>
        <family val="0"/>
        <charset val="1"/>
      </rPr>
      <t xml:space="preserve">WineBank</t>
    </r>
    <r>
      <rPr>
        <sz val="9"/>
        <color rgb="FF7F7F7F"/>
        <rFont val="WenQuanYi Zen Hei"/>
        <family val="2"/>
      </rPr>
      <t xml:space="preserve">本体の記載（ワインファンド、</t>
    </r>
    <r>
      <rPr>
        <sz val="9"/>
        <color rgb="FF7F7F7F"/>
        <rFont val="Meiryo"/>
        <family val="0"/>
        <charset val="1"/>
      </rPr>
      <t xml:space="preserve">375</t>
    </r>
    <r>
      <rPr>
        <sz val="9"/>
        <color rgb="FF7F7F7F"/>
        <rFont val="WenQuanYi Zen Hei"/>
        <family val="2"/>
      </rPr>
      <t xml:space="preserve">株中野移転、有限会社中村→</t>
    </r>
    <r>
      <rPr>
        <sz val="9"/>
        <color rgb="FF7F7F7F"/>
        <rFont val="Meiryo"/>
        <family val="0"/>
        <charset val="1"/>
      </rPr>
      <t xml:space="preserve">WineBank</t>
    </r>
    <r>
      <rPr>
        <sz val="9"/>
        <color rgb="FF7F7F7F"/>
        <rFont val="WenQuanYi Zen Hei"/>
        <family val="2"/>
      </rPr>
      <t xml:space="preserve">商号変更）を削除</t>
    </r>
  </si>
  <si>
    <r>
      <rPr>
        <sz val="9"/>
        <color rgb="FF7F7F7F"/>
        <rFont val="WenQuanYi Zen Hei"/>
        <family val="2"/>
      </rPr>
      <t xml:space="preserve">⑥ 社名表記「</t>
    </r>
    <r>
      <rPr>
        <sz val="9"/>
        <color rgb="FF7F7F7F"/>
        <rFont val="Meiryo"/>
        <family val="0"/>
        <charset val="1"/>
      </rPr>
      <t xml:space="preserve">Thieery</t>
    </r>
    <r>
      <rPr>
        <sz val="9"/>
        <color rgb="FF7F7F7F"/>
        <rFont val="WenQuanYi Zen Hei"/>
        <family val="2"/>
      </rPr>
      <t xml:space="preserve">」→「</t>
    </r>
    <r>
      <rPr>
        <sz val="9"/>
        <color rgb="FF7F7F7F"/>
        <rFont val="Meiryo"/>
        <family val="0"/>
        <charset val="1"/>
      </rPr>
      <t xml:space="preserve">Thierry</t>
    </r>
    <r>
      <rPr>
        <sz val="9"/>
        <color rgb="FF7F7F7F"/>
        <rFont val="WenQuanYi Zen Hei"/>
        <family val="2"/>
      </rPr>
      <t xml:space="preserve">」に修正</t>
    </r>
  </si>
  <si>
    <t xml:space="preserve">合意書との整合チェック</t>
  </si>
  <si>
    <r>
      <rPr>
        <sz val="9"/>
        <color rgb="FF7F7F7F"/>
        <rFont val="WenQuanYi Zen Hei"/>
        <family val="2"/>
      </rPr>
      <t xml:space="preserve">合意書（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月）記載値と本資本政策の突合。判定は自動計算。</t>
    </r>
  </si>
  <si>
    <t xml:space="preserve">チェック項目</t>
  </si>
  <si>
    <t xml:space="preserve">合意書の記載</t>
  </si>
  <si>
    <t xml:space="preserve">本資本政策</t>
  </si>
  <si>
    <t xml:space="preserve">差</t>
  </si>
  <si>
    <t xml:space="preserve">判定</t>
  </si>
  <si>
    <t xml:space="preserve">コメント</t>
  </si>
  <si>
    <r>
      <rPr>
        <sz val="9"/>
        <color rgb="FF000000"/>
        <rFont val="WenQuanYi Zen Hei"/>
        <family val="2"/>
      </rPr>
      <t xml:space="preserve">投資家</t>
    </r>
    <r>
      <rPr>
        <sz val="9"/>
        <color rgb="FF000000"/>
        <rFont val="Meiryo"/>
        <family val="0"/>
        <charset val="1"/>
      </rPr>
      <t xml:space="preserve">A</t>
    </r>
    <r>
      <rPr>
        <sz val="9"/>
        <color rgb="FF000000"/>
        <rFont val="WenQuanYi Zen Hei"/>
        <family val="2"/>
      </rPr>
      <t xml:space="preserve">の出資額</t>
    </r>
  </si>
  <si>
    <r>
      <rPr>
        <sz val="9"/>
        <color rgb="FF7F7F7F"/>
        <rFont val="Meiryo"/>
        <family val="0"/>
        <charset val="1"/>
      </rPr>
      <t xml:space="preserve">@150,000</t>
    </r>
    <r>
      <rPr>
        <sz val="9"/>
        <color rgb="FF7F7F7F"/>
        <rFont val="WenQuanYi Zen Hei"/>
        <family val="2"/>
      </rPr>
      <t xml:space="preserve">円では</t>
    </r>
    <r>
      <rPr>
        <sz val="9"/>
        <color rgb="FF7F7F7F"/>
        <rFont val="Meiryo"/>
        <family val="0"/>
        <charset val="1"/>
      </rPr>
      <t xml:space="preserve">20,000,000</t>
    </r>
    <r>
      <rPr>
        <sz val="9"/>
        <color rgb="FF7F7F7F"/>
        <rFont val="WenQuanYi Zen Hei"/>
        <family val="2"/>
      </rPr>
      <t xml:space="preserve">円が割り切れない（</t>
    </r>
    <r>
      <rPr>
        <sz val="9"/>
        <color rgb="FF7F7F7F"/>
        <rFont val="Meiryo"/>
        <family val="0"/>
        <charset val="1"/>
      </rPr>
      <t xml:space="preserve">133.33</t>
    </r>
    <r>
      <rPr>
        <sz val="9"/>
        <color rgb="FF7F7F7F"/>
        <rFont val="WenQuanYi Zen Hei"/>
        <family val="2"/>
      </rPr>
      <t xml:space="preserve">株）。</t>
    </r>
    <r>
      <rPr>
        <sz val="9"/>
        <color rgb="FF7F7F7F"/>
        <rFont val="Meiryo"/>
        <family val="0"/>
        <charset val="1"/>
      </rPr>
      <t xml:space="preserve">133</t>
    </r>
    <r>
      <rPr>
        <sz val="9"/>
        <color rgb="FF7F7F7F"/>
        <rFont val="WenQuanYi Zen Hei"/>
        <family val="2"/>
      </rPr>
      <t xml:space="preserve">株なら</t>
    </r>
    <r>
      <rPr>
        <sz val="9"/>
        <color rgb="FF7F7F7F"/>
        <rFont val="Meiryo"/>
        <family val="0"/>
        <charset val="1"/>
      </rPr>
      <t xml:space="preserve">19,950,000</t>
    </r>
    <r>
      <rPr>
        <sz val="9"/>
        <color rgb="FF7F7F7F"/>
        <rFont val="WenQuanYi Zen Hei"/>
        <family val="2"/>
      </rPr>
      <t xml:space="preserve">円、</t>
    </r>
    <r>
      <rPr>
        <sz val="9"/>
        <color rgb="FF7F7F7F"/>
        <rFont val="Meiryo"/>
        <family val="0"/>
        <charset val="1"/>
      </rPr>
      <t xml:space="preserve">134</t>
    </r>
    <r>
      <rPr>
        <sz val="9"/>
        <color rgb="FF7F7F7F"/>
        <rFont val="WenQuanYi Zen Hei"/>
        <family val="2"/>
      </rPr>
      <t xml:space="preserve">株なら</t>
    </r>
    <r>
      <rPr>
        <sz val="9"/>
        <color rgb="FF7F7F7F"/>
        <rFont val="Meiryo"/>
        <family val="0"/>
        <charset val="1"/>
      </rPr>
      <t xml:space="preserve">20,100,000</t>
    </r>
    <r>
      <rPr>
        <sz val="9"/>
        <color rgb="FF7F7F7F"/>
        <rFont val="WenQuanYi Zen Hei"/>
        <family val="2"/>
      </rPr>
      <t xml:space="preserve">円。合意書の金額か株数の調整が必要</t>
    </r>
  </si>
  <si>
    <t xml:space="preserve">本件出資総額</t>
  </si>
  <si>
    <r>
      <rPr>
        <sz val="9"/>
        <color rgb="FF7F7F7F"/>
        <rFont val="Meiryo"/>
        <family val="0"/>
        <charset val="1"/>
      </rPr>
      <t xml:space="preserve">133/267/400/200</t>
    </r>
    <r>
      <rPr>
        <sz val="9"/>
        <color rgb="FF7F7F7F"/>
        <rFont val="WenQuanYi Zen Hei"/>
        <family val="2"/>
      </rPr>
      <t xml:space="preserve">株の構成で総額はちょうど</t>
    </r>
    <r>
      <rPr>
        <sz val="9"/>
        <color rgb="FF7F7F7F"/>
        <rFont val="Meiryo"/>
        <family val="0"/>
        <charset val="1"/>
      </rPr>
      <t xml:space="preserve">150,000,000</t>
    </r>
    <r>
      <rPr>
        <sz val="9"/>
        <color rgb="FF7F7F7F"/>
        <rFont val="WenQuanYi Zen Hei"/>
        <family val="2"/>
      </rPr>
      <t xml:space="preserve">円</t>
    </r>
  </si>
  <si>
    <t xml:space="preserve">Pre-money</t>
  </si>
  <si>
    <t xml:space="preserve">一致</t>
  </si>
  <si>
    <t xml:space="preserve">甲側持株比率（発行済ベース）</t>
  </si>
  <si>
    <r>
      <rPr>
        <sz val="9"/>
        <color rgb="FF7F7F7F"/>
        <rFont val="WenQuanYi Zen Hei"/>
        <family val="2"/>
      </rPr>
      <t xml:space="preserve">合意書 第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条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項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号。現行条文は「</t>
    </r>
    <r>
      <rPr>
        <sz val="9"/>
        <color rgb="FF7F7F7F"/>
        <rFont val="Meiryo"/>
        <family val="0"/>
        <charset val="1"/>
      </rPr>
      <t xml:space="preserve">WBP3</t>
    </r>
    <r>
      <rPr>
        <sz val="9"/>
        <color rgb="FF7F7F7F"/>
        <rFont val="WenQuanYi Zen Hei"/>
        <family val="2"/>
      </rPr>
      <t xml:space="preserve">の持株比率」だが</t>
    </r>
    <r>
      <rPr>
        <sz val="9"/>
        <color rgb="FF7F7F7F"/>
        <rFont val="Meiryo"/>
        <family val="0"/>
        <charset val="1"/>
      </rPr>
      <t xml:space="preserve">WBP3</t>
    </r>
    <r>
      <rPr>
        <sz val="9"/>
        <color rgb="FF7F7F7F"/>
        <rFont val="WenQuanYi Zen Hei"/>
        <family val="2"/>
      </rPr>
      <t xml:space="preserve">単独は</t>
    </r>
    <r>
      <rPr>
        <sz val="9"/>
        <color rgb="FF7F7F7F"/>
        <rFont val="Meiryo"/>
        <family val="0"/>
        <charset val="1"/>
      </rPr>
      <t xml:space="preserve">23.3</t>
    </r>
    <r>
      <rPr>
        <sz val="9"/>
        <color rgb="FF7F7F7F"/>
        <rFont val="WenQuanYi Zen Hei"/>
        <family val="2"/>
      </rPr>
      <t xml:space="preserve">％。「中野邦人及び</t>
    </r>
    <r>
      <rPr>
        <sz val="9"/>
        <color rgb="FF7F7F7F"/>
        <rFont val="Meiryo"/>
        <family val="0"/>
        <charset val="1"/>
      </rPr>
      <t xml:space="preserve">WBP3</t>
    </r>
    <r>
      <rPr>
        <sz val="9"/>
        <color rgb="FF7F7F7F"/>
        <rFont val="WenQuanYi Zen Hei"/>
        <family val="2"/>
      </rPr>
      <t xml:space="preserve">の合計」への修正が必要</t>
    </r>
  </si>
  <si>
    <r>
      <rPr>
        <sz val="9"/>
        <color rgb="FF000000"/>
        <rFont val="WenQuanYi Zen Hei"/>
        <family val="2"/>
      </rPr>
      <t xml:space="preserve">甲側持株比率（</t>
    </r>
    <r>
      <rPr>
        <sz val="9"/>
        <color rgb="FF000000"/>
        <rFont val="Meiryo"/>
        <family val="0"/>
        <charset val="1"/>
      </rPr>
      <t xml:space="preserve">SO</t>
    </r>
    <r>
      <rPr>
        <sz val="9"/>
        <color rgb="FF000000"/>
        <rFont val="WenQuanYi Zen Hei"/>
        <family val="2"/>
      </rPr>
      <t xml:space="preserve">発行後・潜在込）</t>
    </r>
  </si>
  <si>
    <r>
      <rPr>
        <sz val="9"/>
        <color rgb="FF7F7F7F"/>
        <rFont val="Meiryo"/>
        <family val="0"/>
        <charset val="1"/>
      </rPr>
      <t xml:space="preserve">SO300</t>
    </r>
    <r>
      <rPr>
        <sz val="9"/>
        <color rgb="FF7F7F7F"/>
        <rFont val="WenQuanYi Zen Hei"/>
        <family val="2"/>
      </rPr>
      <t xml:space="preserve">株を発行すると</t>
    </r>
    <r>
      <rPr>
        <sz val="9"/>
        <color rgb="FF7F7F7F"/>
        <rFont val="Meiryo"/>
        <family val="0"/>
        <charset val="1"/>
      </rPr>
      <t xml:space="preserve">60.6</t>
    </r>
    <r>
      <rPr>
        <sz val="9"/>
        <color rgb="FF7F7F7F"/>
        <rFont val="WenQuanYi Zen Hei"/>
        <family val="2"/>
      </rPr>
      <t xml:space="preserve">％となり</t>
    </r>
    <r>
      <rPr>
        <sz val="9"/>
        <color rgb="FF7F7F7F"/>
        <rFont val="Meiryo"/>
        <family val="0"/>
        <charset val="1"/>
      </rPr>
      <t xml:space="preserve">66</t>
    </r>
    <r>
      <rPr>
        <sz val="9"/>
        <color rgb="FF7F7F7F"/>
        <rFont val="WenQuanYi Zen Hei"/>
        <family val="2"/>
      </rPr>
      <t xml:space="preserve">％を下回る。合意書に「発行済株式ベース」と明記しない限り</t>
    </r>
    <r>
      <rPr>
        <sz val="9"/>
        <color rgb="FF7F7F7F"/>
        <rFont val="Meiryo"/>
        <family val="0"/>
        <charset val="1"/>
      </rPr>
      <t xml:space="preserve">SO</t>
    </r>
    <r>
      <rPr>
        <sz val="9"/>
        <color rgb="FF7F7F7F"/>
        <rFont val="WenQuanYi Zen Hei"/>
        <family val="2"/>
      </rPr>
      <t xml:space="preserve">発行が確約違反になりうる</t>
    </r>
  </si>
  <si>
    <t xml:space="preserve">外部投資家 合計比率</t>
  </si>
  <si>
    <r>
      <rPr>
        <sz val="9"/>
        <color rgb="FF7F7F7F"/>
        <rFont val="WenQuanYi Zen Hei"/>
        <family val="2"/>
      </rPr>
      <t xml:space="preserve">合意書の「本件</t>
    </r>
    <r>
      <rPr>
        <sz val="9"/>
        <color rgb="FF7F7F7F"/>
        <rFont val="Meiryo"/>
        <family val="0"/>
        <charset val="1"/>
      </rPr>
      <t xml:space="preserve">34</t>
    </r>
    <r>
      <rPr>
        <sz val="9"/>
        <color rgb="FF7F7F7F"/>
        <rFont val="WenQuanYi Zen Hei"/>
        <family val="2"/>
      </rPr>
      <t xml:space="preserve">％投資家」は実際には</t>
    </r>
    <r>
      <rPr>
        <sz val="9"/>
        <color rgb="FF7F7F7F"/>
        <rFont val="Meiryo"/>
        <family val="0"/>
        <charset val="1"/>
      </rPr>
      <t xml:space="preserve">33.3</t>
    </r>
    <r>
      <rPr>
        <sz val="9"/>
        <color rgb="FF7F7F7F"/>
        <rFont val="WenQuanYi Zen Hei"/>
        <family val="2"/>
      </rPr>
      <t xml:space="preserve">％。単独</t>
    </r>
    <r>
      <rPr>
        <sz val="9"/>
        <color rgb="FF7F7F7F"/>
        <rFont val="Meiryo"/>
        <family val="0"/>
        <charset val="1"/>
      </rPr>
      <t xml:space="preserve">34</t>
    </r>
    <r>
      <rPr>
        <sz val="9"/>
        <color rgb="FF7F7F7F"/>
        <rFont val="WenQuanYi Zen Hei"/>
        <family val="2"/>
      </rPr>
      <t xml:space="preserve">％の投資家は存在せず（最大は投資家</t>
    </r>
    <r>
      <rPr>
        <sz val="9"/>
        <color rgb="FF7F7F7F"/>
        <rFont val="Meiryo"/>
        <family val="0"/>
        <charset val="1"/>
      </rPr>
      <t xml:space="preserve">C</t>
    </r>
    <r>
      <rPr>
        <sz val="9"/>
        <color rgb="FF7F7F7F"/>
        <rFont val="WenQuanYi Zen Hei"/>
        <family val="2"/>
      </rPr>
      <t xml:space="preserve">の</t>
    </r>
    <r>
      <rPr>
        <sz val="9"/>
        <color rgb="FF7F7F7F"/>
        <rFont val="Meiryo"/>
        <family val="0"/>
        <charset val="1"/>
      </rPr>
      <t xml:space="preserve">13.3</t>
    </r>
    <r>
      <rPr>
        <sz val="9"/>
        <color rgb="FF7F7F7F"/>
        <rFont val="WenQuanYi Zen Hei"/>
        <family val="2"/>
      </rPr>
      <t xml:space="preserve">％）、定義規定も本文にない</t>
    </r>
  </si>
  <si>
    <r>
      <rPr>
        <b val="true"/>
        <sz val="10"/>
        <color rgb="FF000000"/>
        <rFont val="Meiryo"/>
        <family val="0"/>
        <charset val="1"/>
      </rPr>
      <t xml:space="preserve">■ 66</t>
    </r>
    <r>
      <rPr>
        <b val="true"/>
        <sz val="10"/>
        <color rgb="FF000000"/>
        <rFont val="WenQuanYi Zen Hei"/>
        <family val="2"/>
      </rPr>
      <t xml:space="preserve">％条項による追加エクイティ調達余地</t>
    </r>
  </si>
  <si>
    <r>
      <rPr>
        <b val="true"/>
        <sz val="9"/>
        <color rgb="FFC00000"/>
        <rFont val="WenQuanYi Zen Hei"/>
        <family val="2"/>
      </rPr>
      <t xml:space="preserve">甲側は</t>
    </r>
    <r>
      <rPr>
        <b val="true"/>
        <sz val="9"/>
        <color rgb="FFC00000"/>
        <rFont val="Meiryo"/>
        <family val="0"/>
        <charset val="1"/>
      </rPr>
      <t xml:space="preserve">2,000</t>
    </r>
    <r>
      <rPr>
        <b val="true"/>
        <sz val="9"/>
        <color rgb="FFC00000"/>
        <rFont val="WenQuanYi Zen Hei"/>
        <family val="2"/>
      </rPr>
      <t xml:space="preserve">株で固定（今回ラウンドで追加出資なし）。</t>
    </r>
    <r>
      <rPr>
        <b val="true"/>
        <sz val="9"/>
        <color rgb="FFC00000"/>
        <rFont val="Meiryo"/>
        <family val="0"/>
        <charset val="1"/>
      </rPr>
      <t xml:space="preserve">66</t>
    </r>
    <r>
      <rPr>
        <b val="true"/>
        <sz val="9"/>
        <color rgb="FFC00000"/>
        <rFont val="WenQuanYi Zen Hei"/>
        <family val="2"/>
      </rPr>
      <t xml:space="preserve">％を維持できる発行済株式総数の上限から逆算。</t>
    </r>
  </si>
  <si>
    <t xml:space="preserve">甲側 保有株数（固定）</t>
  </si>
  <si>
    <r>
      <rPr>
        <sz val="9"/>
        <color rgb="FF000000"/>
        <rFont val="Meiryo"/>
        <family val="0"/>
        <charset val="1"/>
      </rPr>
      <t xml:space="preserve">66</t>
    </r>
    <r>
      <rPr>
        <sz val="9"/>
        <color rgb="FF000000"/>
        <rFont val="WenQuanYi Zen Hei"/>
        <family val="2"/>
      </rPr>
      <t xml:space="preserve">％維持時の発行済株式総数 上限</t>
    </r>
  </si>
  <si>
    <r>
      <rPr>
        <sz val="9"/>
        <color rgb="FF7F7F7F"/>
        <rFont val="WenQuanYi Zen Hei"/>
        <family val="2"/>
      </rPr>
      <t xml:space="preserve">＝甲側株数 </t>
    </r>
    <r>
      <rPr>
        <sz val="9"/>
        <color rgb="FF7F7F7F"/>
        <rFont val="Meiryo"/>
        <family val="0"/>
        <charset val="1"/>
      </rPr>
      <t xml:space="preserve">÷ 66</t>
    </r>
    <r>
      <rPr>
        <sz val="9"/>
        <color rgb="FF7F7F7F"/>
        <rFont val="WenQuanYi Zen Hei"/>
        <family val="2"/>
      </rPr>
      <t xml:space="preserve">％</t>
    </r>
  </si>
  <si>
    <t xml:space="preserve">第三者割当①後の発行済株式総数</t>
  </si>
  <si>
    <t xml:space="preserve">追加発行できる株数</t>
  </si>
  <si>
    <t xml:space="preserve">上限 － 現在。マイナスなら既に抵触</t>
  </si>
  <si>
    <r>
      <rPr>
        <b val="true"/>
        <sz val="9"/>
        <color rgb="FF000000"/>
        <rFont val="Meiryo"/>
        <family val="0"/>
        <charset val="1"/>
      </rPr>
      <t xml:space="preserve">@150,000</t>
    </r>
    <r>
      <rPr>
        <b val="true"/>
        <sz val="9"/>
        <color rgb="FF000000"/>
        <rFont val="WenQuanYi Zen Hei"/>
        <family val="2"/>
      </rPr>
      <t xml:space="preserve">円での追加調達可能額（円）</t>
    </r>
  </si>
  <si>
    <r>
      <rPr>
        <sz val="9"/>
        <color rgb="FF7F7F7F"/>
        <rFont val="WenQuanYi Zen Hei"/>
        <family val="2"/>
      </rPr>
      <t xml:space="preserve">追加発行株数 </t>
    </r>
    <r>
      <rPr>
        <sz val="9"/>
        <color rgb="FF7F7F7F"/>
        <rFont val="Meiryo"/>
        <family val="0"/>
        <charset val="1"/>
      </rPr>
      <t xml:space="preserve">× @150,000</t>
    </r>
    <r>
      <rPr>
        <sz val="9"/>
        <color rgb="FF7F7F7F"/>
        <rFont val="WenQuanYi Zen Hei"/>
        <family val="2"/>
      </rPr>
      <t xml:space="preserve">円</t>
    </r>
  </si>
  <si>
    <r>
      <rPr>
        <b val="true"/>
        <sz val="10"/>
        <color rgb="FFC00000"/>
        <rFont val="WenQuanYi Zen Hei"/>
        <family val="2"/>
      </rPr>
      <t xml:space="preserve">→ 事業収支資料</t>
    </r>
    <r>
      <rPr>
        <b val="true"/>
        <sz val="10"/>
        <color rgb="FFC00000"/>
        <rFont val="Meiryo"/>
        <family val="0"/>
        <charset val="1"/>
      </rPr>
      <t xml:space="preserve">p11</t>
    </r>
    <r>
      <rPr>
        <b val="true"/>
        <sz val="10"/>
        <color rgb="FFC00000"/>
        <rFont val="WenQuanYi Zen Hei"/>
        <family val="2"/>
      </rPr>
      <t xml:space="preserve">「調達金額</t>
    </r>
    <r>
      <rPr>
        <b val="true"/>
        <sz val="10"/>
        <color rgb="FFC00000"/>
        <rFont val="Meiryo"/>
        <family val="0"/>
        <charset val="1"/>
      </rPr>
      <t xml:space="preserve">2.0-3.0</t>
    </r>
    <r>
      <rPr>
        <b val="true"/>
        <sz val="10"/>
        <color rgb="FFC00000"/>
        <rFont val="WenQuanYi Zen Hei"/>
        <family val="2"/>
      </rPr>
      <t xml:space="preserve">億円」は、合意書の</t>
    </r>
    <r>
      <rPr>
        <b val="true"/>
        <sz val="10"/>
        <color rgb="FFC00000"/>
        <rFont val="Meiryo"/>
        <family val="0"/>
        <charset val="1"/>
      </rPr>
      <t xml:space="preserve">66</t>
    </r>
    <r>
      <rPr>
        <b val="true"/>
        <sz val="10"/>
        <color rgb="FFC00000"/>
        <rFont val="WenQuanYi Zen Hei"/>
        <family val="2"/>
      </rPr>
      <t xml:space="preserve">％条項の下では達成不能。</t>
    </r>
  </si>
  <si>
    <r>
      <rPr>
        <sz val="9"/>
        <color rgb="FF7F7F7F"/>
        <rFont val="WenQuanYi Zen Hei"/>
        <family val="2"/>
      </rPr>
      <t xml:space="preserve">　 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億円を</t>
    </r>
    <r>
      <rPr>
        <sz val="9"/>
        <color rgb="FF7F7F7F"/>
        <rFont val="Meiryo"/>
        <family val="0"/>
        <charset val="1"/>
      </rPr>
      <t xml:space="preserve">30</t>
    </r>
    <r>
      <rPr>
        <sz val="9"/>
        <color rgb="FF7F7F7F"/>
        <rFont val="WenQuanYi Zen Hei"/>
        <family val="2"/>
      </rPr>
      <t xml:space="preserve">株で調達するには</t>
    </r>
    <r>
      <rPr>
        <sz val="9"/>
        <color rgb="FF7F7F7F"/>
        <rFont val="Meiryo"/>
        <family val="0"/>
        <charset val="1"/>
      </rPr>
      <t xml:space="preserve">@6,666,667</t>
    </r>
    <r>
      <rPr>
        <sz val="9"/>
        <color rgb="FF7F7F7F"/>
        <rFont val="WenQuanYi Zen Hei"/>
        <family val="2"/>
      </rPr>
      <t xml:space="preserve">円</t>
    </r>
    <r>
      <rPr>
        <sz val="9"/>
        <color rgb="FF7F7F7F"/>
        <rFont val="Meiryo"/>
        <family val="0"/>
        <charset val="1"/>
      </rPr>
      <t xml:space="preserve">/</t>
    </r>
    <r>
      <rPr>
        <sz val="9"/>
        <color rgb="FF7F7F7F"/>
        <rFont val="WenQuanYi Zen Hei"/>
        <family val="2"/>
      </rPr>
      <t xml:space="preserve">株（現行の</t>
    </r>
    <r>
      <rPr>
        <sz val="9"/>
        <color rgb="FF7F7F7F"/>
        <rFont val="Meiryo"/>
        <family val="0"/>
        <charset val="1"/>
      </rPr>
      <t xml:space="preserve">44</t>
    </r>
    <r>
      <rPr>
        <sz val="9"/>
        <color rgb="FF7F7F7F"/>
        <rFont val="WenQuanYi Zen Hei"/>
        <family val="2"/>
      </rPr>
      <t xml:space="preserve">倍）が必要。甲側の同時出資、</t>
    </r>
    <r>
      <rPr>
        <sz val="9"/>
        <color rgb="FF7F7F7F"/>
        <rFont val="Meiryo"/>
        <family val="0"/>
        <charset val="1"/>
      </rPr>
      <t xml:space="preserve">66</t>
    </r>
    <r>
      <rPr>
        <sz val="9"/>
        <color rgb="FF7F7F7F"/>
        <rFont val="WenQuanYi Zen Hei"/>
        <family val="2"/>
      </rPr>
      <t xml:space="preserve">％の緩和、</t>
    </r>
  </si>
  <si>
    <r>
      <rPr>
        <sz val="9"/>
        <color rgb="FF7F7F7F"/>
        <rFont val="WenQuanYi Zen Hei"/>
        <family val="2"/>
      </rPr>
      <t xml:space="preserve">　 または「本件ラウンド時点の比率」への限定のいずれかが必須。種類株式の発行禁止（第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条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項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号）も併せて要見直し。</t>
    </r>
  </si>
  <si>
    <t xml:space="preserve">資金需要と調達の突合（単位：百万円）</t>
  </si>
  <si>
    <r>
      <rPr>
        <sz val="9"/>
        <color rgb="FF7F7F7F"/>
        <rFont val="WenQuanYi Zen Hei"/>
        <family val="2"/>
      </rPr>
      <t xml:space="preserve">出典：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か年事業計画</t>
    </r>
    <r>
      <rPr>
        <sz val="9"/>
        <color rgb="FF7F7F7F"/>
        <rFont val="Meiryo"/>
        <family val="0"/>
        <charset val="1"/>
      </rPr>
      <t xml:space="preserve">FY2027-2031</t>
    </r>
    <r>
      <rPr>
        <sz val="9"/>
        <color rgb="FF7F7F7F"/>
        <rFont val="WenQuanYi Zen Hei"/>
        <family val="2"/>
      </rPr>
      <t xml:space="preserve">（六本木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号店＋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店舗連結）。青字＝同計画からの転記値</t>
    </r>
  </si>
  <si>
    <t xml:space="preserve">項　目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</si>
  <si>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</si>
  <si>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</si>
  <si>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</si>
  <si>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</si>
  <si>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</si>
  <si>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</si>
  <si>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</si>
  <si>
    <t xml:space="preserve">投資キャッシュアウト</t>
  </si>
  <si>
    <t xml:space="preserve">営業利益</t>
  </si>
  <si>
    <r>
      <rPr>
        <sz val="10"/>
        <color rgb="FF000000"/>
        <rFont val="WenQuanYi Zen Hei"/>
        <family val="2"/>
      </rPr>
      <t xml:space="preserve">（前提）法人税 実効税率　※</t>
    </r>
    <r>
      <rPr>
        <sz val="10"/>
        <color rgb="FF000000"/>
        <rFont val="Meiryo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列セルが入力値</t>
    </r>
  </si>
  <si>
    <t xml:space="preserve">簡易。繰越欠損金の控除は考慮せず</t>
  </si>
  <si>
    <t xml:space="preserve">法人税等（推計）</t>
  </si>
  <si>
    <t xml:space="preserve">税引後フリーキャッシュフロー</t>
  </si>
  <si>
    <t xml:space="preserve">累計フリーキャッシュフロー</t>
  </si>
  <si>
    <t xml:space="preserve">■ 必要調達額との比較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</si>
  <si>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</si>
  <si>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r>
      <rPr>
        <sz val="9"/>
        <color rgb="FF7F7F7F"/>
        <rFont val="WenQuanYi Zen Hei"/>
        <family val="2"/>
      </rPr>
      <t xml:space="preserve">税引後ベース。</t>
    </r>
    <r>
      <rPr>
        <sz val="9"/>
        <color rgb="FF7F7F7F"/>
        <rFont val="Meiryo"/>
        <family val="0"/>
        <charset val="1"/>
      </rPr>
      <t xml:space="preserve">FY2029</t>
    </r>
    <r>
      <rPr>
        <sz val="9"/>
        <color rgb="FF7F7F7F"/>
        <rFont val="WenQuanYi Zen Hei"/>
        <family val="2"/>
      </rPr>
      <t xml:space="preserve">末が底</t>
    </r>
  </si>
  <si>
    <t xml:space="preserve">既存調達額（エクイティ＋デット）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</si>
  <si>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億調達済み」。内訳未確認のため要確認</t>
    </r>
  </si>
  <si>
    <t xml:space="preserve">第三者割当①（今回）</t>
  </si>
  <si>
    <t xml:space="preserve">＝資本政策の本件出資総額</t>
  </si>
  <si>
    <t xml:space="preserve">調達額　計</t>
  </si>
  <si>
    <t xml:space="preserve">差（プラスがバッファ）</t>
  </si>
  <si>
    <t xml:space="preserve">デットの元本返済・分割弁済に係る金利相当は未考慮</t>
  </si>
  <si>
    <r>
      <rPr>
        <b val="true"/>
        <sz val="10"/>
        <color rgb="FFC00000"/>
        <rFont val="WenQuanYi Zen Hei"/>
        <family val="2"/>
      </rPr>
      <t xml:space="preserve">→ バッファは</t>
    </r>
    <r>
      <rPr>
        <b val="true"/>
        <sz val="10"/>
        <color rgb="FFC00000"/>
        <rFont val="Meiryo"/>
        <family val="0"/>
        <charset val="1"/>
      </rPr>
      <t xml:space="preserve">1</t>
    </r>
    <r>
      <rPr>
        <b val="true"/>
        <sz val="10"/>
        <color rgb="FFC00000"/>
        <rFont val="WenQuanYi Zen Hei"/>
        <family val="2"/>
      </rPr>
      <t xml:space="preserve">億円未満。既存</t>
    </r>
    <r>
      <rPr>
        <b val="true"/>
        <sz val="10"/>
        <color rgb="FFC00000"/>
        <rFont val="Meiryo"/>
        <family val="0"/>
        <charset val="1"/>
      </rPr>
      <t xml:space="preserve">2</t>
    </r>
    <r>
      <rPr>
        <b val="true"/>
        <sz val="10"/>
        <color rgb="FFC00000"/>
        <rFont val="WenQuanYi Zen Hei"/>
        <family val="2"/>
      </rPr>
      <t xml:space="preserve">億円にデットが含まれるため、その元本返済を入れると不足に転じる可能性がある。</t>
    </r>
  </si>
  <si>
    <r>
      <rPr>
        <sz val="9"/>
        <color rgb="FF7F7F7F"/>
        <rFont val="WenQuanYi Zen Hei"/>
        <family val="2"/>
      </rPr>
      <t xml:space="preserve">※ 対象会社は六本木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号店の運営会社。上記は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店舗連結の計画値。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号店以降を対象会社で持つのか別会社にするのかを</t>
    </r>
  </si>
  <si>
    <r>
      <rPr>
        <sz val="9"/>
        <color rgb="FF7F7F7F"/>
        <rFont val="WenQuanYi Zen Hei"/>
        <family val="2"/>
      </rPr>
      <t xml:space="preserve">　 明確にしないと、投資家が見るバリュエーション（</t>
    </r>
    <r>
      <rPr>
        <sz val="9"/>
        <color rgb="FF7F7F7F"/>
        <rFont val="Meiryo"/>
        <family val="0"/>
        <charset val="1"/>
      </rPr>
      <t xml:space="preserve">Post4.5</t>
    </r>
    <r>
      <rPr>
        <sz val="9"/>
        <color rgb="FF7F7F7F"/>
        <rFont val="WenQuanYi Zen Hei"/>
        <family val="2"/>
      </rPr>
      <t xml:space="preserve">億）と出資対象の事業範囲が一致しない。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</si>
</sst>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%;\(0.00%\);\-"/>
    <numFmt numFmtId="168" formatCode="#,##0.0;\(#,##0.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Meiryo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Meiryo"/>
      <family val="0"/>
      <charset val="1"/>
    </font>
    <font>
      <sz val="10"/>
      <color rgb="FF000000"/>
      <name val="Meiryo"/>
      <family val="0"/>
      <charset val="1"/>
    </font>
    <font>
      <b val="true"/>
      <sz val="9"/>
      <color rgb="FFC00000"/>
      <name val="WenQuanYi Zen Hei"/>
      <family val="2"/>
    </font>
    <font>
      <b val="true"/>
      <sz val="9"/>
      <color rgb="FFC00000"/>
      <name val="Meiryo"/>
      <family val="0"/>
      <charset val="1"/>
    </font>
    <font>
      <b val="true"/>
      <sz val="11"/>
      <color rgb="FFFFFF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10"/>
      <color rgb="FF008000"/>
      <name val="Meiryo"/>
      <family val="0"/>
      <charset val="1"/>
    </font>
    <font>
      <b val="true"/>
      <sz val="10"/>
      <color rgb="FFC00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74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1300</v>
      </c>
      <c r="D5" s="2" t="s">
        <v>4</v>
      </c>
    </row>
    <row r="6" customFormat="false" ht="15" hidden="false" customHeight="false" outlineLevel="0" collapsed="false">
      <c r="A6" s="4" t="s">
        <v>5</v>
      </c>
      <c r="B6" s="5" t="n">
        <v>700</v>
      </c>
      <c r="D6" s="2" t="s">
        <v>6</v>
      </c>
    </row>
    <row r="7" customFormat="false" ht="15" hidden="false" customHeight="false" outlineLevel="0" collapsed="false">
      <c r="A7" s="4" t="s">
        <v>7</v>
      </c>
      <c r="B7" s="5" t="n">
        <v>10000</v>
      </c>
      <c r="D7" s="2" t="s">
        <v>4</v>
      </c>
    </row>
    <row r="8" customFormat="false" ht="15" hidden="false" customHeight="false" outlineLevel="0" collapsed="false">
      <c r="A8" s="4" t="s">
        <v>8</v>
      </c>
      <c r="B8" s="5" t="n">
        <v>0</v>
      </c>
      <c r="D8" s="2"/>
    </row>
    <row r="9" customFormat="false" ht="15" hidden="false" customHeight="false" outlineLevel="0" collapsed="false">
      <c r="A9" s="6" t="s">
        <v>9</v>
      </c>
      <c r="B9" s="7" t="n">
        <f aca="false">B5+B6</f>
        <v>2000</v>
      </c>
    </row>
    <row r="11" customFormat="false" ht="15" hidden="false" customHeight="false" outlineLevel="0" collapsed="false">
      <c r="A11" s="3" t="s">
        <v>10</v>
      </c>
      <c r="B11" s="3"/>
      <c r="C11" s="3"/>
      <c r="D11" s="3"/>
    </row>
    <row r="12" customFormat="false" ht="15" hidden="false" customHeight="false" outlineLevel="0" collapsed="false">
      <c r="A12" s="8" t="s">
        <v>11</v>
      </c>
      <c r="B12" s="5" t="n">
        <v>150000</v>
      </c>
      <c r="D12" s="9" t="s">
        <v>12</v>
      </c>
    </row>
    <row r="13" customFormat="false" ht="15" hidden="false" customHeight="false" outlineLevel="0" collapsed="false">
      <c r="A13" s="4" t="s">
        <v>13</v>
      </c>
      <c r="B13" s="5" t="n">
        <v>133</v>
      </c>
      <c r="D13" s="2" t="s">
        <v>14</v>
      </c>
    </row>
    <row r="14" customFormat="false" ht="15" hidden="false" customHeight="false" outlineLevel="0" collapsed="false">
      <c r="A14" s="4" t="s">
        <v>15</v>
      </c>
      <c r="B14" s="5" t="n">
        <v>267</v>
      </c>
      <c r="D14" s="9" t="s">
        <v>16</v>
      </c>
    </row>
    <row r="15" customFormat="false" ht="15" hidden="false" customHeight="false" outlineLevel="0" collapsed="false">
      <c r="A15" s="4" t="s">
        <v>17</v>
      </c>
      <c r="B15" s="5" t="n">
        <v>400</v>
      </c>
      <c r="D15" s="9" t="s">
        <v>18</v>
      </c>
    </row>
    <row r="16" customFormat="false" ht="15" hidden="false" customHeight="false" outlineLevel="0" collapsed="false">
      <c r="A16" s="4" t="s">
        <v>19</v>
      </c>
      <c r="B16" s="5" t="n">
        <v>200</v>
      </c>
      <c r="D16" s="9" t="s">
        <v>20</v>
      </c>
    </row>
    <row r="17" customFormat="false" ht="15" hidden="false" customHeight="false" outlineLevel="0" collapsed="false">
      <c r="A17" s="4" t="s">
        <v>21</v>
      </c>
      <c r="B17" s="10" t="n">
        <v>0.5</v>
      </c>
      <c r="D17" s="2" t="s">
        <v>22</v>
      </c>
    </row>
    <row r="18" customFormat="false" ht="15" hidden="false" customHeight="false" outlineLevel="0" collapsed="false">
      <c r="A18" s="6" t="s">
        <v>23</v>
      </c>
      <c r="B18" s="7" t="n">
        <f aca="false">SUM(B13:B16)</f>
        <v>1000</v>
      </c>
    </row>
    <row r="19" customFormat="false" ht="15" hidden="false" customHeight="false" outlineLevel="0" collapsed="false">
      <c r="A19" s="6" t="s">
        <v>24</v>
      </c>
      <c r="B19" s="11" t="n">
        <f aca="false">B18*B12</f>
        <v>150000000</v>
      </c>
      <c r="D19" s="12" t="s">
        <v>25</v>
      </c>
    </row>
    <row r="21" customFormat="false" ht="15" hidden="false" customHeight="false" outlineLevel="0" collapsed="false">
      <c r="A21" s="3" t="s">
        <v>26</v>
      </c>
      <c r="B21" s="3"/>
      <c r="C21" s="3"/>
      <c r="D21" s="3"/>
    </row>
    <row r="22" customFormat="false" ht="15" hidden="false" customHeight="false" outlineLevel="0" collapsed="false">
      <c r="A22" s="8" t="s">
        <v>27</v>
      </c>
      <c r="B22" s="5" t="n">
        <v>300</v>
      </c>
      <c r="D22" s="2" t="s">
        <v>28</v>
      </c>
    </row>
    <row r="24" customFormat="false" ht="15" hidden="false" customHeight="false" outlineLevel="0" collapsed="false">
      <c r="A24" s="3" t="s">
        <v>29</v>
      </c>
      <c r="B24" s="3"/>
      <c r="C24" s="3"/>
      <c r="D24" s="3"/>
    </row>
    <row r="25" customFormat="false" ht="15" hidden="false" customHeight="false" outlineLevel="0" collapsed="false">
      <c r="A25" s="4" t="s">
        <v>30</v>
      </c>
      <c r="B25" s="5" t="n">
        <v>0</v>
      </c>
      <c r="D25" s="2" t="s">
        <v>31</v>
      </c>
    </row>
    <row r="26" customFormat="false" ht="15" hidden="false" customHeight="false" outlineLevel="0" collapsed="false">
      <c r="A26" s="8" t="s">
        <v>11</v>
      </c>
      <c r="B26" s="5" t="n">
        <v>0</v>
      </c>
      <c r="D26" s="2" t="s">
        <v>32</v>
      </c>
    </row>
    <row r="28" customFormat="false" ht="15" hidden="false" customHeight="false" outlineLevel="0" collapsed="false">
      <c r="A28" s="3" t="s">
        <v>33</v>
      </c>
      <c r="B28" s="3"/>
      <c r="C28" s="3"/>
      <c r="D28" s="3"/>
    </row>
    <row r="29" customFormat="false" ht="15" hidden="false" customHeight="false" outlineLevel="0" collapsed="false">
      <c r="A29" s="4" t="s">
        <v>34</v>
      </c>
      <c r="B29" s="10" t="n">
        <v>0.66</v>
      </c>
      <c r="D29" s="2" t="s">
        <v>35</v>
      </c>
    </row>
    <row r="30" customFormat="false" ht="15" hidden="false" customHeight="false" outlineLevel="0" collapsed="false">
      <c r="A30" s="4" t="s">
        <v>36</v>
      </c>
      <c r="B30" s="10" t="n">
        <v>0.34</v>
      </c>
      <c r="D30" s="2" t="s">
        <v>37</v>
      </c>
    </row>
    <row r="31" customFormat="false" ht="15" hidden="false" customHeight="false" outlineLevel="0" collapsed="false">
      <c r="A31" s="4" t="s">
        <v>38</v>
      </c>
      <c r="B31" s="5" t="n">
        <v>20000000</v>
      </c>
      <c r="D31" s="2" t="s">
        <v>39</v>
      </c>
    </row>
    <row r="32" customFormat="false" ht="15" hidden="false" customHeight="false" outlineLevel="0" collapsed="false">
      <c r="A32" s="8" t="s">
        <v>40</v>
      </c>
      <c r="B32" s="5" t="n">
        <v>300000000</v>
      </c>
      <c r="D32" s="2" t="s">
        <v>39</v>
      </c>
    </row>
    <row r="33" customFormat="false" ht="15" hidden="false" customHeight="false" outlineLevel="0" collapsed="false">
      <c r="A33" s="4" t="s">
        <v>41</v>
      </c>
      <c r="B33" s="5" t="n">
        <v>150000000</v>
      </c>
      <c r="D33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13" min="7" style="0" width="12"/>
  </cols>
  <sheetData>
    <row r="1" customFormat="false" ht="1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43</v>
      </c>
    </row>
    <row r="3" customFormat="false" ht="30" hidden="false" customHeight="true" outlineLevel="0" collapsed="false">
      <c r="C3" s="13" t="s">
        <v>44</v>
      </c>
      <c r="D3" s="13"/>
      <c r="E3" s="13" t="s">
        <v>45</v>
      </c>
      <c r="F3" s="13"/>
      <c r="G3" s="13"/>
      <c r="H3" s="13"/>
      <c r="I3" s="14" t="s">
        <v>46</v>
      </c>
      <c r="J3" s="14"/>
      <c r="K3" s="13" t="s">
        <v>47</v>
      </c>
      <c r="L3" s="13"/>
      <c r="M3" s="13"/>
    </row>
    <row r="4" customFormat="false" ht="25.5" hidden="false" customHeight="true" outlineLevel="0" collapsed="false">
      <c r="A4" s="15" t="s">
        <v>48</v>
      </c>
      <c r="B4" s="16" t="s">
        <v>49</v>
      </c>
      <c r="C4" s="17" t="s">
        <v>50</v>
      </c>
      <c r="D4" s="17" t="s">
        <v>51</v>
      </c>
      <c r="E4" s="17" t="s">
        <v>30</v>
      </c>
      <c r="F4" s="17" t="s">
        <v>52</v>
      </c>
      <c r="G4" s="17" t="s">
        <v>53</v>
      </c>
      <c r="H4" s="17" t="s">
        <v>51</v>
      </c>
      <c r="I4" s="17" t="s">
        <v>54</v>
      </c>
      <c r="J4" s="17" t="s">
        <v>55</v>
      </c>
      <c r="K4" s="17" t="s">
        <v>30</v>
      </c>
      <c r="L4" s="17" t="s">
        <v>54</v>
      </c>
      <c r="M4" s="17" t="s">
        <v>55</v>
      </c>
    </row>
    <row r="5" customFormat="false" ht="15" hidden="false" customHeight="false" outlineLevel="0" collapsed="false">
      <c r="A5" s="18" t="n">
        <v>1</v>
      </c>
      <c r="B5" s="19" t="s">
        <v>56</v>
      </c>
      <c r="C5" s="20" t="n">
        <f aca="false">前提!$B$5</f>
        <v>1300</v>
      </c>
      <c r="D5" s="21" t="n">
        <f aca="false">IF($C$14=0,0,C5/$C$14)</f>
        <v>0.65</v>
      </c>
      <c r="E5" s="22" t="n">
        <v>0</v>
      </c>
      <c r="F5" s="22" t="n">
        <f aca="false">E5*前提!$B$12</f>
        <v>0</v>
      </c>
      <c r="G5" s="22" t="n">
        <f aca="false">C5+E5</f>
        <v>1300</v>
      </c>
      <c r="H5" s="21" t="n">
        <f aca="false">IF($G$14=0,0,G5/$G$14)</f>
        <v>0.433333333333333</v>
      </c>
      <c r="I5" s="22" t="n">
        <f aca="false">G5</f>
        <v>1300</v>
      </c>
      <c r="J5" s="21" t="n">
        <f aca="false">IF($I$14=0,0,I5/$I$14)</f>
        <v>0.393939393939394</v>
      </c>
      <c r="K5" s="22" t="n">
        <v>0</v>
      </c>
      <c r="L5" s="22" t="n">
        <f aca="false">I5+K5</f>
        <v>1300</v>
      </c>
      <c r="M5" s="21" t="n">
        <f aca="false">IF($L$14=0,0,L5/$L$14)</f>
        <v>0.393939393939394</v>
      </c>
    </row>
    <row r="6" customFormat="false" ht="15" hidden="false" customHeight="false" outlineLevel="0" collapsed="false">
      <c r="A6" s="18" t="n">
        <v>2</v>
      </c>
      <c r="B6" s="19" t="s">
        <v>57</v>
      </c>
      <c r="C6" s="20" t="n">
        <f aca="false">前提!$B$6</f>
        <v>700</v>
      </c>
      <c r="D6" s="21" t="n">
        <f aca="false">IF($C$14=0,0,C6/$C$14)</f>
        <v>0.35</v>
      </c>
      <c r="E6" s="22" t="n">
        <v>0</v>
      </c>
      <c r="F6" s="22" t="n">
        <f aca="false">E6*前提!$B$12</f>
        <v>0</v>
      </c>
      <c r="G6" s="22" t="n">
        <f aca="false">C6+E6</f>
        <v>700</v>
      </c>
      <c r="H6" s="21" t="n">
        <f aca="false">IF($G$14=0,0,G6/$G$14)</f>
        <v>0.233333333333333</v>
      </c>
      <c r="I6" s="22" t="n">
        <f aca="false">G6</f>
        <v>700</v>
      </c>
      <c r="J6" s="21" t="n">
        <f aca="false">IF($I$14=0,0,I6/$I$14)</f>
        <v>0.212121212121212</v>
      </c>
      <c r="K6" s="22" t="n">
        <v>0</v>
      </c>
      <c r="L6" s="22" t="n">
        <f aca="false">I6+K6</f>
        <v>700</v>
      </c>
      <c r="M6" s="21" t="n">
        <f aca="false">IF($L$14=0,0,L6/$L$14)</f>
        <v>0.212121212121212</v>
      </c>
    </row>
    <row r="7" customFormat="false" ht="15" hidden="false" customHeight="false" outlineLevel="0" collapsed="false">
      <c r="B7" s="23" t="s">
        <v>58</v>
      </c>
      <c r="C7" s="24" t="n">
        <f aca="false">SUM(C5:C6)</f>
        <v>2000</v>
      </c>
      <c r="D7" s="25" t="n">
        <f aca="false">IF($C$14=0,0,C7/$C$14)</f>
        <v>1</v>
      </c>
      <c r="E7" s="24" t="n">
        <f aca="false">SUM(E5:E6)</f>
        <v>0</v>
      </c>
      <c r="F7" s="24" t="n">
        <f aca="false">E7*前提!$B$12</f>
        <v>0</v>
      </c>
      <c r="G7" s="24" t="n">
        <f aca="false">C7+E7</f>
        <v>2000</v>
      </c>
      <c r="H7" s="26" t="n">
        <f aca="false">IF($G$14=0,0,G7/$G$14)</f>
        <v>0.666666666666667</v>
      </c>
      <c r="I7" s="24" t="n">
        <f aca="false">SUM(I5:I6)</f>
        <v>2000</v>
      </c>
      <c r="J7" s="27" t="n">
        <f aca="false">IF($I$14=0,0,I7/$I$14)</f>
        <v>0.606060606060606</v>
      </c>
      <c r="K7" s="24" t="n">
        <v>0</v>
      </c>
      <c r="L7" s="24" t="n">
        <f aca="false">I7+K7</f>
        <v>2000</v>
      </c>
      <c r="M7" s="25" t="n">
        <f aca="false">IF($L$14=0,0,L7/$L$14)</f>
        <v>0.606060606060606</v>
      </c>
    </row>
    <row r="8" customFormat="false" ht="15" hidden="false" customHeight="false" outlineLevel="0" collapsed="false">
      <c r="A8" s="18" t="n">
        <v>3</v>
      </c>
      <c r="B8" s="19" t="s">
        <v>59</v>
      </c>
      <c r="C8" s="22" t="n">
        <v>0</v>
      </c>
      <c r="D8" s="21" t="n">
        <f aca="false">IF($C$14=0,0,C8/$C$14)</f>
        <v>0</v>
      </c>
      <c r="E8" s="20" t="n">
        <f aca="false">前提!$B$13</f>
        <v>133</v>
      </c>
      <c r="F8" s="22" t="n">
        <f aca="false">E8*前提!$B$12</f>
        <v>19950000</v>
      </c>
      <c r="G8" s="22" t="n">
        <f aca="false">C8+E8</f>
        <v>133</v>
      </c>
      <c r="H8" s="21" t="n">
        <f aca="false">IF($G$14=0,0,G8/$G$14)</f>
        <v>0.0443333333333333</v>
      </c>
      <c r="I8" s="22" t="n">
        <f aca="false">G8</f>
        <v>133</v>
      </c>
      <c r="J8" s="21" t="n">
        <f aca="false">IF($I$14=0,0,I8/$I$14)</f>
        <v>0.0403030303030303</v>
      </c>
      <c r="K8" s="22" t="n">
        <v>0</v>
      </c>
      <c r="L8" s="22" t="n">
        <f aca="false">I8+K8</f>
        <v>133</v>
      </c>
      <c r="M8" s="21" t="n">
        <f aca="false">IF($L$14=0,0,L8/$L$14)</f>
        <v>0.0403030303030303</v>
      </c>
    </row>
    <row r="9" customFormat="false" ht="15" hidden="false" customHeight="false" outlineLevel="0" collapsed="false">
      <c r="A9" s="18" t="n">
        <v>4</v>
      </c>
      <c r="B9" s="19" t="s">
        <v>60</v>
      </c>
      <c r="C9" s="22" t="n">
        <v>0</v>
      </c>
      <c r="D9" s="21" t="n">
        <f aca="false">IF($C$14=0,0,C9/$C$14)</f>
        <v>0</v>
      </c>
      <c r="E9" s="20" t="n">
        <f aca="false">前提!$B$14</f>
        <v>267</v>
      </c>
      <c r="F9" s="22" t="n">
        <f aca="false">E9*前提!$B$12</f>
        <v>40050000</v>
      </c>
      <c r="G9" s="22" t="n">
        <f aca="false">C9+E9</f>
        <v>267</v>
      </c>
      <c r="H9" s="21" t="n">
        <f aca="false">IF($G$14=0,0,G9/$G$14)</f>
        <v>0.089</v>
      </c>
      <c r="I9" s="22" t="n">
        <f aca="false">G9</f>
        <v>267</v>
      </c>
      <c r="J9" s="21" t="n">
        <f aca="false">IF($I$14=0,0,I9/$I$14)</f>
        <v>0.0809090909090909</v>
      </c>
      <c r="K9" s="22" t="n">
        <v>0</v>
      </c>
      <c r="L9" s="22" t="n">
        <f aca="false">I9+K9</f>
        <v>267</v>
      </c>
      <c r="M9" s="21" t="n">
        <f aca="false">IF($L$14=0,0,L9/$L$14)</f>
        <v>0.0809090909090909</v>
      </c>
    </row>
    <row r="10" customFormat="false" ht="15" hidden="false" customHeight="false" outlineLevel="0" collapsed="false">
      <c r="A10" s="18" t="n">
        <v>5</v>
      </c>
      <c r="B10" s="19" t="s">
        <v>61</v>
      </c>
      <c r="C10" s="22" t="n">
        <v>0</v>
      </c>
      <c r="D10" s="21" t="n">
        <f aca="false">IF($C$14=0,0,C10/$C$14)</f>
        <v>0</v>
      </c>
      <c r="E10" s="20" t="n">
        <f aca="false">前提!$B$15</f>
        <v>400</v>
      </c>
      <c r="F10" s="22" t="n">
        <f aca="false">E10*前提!$B$12</f>
        <v>60000000</v>
      </c>
      <c r="G10" s="22" t="n">
        <f aca="false">C10+E10</f>
        <v>400</v>
      </c>
      <c r="H10" s="21" t="n">
        <f aca="false">IF($G$14=0,0,G10/$G$14)</f>
        <v>0.133333333333333</v>
      </c>
      <c r="I10" s="22" t="n">
        <f aca="false">G10</f>
        <v>400</v>
      </c>
      <c r="J10" s="21" t="n">
        <f aca="false">IF($I$14=0,0,I10/$I$14)</f>
        <v>0.121212121212121</v>
      </c>
      <c r="K10" s="22" t="n">
        <v>0</v>
      </c>
      <c r="L10" s="22" t="n">
        <f aca="false">I10+K10</f>
        <v>400</v>
      </c>
      <c r="M10" s="21" t="n">
        <f aca="false">IF($L$14=0,0,L10/$L$14)</f>
        <v>0.121212121212121</v>
      </c>
    </row>
    <row r="11" customFormat="false" ht="15" hidden="false" customHeight="false" outlineLevel="0" collapsed="false">
      <c r="A11" s="18" t="n">
        <v>6</v>
      </c>
      <c r="B11" s="19" t="s">
        <v>62</v>
      </c>
      <c r="C11" s="22" t="n">
        <v>0</v>
      </c>
      <c r="D11" s="21" t="n">
        <f aca="false">IF($C$14=0,0,C11/$C$14)</f>
        <v>0</v>
      </c>
      <c r="E11" s="20" t="n">
        <f aca="false">前提!$B$16</f>
        <v>200</v>
      </c>
      <c r="F11" s="22" t="n">
        <f aca="false">E11*前提!$B$12</f>
        <v>30000000</v>
      </c>
      <c r="G11" s="22" t="n">
        <f aca="false">C11+E11</f>
        <v>200</v>
      </c>
      <c r="H11" s="21" t="n">
        <f aca="false">IF($G$14=0,0,G11/$G$14)</f>
        <v>0.0666666666666667</v>
      </c>
      <c r="I11" s="22" t="n">
        <f aca="false">G11</f>
        <v>200</v>
      </c>
      <c r="J11" s="21" t="n">
        <f aca="false">IF($I$14=0,0,I11/$I$14)</f>
        <v>0.0606060606060606</v>
      </c>
      <c r="K11" s="22" t="n">
        <v>0</v>
      </c>
      <c r="L11" s="22" t="n">
        <f aca="false">I11+K11</f>
        <v>200</v>
      </c>
      <c r="M11" s="21" t="n">
        <f aca="false">IF($L$14=0,0,L11/$L$14)</f>
        <v>0.0606060606060606</v>
      </c>
    </row>
    <row r="12" customFormat="false" ht="15" hidden="false" customHeight="false" outlineLevel="0" collapsed="false">
      <c r="B12" s="23" t="s">
        <v>63</v>
      </c>
      <c r="C12" s="24" t="n">
        <f aca="false">SUM(C8:C11)</f>
        <v>0</v>
      </c>
      <c r="D12" s="25" t="n">
        <f aca="false">IF($C$14=0,0,C12/$C$14)</f>
        <v>0</v>
      </c>
      <c r="E12" s="24" t="n">
        <f aca="false">SUM(E8:E11)</f>
        <v>1000</v>
      </c>
      <c r="F12" s="24" t="n">
        <f aca="false">E12*前提!$B$12</f>
        <v>150000000</v>
      </c>
      <c r="G12" s="24" t="n">
        <f aca="false">C12+E12</f>
        <v>1000</v>
      </c>
      <c r="H12" s="25" t="n">
        <f aca="false">IF($G$14=0,0,G12/$G$14)</f>
        <v>0.333333333333333</v>
      </c>
      <c r="I12" s="24" t="n">
        <f aca="false">SUM(I8:I11)</f>
        <v>1000</v>
      </c>
      <c r="J12" s="25" t="n">
        <f aca="false">IF($I$14=0,0,I12/$I$14)</f>
        <v>0.303030303030303</v>
      </c>
      <c r="K12" s="24" t="n">
        <f aca="false">前提!$B$25</f>
        <v>0</v>
      </c>
      <c r="L12" s="24" t="n">
        <f aca="false">I12+K12</f>
        <v>1000</v>
      </c>
      <c r="M12" s="25" t="n">
        <f aca="false">IF($L$14=0,0,L12/$L$14)</f>
        <v>0.303030303030303</v>
      </c>
    </row>
    <row r="13" customFormat="false" ht="15" hidden="false" customHeight="false" outlineLevel="0" collapsed="false">
      <c r="B13" s="19" t="s">
        <v>64</v>
      </c>
      <c r="C13" s="22" t="n">
        <v>0</v>
      </c>
      <c r="D13" s="21" t="n">
        <f aca="false">IF($C$14=0,0,C13/$C$14)</f>
        <v>0</v>
      </c>
      <c r="E13" s="22" t="n">
        <v>0</v>
      </c>
      <c r="F13" s="22" t="n">
        <f aca="false">E13*前提!$B$12</f>
        <v>0</v>
      </c>
      <c r="G13" s="22" t="n">
        <f aca="false">C13+E13</f>
        <v>0</v>
      </c>
      <c r="H13" s="21" t="n">
        <f aca="false">IF($G$14=0,0,G13/$G$14)</f>
        <v>0</v>
      </c>
      <c r="I13" s="22" t="n">
        <f aca="false">前提!$B$22</f>
        <v>300</v>
      </c>
      <c r="J13" s="21" t="n">
        <f aca="false">IF($I$14=0,0,I13/$I$14)</f>
        <v>0.0909090909090909</v>
      </c>
      <c r="K13" s="22" t="n">
        <v>0</v>
      </c>
      <c r="L13" s="22" t="n">
        <f aca="false">I13+K13</f>
        <v>300</v>
      </c>
      <c r="M13" s="21" t="n">
        <f aca="false">IF($L$14=0,0,L13/$L$14)</f>
        <v>0.0909090909090909</v>
      </c>
    </row>
    <row r="14" customFormat="false" ht="15" hidden="false" customHeight="false" outlineLevel="0" collapsed="false">
      <c r="B14" s="23" t="s">
        <v>65</v>
      </c>
      <c r="C14" s="24" t="n">
        <f aca="false">C7+C12</f>
        <v>2000</v>
      </c>
      <c r="D14" s="25" t="n">
        <f aca="false">IF($C$14=0,0,C14/$C$14)</f>
        <v>1</v>
      </c>
      <c r="E14" s="24" t="n">
        <f aca="false">E7+E12</f>
        <v>1000</v>
      </c>
      <c r="F14" s="24" t="n">
        <f aca="false">E14*前提!$B$12</f>
        <v>150000000</v>
      </c>
      <c r="G14" s="24" t="n">
        <f aca="false">C14+E14</f>
        <v>3000</v>
      </c>
      <c r="H14" s="25" t="n">
        <f aca="false">IF($G$14=0,0,G14/$G$14)</f>
        <v>1</v>
      </c>
      <c r="I14" s="24" t="n">
        <f aca="false">I7+I12+I13</f>
        <v>3300</v>
      </c>
      <c r="J14" s="25" t="n">
        <f aca="false">IF($I$14=0,0,I14/$I$14)</f>
        <v>1</v>
      </c>
      <c r="K14" s="24" t="n">
        <f aca="false">K7+K12</f>
        <v>0</v>
      </c>
      <c r="L14" s="24" t="n">
        <f aca="false">I14+K14</f>
        <v>3300</v>
      </c>
      <c r="M14" s="25" t="n">
        <f aca="false">IF($L$14=0,0,L14/$L$14)</f>
        <v>1</v>
      </c>
    </row>
    <row r="16" customFormat="false" ht="15" hidden="false" customHeight="false" outlineLevel="0" collapsed="false">
      <c r="B16" s="28" t="s">
        <v>66</v>
      </c>
      <c r="C16" s="19"/>
      <c r="D16" s="19"/>
      <c r="E16" s="7" t="n">
        <f aca="false">前提!$B$12</f>
        <v>150000</v>
      </c>
      <c r="F16" s="7"/>
      <c r="G16" s="19"/>
      <c r="H16" s="19"/>
      <c r="I16" s="19"/>
      <c r="J16" s="19"/>
      <c r="K16" s="7" t="n">
        <f aca="false">前提!$B$26</f>
        <v>0</v>
      </c>
      <c r="L16" s="7"/>
      <c r="M16" s="19"/>
    </row>
    <row r="17" customFormat="false" ht="15" hidden="false" customHeight="false" outlineLevel="0" collapsed="false">
      <c r="B17" s="23" t="s">
        <v>67</v>
      </c>
      <c r="C17" s="19"/>
      <c r="D17" s="19"/>
      <c r="E17" s="7" t="n">
        <f aca="false">F14</f>
        <v>150000000</v>
      </c>
      <c r="F17" s="7"/>
      <c r="G17" s="19"/>
      <c r="H17" s="19"/>
      <c r="I17" s="19"/>
      <c r="J17" s="19"/>
      <c r="K17" s="7" t="n">
        <f aca="false">K14*前提!$B$26</f>
        <v>0</v>
      </c>
      <c r="L17" s="7"/>
      <c r="M17" s="19"/>
    </row>
    <row r="18" customFormat="false" ht="15" hidden="false" customHeight="false" outlineLevel="0" collapsed="false">
      <c r="B18" s="28" t="s">
        <v>68</v>
      </c>
      <c r="C18" s="19"/>
      <c r="D18" s="19"/>
      <c r="E18" s="7" t="n">
        <f aca="false">C14*前提!$B$12</f>
        <v>300000000</v>
      </c>
      <c r="F18" s="7"/>
      <c r="G18" s="19"/>
      <c r="H18" s="19"/>
      <c r="I18" s="19"/>
      <c r="J18" s="19"/>
      <c r="K18" s="7" t="n">
        <f aca="false">I14*前提!$B$26</f>
        <v>0</v>
      </c>
      <c r="L18" s="7"/>
      <c r="M18" s="19"/>
    </row>
    <row r="19" customFormat="false" ht="15" hidden="false" customHeight="false" outlineLevel="0" collapsed="false">
      <c r="B19" s="28" t="s">
        <v>69</v>
      </c>
      <c r="C19" s="19"/>
      <c r="D19" s="19"/>
      <c r="E19" s="7" t="n">
        <f aca="false">G14*前提!$B$12</f>
        <v>450000000</v>
      </c>
      <c r="F19" s="7"/>
      <c r="G19" s="19"/>
      <c r="H19" s="19"/>
      <c r="I19" s="19"/>
      <c r="J19" s="19"/>
      <c r="K19" s="7" t="n">
        <f aca="false">L14*前提!$B$26</f>
        <v>0</v>
      </c>
      <c r="L19" s="7"/>
      <c r="M19" s="19"/>
    </row>
    <row r="20" customFormat="false" ht="15" hidden="false" customHeight="false" outlineLevel="0" collapsed="false">
      <c r="B20" s="23" t="s">
        <v>70</v>
      </c>
      <c r="C20" s="22" t="n">
        <f aca="false">前提!$B$7*1000</f>
        <v>10000000</v>
      </c>
      <c r="E20" s="29" t="n">
        <f aca="false">C20+F14*前提!$B$17</f>
        <v>85000000</v>
      </c>
      <c r="F20" s="29"/>
    </row>
    <row r="21" customFormat="false" ht="15" hidden="false" customHeight="false" outlineLevel="0" collapsed="false">
      <c r="B21" s="23" t="s">
        <v>71</v>
      </c>
      <c r="C21" s="22" t="n">
        <f aca="false">前提!$B$8*1000</f>
        <v>0</v>
      </c>
      <c r="E21" s="29" t="n">
        <f aca="false">C21+F14*(1-前提!$B$17)</f>
        <v>75000000</v>
      </c>
      <c r="F21" s="29"/>
    </row>
    <row r="23" customFormat="false" ht="15" hidden="false" customHeight="false" outlineLevel="0" collapsed="false">
      <c r="B23" s="30" t="s">
        <v>72</v>
      </c>
    </row>
    <row r="24" customFormat="false" ht="15" hidden="false" customHeight="false" outlineLevel="0" collapsed="false">
      <c r="B24" s="9" t="s">
        <v>73</v>
      </c>
    </row>
    <row r="25" customFormat="false" ht="15" hidden="false" customHeight="false" outlineLevel="0" collapsed="false">
      <c r="B25" s="9" t="s">
        <v>74</v>
      </c>
    </row>
    <row r="26" customFormat="false" ht="15" hidden="false" customHeight="false" outlineLevel="0" collapsed="false">
      <c r="B26" s="9" t="s">
        <v>75</v>
      </c>
    </row>
    <row r="27" customFormat="false" ht="15" hidden="false" customHeight="false" outlineLevel="0" collapsed="false">
      <c r="B27" s="9" t="s">
        <v>76</v>
      </c>
    </row>
    <row r="28" customFormat="false" ht="15" hidden="false" customHeight="false" outlineLevel="0" collapsed="false">
      <c r="B28" s="2" t="s">
        <v>77</v>
      </c>
    </row>
    <row r="29" customFormat="false" ht="15" hidden="false" customHeight="false" outlineLevel="0" collapsed="false">
      <c r="B29" s="2" t="s">
        <v>78</v>
      </c>
    </row>
  </sheetData>
  <mergeCells count="14">
    <mergeCell ref="C3:D3"/>
    <mergeCell ref="E3:H3"/>
    <mergeCell ref="I3:J3"/>
    <mergeCell ref="K3:M3"/>
    <mergeCell ref="E16:F16"/>
    <mergeCell ref="K16:L16"/>
    <mergeCell ref="E17:F17"/>
    <mergeCell ref="K17:L17"/>
    <mergeCell ref="E18:F18"/>
    <mergeCell ref="K18:L18"/>
    <mergeCell ref="E19:F19"/>
    <mergeCell ref="K19:L19"/>
    <mergeCell ref="E20:F20"/>
    <mergeCell ref="E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31" t="s">
        <v>81</v>
      </c>
      <c r="B3" s="31" t="s">
        <v>82</v>
      </c>
      <c r="C3" s="31" t="s">
        <v>83</v>
      </c>
      <c r="D3" s="31" t="s">
        <v>84</v>
      </c>
      <c r="E3" s="31" t="s">
        <v>85</v>
      </c>
      <c r="G3" s="31" t="s">
        <v>86</v>
      </c>
    </row>
    <row r="4" customFormat="false" ht="25.35" hidden="false" customHeight="false" outlineLevel="0" collapsed="false">
      <c r="A4" s="32" t="s">
        <v>87</v>
      </c>
      <c r="B4" s="33" t="n">
        <f aca="false">前提!$B$31</f>
        <v>20000000</v>
      </c>
      <c r="C4" s="33" t="n">
        <f aca="false">資本政策!F8</f>
        <v>19950000</v>
      </c>
      <c r="D4" s="34" t="n">
        <f aca="false">C4-B4</f>
        <v>-50000</v>
      </c>
      <c r="E4" s="31" t="str">
        <f aca="false">IF(ABS(D4)&lt;0.0000001,"OK","要修正")</f>
        <v>要修正</v>
      </c>
      <c r="G4" s="35" t="s">
        <v>88</v>
      </c>
    </row>
    <row r="5" customFormat="false" ht="15" hidden="false" customHeight="false" outlineLevel="0" collapsed="false">
      <c r="A5" s="32" t="s">
        <v>89</v>
      </c>
      <c r="B5" s="33" t="n">
        <f aca="false">前提!$B$33</f>
        <v>150000000</v>
      </c>
      <c r="C5" s="33" t="n">
        <f aca="false">資本政策!F14</f>
        <v>150000000</v>
      </c>
      <c r="D5" s="34" t="n">
        <f aca="false">C5-B5</f>
        <v>0</v>
      </c>
      <c r="E5" s="31" t="str">
        <f aca="false">IF(ABS(D5)&lt;0.0000001,"OK","要修正")</f>
        <v>OK</v>
      </c>
      <c r="G5" s="35" t="s">
        <v>90</v>
      </c>
    </row>
    <row r="6" customFormat="false" ht="15" hidden="false" customHeight="false" outlineLevel="0" collapsed="false">
      <c r="A6" s="36" t="s">
        <v>91</v>
      </c>
      <c r="B6" s="33" t="n">
        <f aca="false">前提!$B$32</f>
        <v>300000000</v>
      </c>
      <c r="C6" s="33" t="n">
        <f aca="false">資本政策!E18</f>
        <v>300000000</v>
      </c>
      <c r="D6" s="34" t="n">
        <f aca="false">C6-B6</f>
        <v>0</v>
      </c>
      <c r="E6" s="31" t="str">
        <f aca="false">IF(ABS(D6)&lt;0.0000001,"OK","要修正")</f>
        <v>OK</v>
      </c>
      <c r="G6" s="37" t="s">
        <v>92</v>
      </c>
    </row>
    <row r="7" customFormat="false" ht="25.35" hidden="false" customHeight="false" outlineLevel="0" collapsed="false">
      <c r="A7" s="32" t="s">
        <v>93</v>
      </c>
      <c r="B7" s="38" t="n">
        <f aca="false">前提!$B$29</f>
        <v>0.66</v>
      </c>
      <c r="C7" s="38" t="n">
        <f aca="false">資本政策!H7</f>
        <v>0.666666666666667</v>
      </c>
      <c r="D7" s="39" t="n">
        <f aca="false">C7-B7</f>
        <v>0.0066666666666666</v>
      </c>
      <c r="E7" s="31" t="str">
        <f aca="false">IF(C7&gt;=B7-0.0000001,"OK","要修正")</f>
        <v>OK</v>
      </c>
      <c r="G7" s="37" t="s">
        <v>94</v>
      </c>
    </row>
    <row r="8" customFormat="false" ht="25.35" hidden="false" customHeight="false" outlineLevel="0" collapsed="false">
      <c r="A8" s="32" t="s">
        <v>95</v>
      </c>
      <c r="B8" s="38" t="n">
        <f aca="false">前提!$B$29</f>
        <v>0.66</v>
      </c>
      <c r="C8" s="38" t="n">
        <f aca="false">資本政策!J7</f>
        <v>0.606060606060606</v>
      </c>
      <c r="D8" s="39" t="n">
        <f aca="false">C8-B8</f>
        <v>-0.053939393939394</v>
      </c>
      <c r="E8" s="31" t="str">
        <f aca="false">IF(C8&gt;=B8-0.0000001,"OK","要修正")</f>
        <v>要修正</v>
      </c>
      <c r="G8" s="35" t="s">
        <v>96</v>
      </c>
    </row>
    <row r="9" customFormat="false" ht="25.35" hidden="false" customHeight="false" outlineLevel="0" collapsed="false">
      <c r="A9" s="32" t="s">
        <v>97</v>
      </c>
      <c r="B9" s="38" t="n">
        <f aca="false">前提!$B$30</f>
        <v>0.34</v>
      </c>
      <c r="C9" s="38" t="n">
        <f aca="false">資本政策!H12</f>
        <v>0.333333333333333</v>
      </c>
      <c r="D9" s="39" t="n">
        <f aca="false">C9-B9</f>
        <v>-0.00666666666666671</v>
      </c>
      <c r="E9" s="31" t="str">
        <f aca="false">IF(ABS(D9)&lt;0.0000001,"OK","要修正")</f>
        <v>要修正</v>
      </c>
      <c r="G9" s="37" t="s">
        <v>98</v>
      </c>
    </row>
    <row r="11" customFormat="false" ht="15" hidden="false" customHeight="false" outlineLevel="0" collapsed="false">
      <c r="A11" s="40" t="s">
        <v>99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12" t="s">
        <v>100</v>
      </c>
    </row>
    <row r="13" customFormat="false" ht="15" hidden="false" customHeight="false" outlineLevel="0" collapsed="false">
      <c r="A13" s="32" t="s">
        <v>101</v>
      </c>
      <c r="B13" s="34" t="n">
        <f aca="false">資本政策!G7</f>
        <v>2000</v>
      </c>
      <c r="G13" s="2"/>
    </row>
    <row r="14" customFormat="false" ht="15" hidden="false" customHeight="false" outlineLevel="0" collapsed="false">
      <c r="A14" s="36" t="s">
        <v>102</v>
      </c>
      <c r="B14" s="34" t="n">
        <f aca="false">資本政策!G7/前提!$B$29</f>
        <v>3030.30303030303</v>
      </c>
      <c r="G14" s="2" t="s">
        <v>103</v>
      </c>
    </row>
    <row r="15" customFormat="false" ht="15" hidden="false" customHeight="false" outlineLevel="0" collapsed="false">
      <c r="A15" s="32" t="s">
        <v>104</v>
      </c>
      <c r="B15" s="34" t="n">
        <f aca="false">資本政策!G14</f>
        <v>3000</v>
      </c>
      <c r="G15" s="2"/>
    </row>
    <row r="16" customFormat="false" ht="15" hidden="false" customHeight="false" outlineLevel="0" collapsed="false">
      <c r="A16" s="41" t="s">
        <v>105</v>
      </c>
      <c r="B16" s="42" t="n">
        <f aca="false">B14-B15</f>
        <v>30.30303030303</v>
      </c>
      <c r="G16" s="2" t="s">
        <v>106</v>
      </c>
    </row>
    <row r="17" customFormat="false" ht="15" hidden="false" customHeight="false" outlineLevel="0" collapsed="false">
      <c r="A17" s="43" t="s">
        <v>107</v>
      </c>
      <c r="B17" s="42" t="n">
        <f aca="false">B16*前提!$B$12</f>
        <v>4545454.5454545</v>
      </c>
      <c r="G17" s="2" t="s">
        <v>108</v>
      </c>
    </row>
    <row r="19" customFormat="false" ht="15" hidden="false" customHeight="false" outlineLevel="0" collapsed="false">
      <c r="A19" s="30" t="s">
        <v>109</v>
      </c>
    </row>
    <row r="20" customFormat="false" ht="15" hidden="false" customHeight="false" outlineLevel="0" collapsed="false">
      <c r="A20" s="2" t="s">
        <v>110</v>
      </c>
    </row>
    <row r="21" customFormat="false" ht="15" hidden="false" customHeight="false" outlineLevel="0" collapsed="false">
      <c r="A21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4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113</v>
      </c>
    </row>
    <row r="3" customFormat="false" ht="15" hidden="false" customHeight="false" outlineLevel="0" collapsed="false">
      <c r="A3" s="16" t="s">
        <v>114</v>
      </c>
      <c r="B3" s="15" t="s">
        <v>115</v>
      </c>
      <c r="C3" s="15" t="s">
        <v>116</v>
      </c>
      <c r="D3" s="15" t="s">
        <v>117</v>
      </c>
      <c r="E3" s="15" t="s">
        <v>118</v>
      </c>
      <c r="F3" s="15" t="s">
        <v>119</v>
      </c>
      <c r="G3" s="15" t="s">
        <v>120</v>
      </c>
    </row>
    <row r="4" customFormat="false" ht="15" hidden="false" customHeight="false" outlineLevel="0" collapsed="false">
      <c r="A4" s="19" t="s">
        <v>121</v>
      </c>
      <c r="B4" s="44" t="n">
        <v>37.4</v>
      </c>
      <c r="C4" s="44" t="n">
        <v>103.5</v>
      </c>
      <c r="D4" s="44" t="n">
        <v>233.7</v>
      </c>
      <c r="E4" s="44" t="n">
        <v>377.9</v>
      </c>
      <c r="F4" s="44" t="n">
        <v>523.2</v>
      </c>
      <c r="G4" s="45" t="n">
        <f aca="false">SUM(B4:F4)</f>
        <v>1275.7</v>
      </c>
    </row>
    <row r="5" customFormat="false" ht="15" hidden="false" customHeight="false" outlineLevel="0" collapsed="false">
      <c r="A5" s="19" t="s">
        <v>122</v>
      </c>
      <c r="B5" s="44" t="n">
        <v>-123.7</v>
      </c>
      <c r="C5" s="44" t="n">
        <v>-251.3</v>
      </c>
      <c r="D5" s="44" t="n">
        <v>-272.5</v>
      </c>
      <c r="E5" s="44" t="n">
        <v>-303.7</v>
      </c>
      <c r="F5" s="44" t="n">
        <v>-334.9</v>
      </c>
      <c r="G5" s="45" t="n">
        <f aca="false">SUM(B5:F5)</f>
        <v>-1286.1</v>
      </c>
    </row>
    <row r="6" customFormat="false" ht="15" hidden="false" customHeight="false" outlineLevel="0" collapsed="false">
      <c r="A6" s="19" t="s">
        <v>123</v>
      </c>
      <c r="B6" s="44" t="n">
        <v>16.6</v>
      </c>
      <c r="C6" s="44" t="n">
        <v>56.7</v>
      </c>
      <c r="D6" s="44" t="n">
        <v>145.9</v>
      </c>
      <c r="E6" s="44" t="n">
        <v>249.6</v>
      </c>
      <c r="F6" s="44" t="n">
        <v>354.2</v>
      </c>
      <c r="G6" s="45" t="n">
        <f aca="false">SUM(B6:F6)</f>
        <v>823</v>
      </c>
    </row>
    <row r="7" customFormat="false" ht="15" hidden="false" customHeight="false" outlineLevel="0" collapsed="false">
      <c r="A7" s="19" t="s">
        <v>124</v>
      </c>
      <c r="B7" s="10" t="n">
        <v>0.3</v>
      </c>
      <c r="I7" s="2" t="s">
        <v>125</v>
      </c>
    </row>
    <row r="8" customFormat="false" ht="15" hidden="false" customHeight="false" outlineLevel="0" collapsed="false">
      <c r="A8" s="19" t="s">
        <v>126</v>
      </c>
      <c r="B8" s="46" t="n">
        <f aca="false">-MAX(0,B6)*$B$7</f>
        <v>-4.98</v>
      </c>
      <c r="C8" s="46" t="n">
        <f aca="false">-MAX(0,C6)*$B$7</f>
        <v>-17.01</v>
      </c>
      <c r="D8" s="46" t="n">
        <f aca="false">-MAX(0,D6)*$B$7</f>
        <v>-43.77</v>
      </c>
      <c r="E8" s="46" t="n">
        <f aca="false">-MAX(0,E6)*$B$7</f>
        <v>-74.88</v>
      </c>
      <c r="F8" s="46" t="n">
        <f aca="false">-MAX(0,F6)*$B$7</f>
        <v>-106.26</v>
      </c>
      <c r="G8" s="45" t="n">
        <f aca="false">SUM(B8:F8)</f>
        <v>-246.9</v>
      </c>
    </row>
    <row r="9" customFormat="false" ht="15" hidden="false" customHeight="false" outlineLevel="0" collapsed="false">
      <c r="A9" s="23" t="s">
        <v>127</v>
      </c>
      <c r="B9" s="45" t="n">
        <f aca="false">B4+B5+B8</f>
        <v>-91.28</v>
      </c>
      <c r="C9" s="45" t="n">
        <f aca="false">C4+C5+C8</f>
        <v>-164.81</v>
      </c>
      <c r="D9" s="45" t="n">
        <f aca="false">D4+D5+D8</f>
        <v>-82.57</v>
      </c>
      <c r="E9" s="45" t="n">
        <f aca="false">E4+E5+E8</f>
        <v>-0.680000000000007</v>
      </c>
      <c r="F9" s="45" t="n">
        <f aca="false">F4+F5+F8</f>
        <v>82.0400000000001</v>
      </c>
      <c r="G9" s="45" t="n">
        <f aca="false">SUM(B9:F9)</f>
        <v>-257.3</v>
      </c>
    </row>
    <row r="10" customFormat="false" ht="15" hidden="false" customHeight="false" outlineLevel="0" collapsed="false">
      <c r="A10" s="23" t="s">
        <v>128</v>
      </c>
      <c r="B10" s="47" t="n">
        <f aca="false">B9</f>
        <v>-91.28</v>
      </c>
      <c r="C10" s="47" t="n">
        <f aca="false">B10+C9</f>
        <v>-256.09</v>
      </c>
      <c r="D10" s="47" t="n">
        <f aca="false">C10+D9</f>
        <v>-338.66</v>
      </c>
      <c r="E10" s="47" t="n">
        <f aca="false">D10+E9</f>
        <v>-339.34</v>
      </c>
      <c r="F10" s="47" t="n">
        <f aca="false">E10+F9</f>
        <v>-257.3</v>
      </c>
    </row>
    <row r="12" customFormat="false" ht="15" hidden="false" customHeight="false" outlineLevel="0" collapsed="false">
      <c r="A12" s="3" t="s">
        <v>129</v>
      </c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19" t="s">
        <v>130</v>
      </c>
      <c r="B13" s="48" t="n">
        <f aca="false">-MIN(B10:F10)</f>
        <v>339.34</v>
      </c>
      <c r="I13" s="2" t="s">
        <v>131</v>
      </c>
    </row>
    <row r="14" customFormat="false" ht="15" hidden="false" customHeight="false" outlineLevel="0" collapsed="false">
      <c r="A14" s="19" t="s">
        <v>132</v>
      </c>
      <c r="B14" s="49" t="n">
        <v>200</v>
      </c>
      <c r="I14" s="2" t="s">
        <v>133</v>
      </c>
    </row>
    <row r="15" customFormat="false" ht="15" hidden="false" customHeight="false" outlineLevel="0" collapsed="false">
      <c r="A15" s="19" t="s">
        <v>134</v>
      </c>
      <c r="B15" s="48" t="n">
        <f aca="false">資本政策!F14/1000000</f>
        <v>150</v>
      </c>
      <c r="I15" s="2" t="s">
        <v>135</v>
      </c>
    </row>
    <row r="16" customFormat="false" ht="15" hidden="false" customHeight="false" outlineLevel="0" collapsed="false">
      <c r="A16" s="23" t="s">
        <v>136</v>
      </c>
      <c r="B16" s="50" t="n">
        <f aca="false">B14+B15</f>
        <v>350</v>
      </c>
      <c r="I16" s="2"/>
    </row>
    <row r="17" customFormat="false" ht="15" hidden="false" customHeight="false" outlineLevel="0" collapsed="false">
      <c r="A17" s="23" t="s">
        <v>137</v>
      </c>
      <c r="B17" s="51" t="n">
        <f aca="false">B16-B13</f>
        <v>10.6599999999999</v>
      </c>
      <c r="I17" s="2" t="s">
        <v>138</v>
      </c>
    </row>
    <row r="19" customFormat="false" ht="15" hidden="false" customHeight="false" outlineLevel="0" collapsed="false">
      <c r="A19" s="30" t="s">
        <v>139</v>
      </c>
    </row>
    <row r="20" customFormat="false" ht="15" hidden="false" customHeight="false" outlineLevel="0" collapsed="false">
      <c r="A20" s="2" t="s">
        <v>140</v>
      </c>
    </row>
    <row r="21" customFormat="false" ht="15" hidden="false" customHeight="false" outlineLevel="0" collapsed="false">
      <c r="A21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2026-09-03T16:14:14Z</dcterms:created>
  <dc:creator>openpyxl</dc:creator>
  <dc:description/>
  <dc:language>en-US</dc:language>
  <cp:lastModifiedBy/>
  <dcterms:modified xsi:type="dcterms:W3CDTF">2026-09-03T16:14:14Z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