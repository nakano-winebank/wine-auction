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9" sheetId="1" r:id="rId4"/>
    <sheet state="visible" name="202609 （内藤様×107%弱)" sheetId="2" r:id="rId5"/>
  </sheets>
  <definedNames/>
  <calcPr/>
  <extLst>
    <ext uri="GoogleSheetsCustomDataVersion2">
      <go:sheetsCustomData xmlns:go="http://customooxmlschemas.google.com/" r:id="rId6" roundtripDataChecksum="z/GtbabnQm0CNI0Xrlb72xRdmplAC5M+kIS+7jo95pg="/>
    </ext>
  </extLst>
</workbook>
</file>

<file path=xl/sharedStrings.xml><?xml version="1.0" encoding="utf-8"?>
<sst xmlns="http://schemas.openxmlformats.org/spreadsheetml/2006/main" count="189" uniqueCount="51">
  <si>
    <t>資本政策案</t>
  </si>
  <si>
    <t>設立時の発行価額　＠50,000</t>
  </si>
  <si>
    <t>2026年9月末日現在</t>
  </si>
  <si>
    <t>2026年12月末</t>
  </si>
  <si>
    <t>2027年</t>
  </si>
  <si>
    <t>2028年</t>
  </si>
  <si>
    <t>2029年</t>
  </si>
  <si>
    <t>現在の株主構成</t>
  </si>
  <si>
    <t>株式譲渡</t>
  </si>
  <si>
    <t>割当後</t>
  </si>
  <si>
    <t>第三者割当</t>
  </si>
  <si>
    <t>SO付与</t>
  </si>
  <si>
    <t>(時価)</t>
  </si>
  <si>
    <t>発行済株式</t>
  </si>
  <si>
    <t>潜在株式考慮後</t>
  </si>
  <si>
    <t>割当</t>
  </si>
  <si>
    <t>付与</t>
  </si>
  <si>
    <t>株主構成</t>
  </si>
  <si>
    <t>株数</t>
  </si>
  <si>
    <t>比率</t>
  </si>
  <si>
    <t>合同会社WineBank P4</t>
  </si>
  <si>
    <t>合同会社WineBank P3（アピシウス株主）</t>
  </si>
  <si>
    <t>小計１　（1～2）</t>
  </si>
  <si>
    <t>社外役員</t>
  </si>
  <si>
    <t>執行役員・従業員・その他関係者等</t>
  </si>
  <si>
    <t>顧問</t>
  </si>
  <si>
    <t>小計２　（1～11）</t>
  </si>
  <si>
    <t>投資家様(2000万）</t>
  </si>
  <si>
    <t>投資家様(4000万）</t>
  </si>
  <si>
    <t>投資家様(5000万）</t>
  </si>
  <si>
    <t>投資家様(1000万）</t>
  </si>
  <si>
    <t>投資家様(3000万）</t>
  </si>
  <si>
    <t>小計２　（1～14）</t>
  </si>
  <si>
    <t>合計　（1～16）</t>
  </si>
  <si>
    <t>発行（公募・売出）、行使、移動価額＠(円）</t>
  </si>
  <si>
    <t>プレ</t>
  </si>
  <si>
    <t>ポスト</t>
  </si>
  <si>
    <t>ポスト（SO込）</t>
  </si>
  <si>
    <t>プレ(SO込）</t>
  </si>
  <si>
    <t>資金調達総額（千円）</t>
  </si>
  <si>
    <t>資本金(千円）</t>
  </si>
  <si>
    <t>調達額</t>
  </si>
  <si>
    <t>資本準備金（千円）</t>
  </si>
  <si>
    <t>備考</t>
  </si>
  <si>
    <t>Post2億</t>
  </si>
  <si>
    <t>第三者割当増資</t>
  </si>
  <si>
    <t>ストックオプションの発行（潜在株１０％以内）</t>
  </si>
  <si>
    <t>エクイティ＆デッドで2億調達</t>
  </si>
  <si>
    <t>Pre3億 Post4.5億にて第三者割当増資
エンジェル税制対応</t>
  </si>
  <si>
    <t>2026年10月末日現在</t>
  </si>
  <si>
    <t>Pre3.2億 Post4.8億にて第三者割当増資
エンジェル税制対応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</si>
</sst>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¥&quot;#,##0;&quot;¥&quot;\-#,##0"/>
    <numFmt numFmtId="165" formatCode="0.0%"/>
  </numFmts>
  <fonts count="14">
    <font>
      <sz val="11.0"/>
      <color rgb="FF000000"/>
      <name val="MS PGothic"/>
      <scheme val="minor"/>
    </font>
    <font>
      <sz val="10.0"/>
      <color theme="1"/>
      <name val="Meiryo"/>
    </font>
    <font>
      <b/>
      <u/>
      <sz val="20.0"/>
      <color theme="1"/>
      <name val="Meiryo"/>
    </font>
    <font>
      <b/>
      <sz val="10.0"/>
      <color theme="1"/>
      <name val="Meiryo"/>
    </font>
    <font>
      <sz val="8.0"/>
      <color rgb="FF000000"/>
      <name val="Meiryo"/>
    </font>
    <font/>
    <font>
      <color theme="1"/>
      <name val="MS PGothic"/>
    </font>
    <font>
      <sz val="11.0"/>
      <color rgb="FF000000"/>
      <name val="MS PGothic"/>
    </font>
    <font>
      <b/>
      <sz val="8.0"/>
      <color theme="1"/>
      <name val="Meiryo"/>
    </font>
    <font>
      <b/>
      <sz val="8.0"/>
      <color theme="0"/>
      <name val="Meiryo"/>
    </font>
    <font>
      <sz val="8.0"/>
      <color theme="1"/>
      <name val="Meiryo"/>
    </font>
    <font>
      <u/>
      <sz val="10.0"/>
      <color theme="1"/>
      <name val="Meiryo"/>
    </font>
    <font>
      <u/>
      <sz val="10.0"/>
      <color theme="1"/>
      <name val="Meiryo"/>
    </font>
    <font>
      <u/>
      <sz val="10.0"/>
      <color theme="1"/>
      <name val="Meiryo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1"/>
        <bgColor theme="1"/>
      </patternFill>
    </fill>
  </fills>
  <borders count="33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center"/>
    </xf>
    <xf borderId="0" fillId="0" fontId="4" numFmtId="164" xfId="0" applyAlignment="1" applyFont="1" applyNumberFormat="1">
      <alignment horizontal="center" vertical="bottom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bottom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left" shrinkToFit="0" vertical="center" wrapText="1"/>
    </xf>
    <xf borderId="6" fillId="0" fontId="1" numFmtId="38" xfId="0" applyAlignment="1" applyBorder="1" applyFont="1" applyNumberFormat="1">
      <alignment vertical="bottom"/>
    </xf>
    <xf borderId="11" fillId="0" fontId="1" numFmtId="165" xfId="0" applyAlignment="1" applyBorder="1" applyFont="1" applyNumberFormat="1">
      <alignment vertical="center"/>
    </xf>
    <xf borderId="0" fillId="0" fontId="1" numFmtId="165" xfId="0" applyAlignment="1" applyFont="1" applyNumberFormat="1">
      <alignment vertical="center"/>
    </xf>
    <xf borderId="12" fillId="2" fontId="1" numFmtId="38" xfId="0" applyAlignment="1" applyBorder="1" applyFill="1" applyFont="1" applyNumberFormat="1">
      <alignment vertical="bottom"/>
    </xf>
    <xf borderId="13" fillId="2" fontId="1" numFmtId="0" xfId="0" applyAlignment="1" applyBorder="1" applyFill="1" applyFont="1">
      <alignment vertical="center"/>
    </xf>
    <xf borderId="14" fillId="2" fontId="1" numFmtId="0" xfId="0" applyAlignment="1" applyBorder="1" applyFill="1" applyFont="1">
      <alignment horizontal="left" vertical="center"/>
    </xf>
    <xf borderId="15" fillId="2" fontId="1" numFmtId="165" xfId="0" applyAlignment="1" applyBorder="1" applyFill="1" applyFont="1" applyNumberFormat="1">
      <alignment vertical="center"/>
    </xf>
    <xf borderId="13" fillId="2" fontId="1" numFmtId="165" xfId="0" applyAlignment="1" applyBorder="1" applyFill="1" applyFont="1" applyNumberFormat="1">
      <alignment vertical="center"/>
    </xf>
    <xf borderId="16" fillId="3" fontId="1" numFmtId="0" xfId="0" applyAlignment="1" applyBorder="1" applyFill="1" applyFont="1">
      <alignment vertical="center"/>
    </xf>
    <xf borderId="17" fillId="3" fontId="1" numFmtId="38" xfId="0" applyAlignment="1" applyBorder="1" applyFill="1" applyFont="1" applyNumberFormat="1">
      <alignment vertical="bottom"/>
    </xf>
    <xf borderId="18" fillId="3" fontId="1" numFmtId="165" xfId="0" applyAlignment="1" applyBorder="1" applyFill="1" applyFont="1" applyNumberFormat="1">
      <alignment vertical="center"/>
    </xf>
    <xf borderId="19" fillId="3" fontId="1" numFmtId="165" xfId="0" applyAlignment="1" applyBorder="1" applyFill="1" applyFont="1" applyNumberFormat="1">
      <alignment vertical="center"/>
    </xf>
    <xf borderId="0" fillId="4" fontId="1" numFmtId="0" xfId="0" applyAlignment="1" applyFill="1" applyFont="1">
      <alignment vertical="center"/>
    </xf>
    <xf borderId="5" fillId="4" fontId="1" numFmtId="0" xfId="0" applyAlignment="1" applyBorder="1" applyFill="1" applyFont="1">
      <alignment vertical="center"/>
    </xf>
    <xf borderId="6" fillId="4" fontId="1" numFmtId="38" xfId="0" applyAlignment="1" applyBorder="1" applyFill="1" applyFont="1" applyNumberFormat="1">
      <alignment vertical="bottom"/>
    </xf>
    <xf borderId="11" fillId="4" fontId="1" numFmtId="165" xfId="0" applyAlignment="1" applyBorder="1" applyFill="1" applyFont="1" applyNumberFormat="1">
      <alignment vertical="center"/>
    </xf>
    <xf borderId="0" fillId="4" fontId="1" numFmtId="165" xfId="0" applyAlignment="1" applyFill="1" applyFont="1" applyNumberFormat="1">
      <alignment vertical="center"/>
    </xf>
    <xf borderId="0" fillId="4" fontId="6" numFmtId="0" xfId="0" applyAlignment="1" applyFill="1" applyFont="1">
      <alignment vertical="center"/>
    </xf>
    <xf borderId="0" fillId="5" fontId="1" numFmtId="0" xfId="0" applyAlignment="1" applyFill="1" applyFont="1">
      <alignment vertical="center"/>
    </xf>
    <xf borderId="5" fillId="5" fontId="1" numFmtId="0" xfId="0" applyAlignment="1" applyBorder="1" applyFill="1" applyFont="1">
      <alignment vertical="center"/>
    </xf>
    <xf borderId="6" fillId="5" fontId="1" numFmtId="38" xfId="0" applyAlignment="1" applyBorder="1" applyFill="1" applyFont="1" applyNumberFormat="1">
      <alignment vertical="bottom"/>
    </xf>
    <xf borderId="11" fillId="5" fontId="1" numFmtId="165" xfId="0" applyAlignment="1" applyBorder="1" applyFill="1" applyFont="1" applyNumberFormat="1">
      <alignment vertical="center"/>
    </xf>
    <xf borderId="0" fillId="5" fontId="1" numFmtId="165" xfId="0" applyAlignment="1" applyFill="1" applyFont="1" applyNumberFormat="1">
      <alignment vertical="center"/>
    </xf>
    <xf borderId="0" fillId="5" fontId="6" numFmtId="0" xfId="0" applyAlignment="1" applyFill="1" applyFont="1">
      <alignment vertical="center"/>
    </xf>
    <xf borderId="14" fillId="2" fontId="1" numFmtId="0" xfId="0" applyAlignment="1" applyBorder="1" applyFill="1" applyFont="1">
      <alignment vertical="center"/>
    </xf>
    <xf borderId="13" fillId="2" fontId="7" numFmtId="0" xfId="0" applyAlignment="1" applyBorder="1" applyFill="1" applyFont="1">
      <alignment vertical="center"/>
    </xf>
    <xf borderId="0" fillId="0" fontId="1" numFmtId="38" xfId="0" applyAlignment="1" applyFont="1" applyNumberFormat="1">
      <alignment vertical="bottom"/>
    </xf>
    <xf borderId="20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bottom" wrapText="1"/>
    </xf>
    <xf borderId="21" fillId="0" fontId="1" numFmtId="38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vertical="center"/>
    </xf>
    <xf borderId="3" fillId="0" fontId="1" numFmtId="38" xfId="0" applyAlignment="1" applyBorder="1" applyFont="1" applyNumberFormat="1">
      <alignment vertical="bottom"/>
    </xf>
    <xf borderId="22" fillId="0" fontId="5" numFmtId="0" xfId="0" applyAlignment="1" applyBorder="1" applyFont="1">
      <alignment vertical="center"/>
    </xf>
    <xf borderId="23" fillId="0" fontId="5" numFmtId="0" xfId="0" applyAlignment="1" applyBorder="1" applyFont="1">
      <alignment vertical="center"/>
    </xf>
    <xf borderId="24" fillId="0" fontId="5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38" xfId="0" applyAlignment="1" applyFont="1" applyNumberFormat="1">
      <alignment horizontal="center" vertical="center"/>
    </xf>
    <xf borderId="13" fillId="6" fontId="9" numFmtId="0" xfId="0" applyAlignment="1" applyBorder="1" applyFill="1" applyFont="1">
      <alignment horizontal="center" vertical="center"/>
    </xf>
    <xf borderId="13" fillId="6" fontId="9" numFmtId="38" xfId="0" applyAlignment="1" applyBorder="1" applyFill="1" applyFont="1" applyNumberFormat="1">
      <alignment horizontal="center" vertical="center"/>
    </xf>
    <xf borderId="25" fillId="0" fontId="1" numFmtId="0" xfId="0" applyAlignment="1" applyBorder="1" applyFont="1">
      <alignment vertical="center"/>
    </xf>
    <xf borderId="26" fillId="0" fontId="1" numFmtId="38" xfId="0" applyAlignment="1" applyBorder="1" applyFont="1" applyNumberFormat="1">
      <alignment vertical="bottom"/>
    </xf>
    <xf borderId="0" fillId="0" fontId="8" numFmtId="164" xfId="0" applyAlignment="1" applyFont="1" applyNumberFormat="1">
      <alignment horizontal="center" shrinkToFit="1" vertical="center" wrapText="0"/>
    </xf>
    <xf borderId="13" fillId="6" fontId="9" numFmtId="164" xfId="0" applyAlignment="1" applyBorder="1" applyFill="1" applyFont="1" applyNumberFormat="1">
      <alignment horizontal="center" shrinkToFit="1" vertical="center" wrapText="0"/>
    </xf>
    <xf borderId="27" fillId="0" fontId="1" numFmtId="0" xfId="0" applyAlignment="1" applyBorder="1" applyFont="1">
      <alignment vertical="center"/>
    </xf>
    <xf borderId="0" fillId="0" fontId="10" numFmtId="38" xfId="0" applyAlignment="1" applyFont="1" applyNumberFormat="1">
      <alignment horizontal="right" vertical="bottom"/>
    </xf>
    <xf borderId="0" fillId="0" fontId="10" numFmtId="164" xfId="0" applyAlignment="1" applyFont="1" applyNumberFormat="1">
      <alignment vertical="center"/>
    </xf>
    <xf borderId="28" fillId="0" fontId="1" numFmtId="0" xfId="0" applyAlignment="1" applyBorder="1" applyFont="1">
      <alignment vertical="center"/>
    </xf>
    <xf borderId="29" fillId="0" fontId="1" numFmtId="38" xfId="0" applyAlignment="1" applyBorder="1" applyFont="1" applyNumberFormat="1">
      <alignment vertical="bottom"/>
    </xf>
    <xf borderId="30" fillId="0" fontId="1" numFmtId="0" xfId="0" applyAlignment="1" applyBorder="1" applyFont="1">
      <alignment vertical="center"/>
    </xf>
    <xf borderId="31" fillId="0" fontId="1" numFmtId="38" xfId="0" applyAlignment="1" applyBorder="1" applyFont="1" applyNumberFormat="1">
      <alignment vertical="bottom"/>
    </xf>
    <xf borderId="31" fillId="0" fontId="1" numFmtId="0" xfId="0" applyAlignment="1" applyBorder="1" applyFont="1">
      <alignment vertical="center"/>
    </xf>
    <xf borderId="30" fillId="0" fontId="1" numFmtId="38" xfId="0" applyAlignment="1" applyBorder="1" applyFont="1" applyNumberFormat="1">
      <alignment vertical="bottom"/>
    </xf>
    <xf borderId="28" fillId="0" fontId="1" numFmtId="0" xfId="0" applyAlignment="1" applyBorder="1" applyFont="1">
      <alignment horizontal="center" vertical="center"/>
    </xf>
    <xf borderId="29" fillId="0" fontId="1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top"/>
    </xf>
    <xf borderId="0" fillId="0" fontId="1" numFmtId="38" xfId="0" applyAlignment="1" applyFont="1" applyNumberFormat="1">
      <alignment horizontal="left" vertical="top"/>
    </xf>
    <xf borderId="0" fillId="0" fontId="1" numFmtId="0" xfId="0" applyAlignment="1" applyFont="1">
      <alignment horizontal="center" shrinkToFit="0" vertical="bottom" wrapText="1"/>
    </xf>
    <xf borderId="29" fillId="0" fontId="12" numFmtId="38" xfId="0" applyAlignment="1" applyBorder="1" applyFont="1" applyNumberFormat="1">
      <alignment horizontal="left" vertical="center"/>
    </xf>
    <xf borderId="32" fillId="0" fontId="1" numFmtId="38" xfId="0" applyAlignment="1" applyBorder="1" applyFont="1" applyNumberFormat="1">
      <alignment horizontal="left" vertical="top"/>
    </xf>
    <xf borderId="32" fillId="0" fontId="1" numFmtId="0" xfId="0" applyAlignment="1" applyBorder="1" applyFont="1">
      <alignment horizontal="left" vertical="top"/>
    </xf>
    <xf borderId="5" fillId="0" fontId="5" numFmtId="0" xfId="0" applyAlignment="1" applyBorder="1" applyFont="1">
      <alignment vertical="center"/>
    </xf>
    <xf borderId="6" fillId="0" fontId="1" numFmtId="0" xfId="0" applyAlignment="1" applyBorder="1" applyFont="1">
      <alignment horizontal="left" shrinkToFit="0" vertical="top" wrapText="1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6" fillId="0" fontId="1" numFmtId="0" xfId="0" applyAlignment="1" applyBorder="1" applyFont="1">
      <alignment horizontal="center" readingOrder="0" vertical="bottom"/>
    </xf>
    <xf borderId="21" fillId="0" fontId="1" numFmtId="38" xfId="0" applyAlignment="1" applyBorder="1" applyFont="1" applyNumberFormat="1">
      <alignment horizontal="center" readingOrder="0" vertical="center"/>
    </xf>
    <xf borderId="29" fillId="0" fontId="13" numFmtId="0" xfId="0" applyAlignment="1" applyBorder="1" applyFont="1">
      <alignment horizontal="left" readingOrder="0" vertical="center"/>
    </xf>
    <xf borderId="6" fillId="0" fontId="1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3.88"/>
    <col customWidth="1" min="2" max="2" width="39.25"/>
    <col customWidth="1" min="3" max="3" width="6.75"/>
    <col customWidth="1" min="4" max="4" width="7.0"/>
    <col customWidth="1" min="5" max="5" width="6.63"/>
    <col customWidth="1" min="6" max="6" width="7.0"/>
    <col customWidth="1" min="7" max="7" width="8.88"/>
    <col customWidth="1" min="8" max="8" width="6.63"/>
    <col customWidth="1" min="9" max="9" width="10.13"/>
    <col customWidth="1" min="10" max="10" width="10.0"/>
    <col customWidth="1" min="11" max="11" width="7.0"/>
    <col customWidth="1" min="12" max="12" width="8.25"/>
    <col customWidth="1" min="13" max="13" width="7.38"/>
    <col customWidth="1" min="14" max="14" width="8.25"/>
    <col customWidth="1" min="15" max="15" width="8.75"/>
    <col customWidth="1" min="16" max="16" width="7.38"/>
    <col customWidth="1" min="17" max="17" width="8.25"/>
    <col customWidth="1" min="18" max="18" width="7.75"/>
    <col customWidth="1" min="19" max="19" width="8.25"/>
    <col customWidth="1" min="20" max="20" width="9.88"/>
    <col customWidth="1" min="21" max="21" width="8.0"/>
    <col customWidth="1" min="22" max="22" width="7.63"/>
    <col customWidth="1" min="23" max="23" width="7.38"/>
    <col customWidth="1" min="24" max="24" width="9.13"/>
    <col customWidth="1" min="25" max="25" width="9.5"/>
    <col customWidth="1" min="26" max="26" width="7.38"/>
    <col customWidth="1" min="27" max="31" width="9.13"/>
    <col customWidth="1" min="32" max="32" width="8.25"/>
    <col customWidth="1" min="33" max="33" width="6.88"/>
    <col customWidth="1" min="34" max="34" width="8.25"/>
    <col customWidth="1" min="35" max="35" width="8.88"/>
    <col customWidth="1" min="36" max="36" width="8.13"/>
    <col customWidth="1" min="37" max="37" width="8.0"/>
    <col customWidth="1" min="38" max="38" width="6.88"/>
    <col customWidth="1" min="39" max="43" width="9.63"/>
  </cols>
  <sheetData>
    <row r="1" ht="23.25" customHeight="1">
      <c r="A1" s="1"/>
      <c r="B1" s="2" t="s">
        <v>0</v>
      </c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ht="6.75" customHeight="1">
      <c r="A2" s="1"/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>
      <c r="A3" s="1"/>
      <c r="B3" s="6" t="s">
        <v>1</v>
      </c>
      <c r="C3" s="1"/>
      <c r="D3" s="1"/>
      <c r="E3" s="1"/>
      <c r="F3" s="1"/>
      <c r="G3" s="7">
        <f>G18*G29</f>
        <v>20100000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>
      <c r="A4" s="1"/>
      <c r="B4" s="8"/>
      <c r="C4" s="9"/>
      <c r="D4" s="10"/>
      <c r="E4" s="10"/>
      <c r="F4" s="11"/>
      <c r="G4" s="9"/>
      <c r="H4" s="10"/>
      <c r="I4" s="10"/>
      <c r="J4" s="10"/>
      <c r="K4" s="10"/>
      <c r="L4" s="9"/>
      <c r="M4" s="10"/>
      <c r="N4" s="10"/>
      <c r="O4" s="10"/>
      <c r="P4" s="10"/>
      <c r="Q4" s="9"/>
      <c r="R4" s="10"/>
      <c r="S4" s="10"/>
      <c r="T4" s="10"/>
      <c r="U4" s="10"/>
      <c r="V4" s="9"/>
      <c r="W4" s="10"/>
      <c r="X4" s="10"/>
      <c r="Y4" s="10"/>
      <c r="Z4" s="1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>
      <c r="A5" s="1"/>
      <c r="B5" s="12"/>
      <c r="C5" s="13" t="s">
        <v>2</v>
      </c>
      <c r="G5" s="13" t="s">
        <v>3</v>
      </c>
      <c r="L5" s="13" t="s">
        <v>4</v>
      </c>
      <c r="Q5" s="13" t="s">
        <v>5</v>
      </c>
      <c r="V5" s="13" t="s">
        <v>6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>
      <c r="A6" s="1"/>
      <c r="B6" s="12"/>
      <c r="C6" s="14" t="s">
        <v>7</v>
      </c>
      <c r="G6" s="14" t="s">
        <v>8</v>
      </c>
      <c r="H6" s="15" t="s">
        <v>9</v>
      </c>
      <c r="L6" s="14" t="s">
        <v>10</v>
      </c>
      <c r="M6" s="15" t="s">
        <v>9</v>
      </c>
      <c r="Q6" s="14" t="s">
        <v>11</v>
      </c>
      <c r="R6" s="15" t="s">
        <v>9</v>
      </c>
      <c r="V6" s="14" t="s">
        <v>10</v>
      </c>
      <c r="W6" s="15" t="s">
        <v>9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>
      <c r="A7" s="1"/>
      <c r="B7" s="12"/>
      <c r="C7" s="14"/>
      <c r="D7" s="15"/>
      <c r="E7" s="15"/>
      <c r="F7" s="15"/>
      <c r="G7" s="14" t="s">
        <v>12</v>
      </c>
      <c r="H7" s="15"/>
      <c r="I7" s="15"/>
      <c r="J7" s="15"/>
      <c r="K7" s="15"/>
      <c r="L7" s="14" t="s">
        <v>12</v>
      </c>
      <c r="M7" s="15"/>
      <c r="N7" s="15"/>
      <c r="O7" s="15"/>
      <c r="P7" s="15"/>
      <c r="Q7" s="14" t="s">
        <v>12</v>
      </c>
      <c r="R7" s="15"/>
      <c r="S7" s="15"/>
      <c r="T7" s="15"/>
      <c r="U7" s="15"/>
      <c r="V7" s="14" t="s">
        <v>12</v>
      </c>
      <c r="W7" s="15"/>
      <c r="X7" s="15"/>
      <c r="Y7" s="15"/>
      <c r="Z7" s="15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>
      <c r="A8" s="1"/>
      <c r="B8" s="12"/>
      <c r="C8" s="9" t="s">
        <v>13</v>
      </c>
      <c r="D8" s="11"/>
      <c r="E8" s="9" t="s">
        <v>14</v>
      </c>
      <c r="F8" s="10"/>
      <c r="G8" s="13" t="s">
        <v>15</v>
      </c>
      <c r="H8" s="9" t="s">
        <v>13</v>
      </c>
      <c r="I8" s="11"/>
      <c r="J8" s="9" t="s">
        <v>14</v>
      </c>
      <c r="K8" s="10"/>
      <c r="L8" s="13" t="s">
        <v>15</v>
      </c>
      <c r="M8" s="9" t="s">
        <v>13</v>
      </c>
      <c r="N8" s="11"/>
      <c r="O8" s="9" t="s">
        <v>14</v>
      </c>
      <c r="P8" s="10"/>
      <c r="Q8" s="13" t="s">
        <v>16</v>
      </c>
      <c r="R8" s="9" t="s">
        <v>13</v>
      </c>
      <c r="S8" s="11"/>
      <c r="T8" s="9" t="s">
        <v>14</v>
      </c>
      <c r="U8" s="10"/>
      <c r="V8" s="13" t="s">
        <v>15</v>
      </c>
      <c r="W8" s="9" t="s">
        <v>13</v>
      </c>
      <c r="X8" s="11"/>
      <c r="Y8" s="9" t="s">
        <v>14</v>
      </c>
      <c r="Z8" s="1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>
      <c r="A9" s="1"/>
      <c r="B9" s="16" t="s">
        <v>17</v>
      </c>
      <c r="C9" s="17" t="s">
        <v>18</v>
      </c>
      <c r="D9" s="18" t="s">
        <v>19</v>
      </c>
      <c r="E9" s="17" t="s">
        <v>18</v>
      </c>
      <c r="F9" s="19" t="s">
        <v>19</v>
      </c>
      <c r="G9" s="17" t="s">
        <v>18</v>
      </c>
      <c r="H9" s="17" t="s">
        <v>18</v>
      </c>
      <c r="I9" s="18" t="s">
        <v>19</v>
      </c>
      <c r="J9" s="17" t="s">
        <v>18</v>
      </c>
      <c r="K9" s="19" t="s">
        <v>19</v>
      </c>
      <c r="L9" s="17" t="s">
        <v>18</v>
      </c>
      <c r="M9" s="17" t="s">
        <v>18</v>
      </c>
      <c r="N9" s="18" t="s">
        <v>19</v>
      </c>
      <c r="O9" s="17" t="s">
        <v>18</v>
      </c>
      <c r="P9" s="19" t="s">
        <v>19</v>
      </c>
      <c r="Q9" s="17" t="s">
        <v>18</v>
      </c>
      <c r="R9" s="17" t="s">
        <v>18</v>
      </c>
      <c r="S9" s="18" t="s">
        <v>19</v>
      </c>
      <c r="T9" s="17" t="s">
        <v>18</v>
      </c>
      <c r="U9" s="19" t="s">
        <v>19</v>
      </c>
      <c r="V9" s="17" t="s">
        <v>18</v>
      </c>
      <c r="W9" s="17" t="s">
        <v>18</v>
      </c>
      <c r="X9" s="18" t="s">
        <v>19</v>
      </c>
      <c r="Y9" s="17" t="s">
        <v>18</v>
      </c>
      <c r="Z9" s="19" t="s">
        <v>19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ht="18.75" customHeight="1">
      <c r="A10" s="1">
        <v>1.0</v>
      </c>
      <c r="B10" s="20" t="s">
        <v>20</v>
      </c>
      <c r="C10" s="21">
        <v>1300.0</v>
      </c>
      <c r="D10" s="22">
        <f t="shared" ref="D10:D12" si="1">+C10/C$27</f>
        <v>0.65</v>
      </c>
      <c r="E10" s="21">
        <f t="shared" ref="E10:E12" si="2">+C10</f>
        <v>1300</v>
      </c>
      <c r="F10" s="23">
        <f t="shared" ref="F10:F12" si="3">+E10/E$27</f>
        <v>0.65</v>
      </c>
      <c r="G10" s="21">
        <v>0.0</v>
      </c>
      <c r="H10" s="21">
        <f t="shared" ref="H10:H12" si="4">+C10+G10</f>
        <v>1300</v>
      </c>
      <c r="I10" s="22">
        <f t="shared" ref="I10:I12" si="5">+H10/H$27</f>
        <v>0.4333333333</v>
      </c>
      <c r="J10" s="21">
        <f t="shared" ref="J10:J12" si="6">+E10+G10</f>
        <v>1300</v>
      </c>
      <c r="K10" s="23">
        <f t="shared" ref="K10:K12" si="7">+J10/J$27</f>
        <v>0.4333333333</v>
      </c>
      <c r="L10" s="21">
        <v>0.0</v>
      </c>
      <c r="M10" s="21">
        <f t="shared" ref="M10:M12" si="8">+H10+L10</f>
        <v>1300</v>
      </c>
      <c r="N10" s="22">
        <f t="shared" ref="N10:N12" si="9">+M10/M$27</f>
        <v>0.4333333333</v>
      </c>
      <c r="O10" s="21">
        <f t="shared" ref="O10:O12" si="10">+J10+L10</f>
        <v>1300</v>
      </c>
      <c r="P10" s="23">
        <f t="shared" ref="P10:P12" si="11">+O10/O$27</f>
        <v>0.4333333333</v>
      </c>
      <c r="Q10" s="21"/>
      <c r="R10" s="24">
        <f t="shared" ref="R10:R12" si="12">+M10+Q10</f>
        <v>1300</v>
      </c>
      <c r="S10" s="22">
        <f t="shared" ref="S10:S12" si="13">+R10/R$27</f>
        <v>0.4333333333</v>
      </c>
      <c r="T10" s="21">
        <f>R10</f>
        <v>1300</v>
      </c>
      <c r="U10" s="23">
        <f t="shared" ref="U10:U12" si="14">+T10/T$27</f>
        <v>0.4333333333</v>
      </c>
      <c r="V10" s="21"/>
      <c r="W10" s="21">
        <f t="shared" ref="W10:W12" si="15">R10+V10</f>
        <v>1300</v>
      </c>
      <c r="X10" s="22">
        <f t="shared" ref="X10:X12" si="16">+W10/W$27</f>
        <v>0.4333333333</v>
      </c>
      <c r="Y10" s="21">
        <f t="shared" ref="Y10:Y12" si="17">+T10+V10</f>
        <v>1300</v>
      </c>
      <c r="Z10" s="23">
        <f t="shared" ref="Z10:Z12" si="18">+Y10/Y$27</f>
        <v>0.4333333333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>
      <c r="A11" s="1">
        <v>2.0</v>
      </c>
      <c r="B11" s="12" t="s">
        <v>21</v>
      </c>
      <c r="C11" s="21">
        <v>700.0</v>
      </c>
      <c r="D11" s="22">
        <f t="shared" si="1"/>
        <v>0.35</v>
      </c>
      <c r="E11" s="21">
        <f t="shared" si="2"/>
        <v>700</v>
      </c>
      <c r="F11" s="23">
        <f t="shared" si="3"/>
        <v>0.35</v>
      </c>
      <c r="G11" s="21">
        <v>0.0</v>
      </c>
      <c r="H11" s="21">
        <f t="shared" si="4"/>
        <v>700</v>
      </c>
      <c r="I11" s="22">
        <f t="shared" si="5"/>
        <v>0.2333333333</v>
      </c>
      <c r="J11" s="21">
        <f t="shared" si="6"/>
        <v>700</v>
      </c>
      <c r="K11" s="23">
        <f t="shared" si="7"/>
        <v>0.2333333333</v>
      </c>
      <c r="L11" s="21">
        <v>0.0</v>
      </c>
      <c r="M11" s="21">
        <f t="shared" si="8"/>
        <v>700</v>
      </c>
      <c r="N11" s="22">
        <f t="shared" si="9"/>
        <v>0.2333333333</v>
      </c>
      <c r="O11" s="21">
        <f t="shared" si="10"/>
        <v>700</v>
      </c>
      <c r="P11" s="23">
        <f t="shared" si="11"/>
        <v>0.2333333333</v>
      </c>
      <c r="Q11" s="21"/>
      <c r="R11" s="24">
        <f t="shared" si="12"/>
        <v>700</v>
      </c>
      <c r="S11" s="22">
        <f t="shared" si="13"/>
        <v>0.2333333333</v>
      </c>
      <c r="T11" s="21">
        <f>O11</f>
        <v>700</v>
      </c>
      <c r="U11" s="23">
        <f t="shared" si="14"/>
        <v>0.2333333333</v>
      </c>
      <c r="V11" s="21"/>
      <c r="W11" s="21">
        <f t="shared" si="15"/>
        <v>700</v>
      </c>
      <c r="X11" s="22">
        <f t="shared" si="16"/>
        <v>0.2333333333</v>
      </c>
      <c r="Y11" s="21">
        <f t="shared" si="17"/>
        <v>700</v>
      </c>
      <c r="Z11" s="23">
        <f t="shared" si="18"/>
        <v>0.2333333333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>
      <c r="A12" s="25">
        <v>3.0</v>
      </c>
      <c r="B12" s="26"/>
      <c r="C12" s="24">
        <v>0.0</v>
      </c>
      <c r="D12" s="27">
        <f t="shared" si="1"/>
        <v>0</v>
      </c>
      <c r="E12" s="24">
        <f t="shared" si="2"/>
        <v>0</v>
      </c>
      <c r="F12" s="28">
        <f t="shared" si="3"/>
        <v>0</v>
      </c>
      <c r="G12" s="24"/>
      <c r="H12" s="24">
        <f t="shared" si="4"/>
        <v>0</v>
      </c>
      <c r="I12" s="27">
        <f t="shared" si="5"/>
        <v>0</v>
      </c>
      <c r="J12" s="24">
        <f t="shared" si="6"/>
        <v>0</v>
      </c>
      <c r="K12" s="28">
        <f t="shared" si="7"/>
        <v>0</v>
      </c>
      <c r="L12" s="24">
        <v>0.0</v>
      </c>
      <c r="M12" s="24">
        <f t="shared" si="8"/>
        <v>0</v>
      </c>
      <c r="N12" s="27">
        <f t="shared" si="9"/>
        <v>0</v>
      </c>
      <c r="O12" s="24">
        <f t="shared" si="10"/>
        <v>0</v>
      </c>
      <c r="P12" s="28">
        <f t="shared" si="11"/>
        <v>0</v>
      </c>
      <c r="Q12" s="24"/>
      <c r="R12" s="24">
        <f t="shared" si="12"/>
        <v>0</v>
      </c>
      <c r="S12" s="27">
        <f t="shared" si="13"/>
        <v>0</v>
      </c>
      <c r="T12" s="24">
        <f>R12</f>
        <v>0</v>
      </c>
      <c r="U12" s="28">
        <f t="shared" si="14"/>
        <v>0</v>
      </c>
      <c r="V12" s="24"/>
      <c r="W12" s="21">
        <f t="shared" si="15"/>
        <v>0</v>
      </c>
      <c r="X12" s="27">
        <f t="shared" si="16"/>
        <v>0</v>
      </c>
      <c r="Y12" s="24">
        <f t="shared" si="17"/>
        <v>0</v>
      </c>
      <c r="Z12" s="28">
        <f t="shared" si="18"/>
        <v>0</v>
      </c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>
      <c r="A13" s="1"/>
      <c r="B13" s="29" t="s">
        <v>22</v>
      </c>
      <c r="C13" s="30">
        <f t="shared" ref="C13:K13" si="19">SUM(C10:C11)</f>
        <v>2000</v>
      </c>
      <c r="D13" s="31">
        <f t="shared" si="19"/>
        <v>1</v>
      </c>
      <c r="E13" s="30">
        <f t="shared" si="19"/>
        <v>2000</v>
      </c>
      <c r="F13" s="32">
        <f t="shared" si="19"/>
        <v>1</v>
      </c>
      <c r="G13" s="30">
        <f t="shared" si="19"/>
        <v>0</v>
      </c>
      <c r="H13" s="30">
        <f t="shared" si="19"/>
        <v>2000</v>
      </c>
      <c r="I13" s="32">
        <f t="shared" si="19"/>
        <v>0.6666666667</v>
      </c>
      <c r="J13" s="30">
        <f t="shared" si="19"/>
        <v>2000</v>
      </c>
      <c r="K13" s="32">
        <f t="shared" si="19"/>
        <v>0.6666666667</v>
      </c>
      <c r="L13" s="30">
        <f t="shared" ref="L13:M13" si="20">SUM(L10:L12)</f>
        <v>0</v>
      </c>
      <c r="M13" s="30">
        <f t="shared" si="20"/>
        <v>2000</v>
      </c>
      <c r="N13" s="32">
        <f>SUM(N10:N11)</f>
        <v>0.6666666667</v>
      </c>
      <c r="O13" s="30">
        <f>SUM(O10:O12)</f>
        <v>2000</v>
      </c>
      <c r="P13" s="32">
        <f>SUM(P10:P11)</f>
        <v>0.6666666667</v>
      </c>
      <c r="Q13" s="30">
        <f t="shared" ref="Q13:R13" si="21">SUM(Q10:Q12)</f>
        <v>0</v>
      </c>
      <c r="R13" s="30">
        <f t="shared" si="21"/>
        <v>2000</v>
      </c>
      <c r="S13" s="32">
        <f>SUM(S10:S11)</f>
        <v>0.6666666667</v>
      </c>
      <c r="T13" s="30">
        <f>SUM(T10:T12)</f>
        <v>2000</v>
      </c>
      <c r="U13" s="32">
        <f>SUM(U10:U11)</f>
        <v>0.6666666667</v>
      </c>
      <c r="V13" s="30">
        <f t="shared" ref="V13:W13" si="22">SUM(V10:V12)</f>
        <v>0</v>
      </c>
      <c r="W13" s="30">
        <f t="shared" si="22"/>
        <v>2000</v>
      </c>
      <c r="X13" s="32">
        <f>SUM(X10:X11)</f>
        <v>0.6666666667</v>
      </c>
      <c r="Y13" s="30">
        <f>SUM(Y10:Y12)</f>
        <v>2000</v>
      </c>
      <c r="Z13" s="32">
        <f>SUM(Z10:Z11)</f>
        <v>0.6666666667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>
      <c r="A14" s="1">
        <v>4.0</v>
      </c>
      <c r="B14" s="12" t="s">
        <v>23</v>
      </c>
      <c r="C14" s="21">
        <v>0.0</v>
      </c>
      <c r="D14" s="22">
        <f t="shared" ref="D14:D16" si="23">+C14/C$27</f>
        <v>0</v>
      </c>
      <c r="E14" s="21">
        <f t="shared" ref="E14:E16" si="24">+C14</f>
        <v>0</v>
      </c>
      <c r="F14" s="23">
        <f t="shared" ref="F14:F16" si="25">+E14/E$27</f>
        <v>0</v>
      </c>
      <c r="G14" s="21"/>
      <c r="H14" s="21">
        <f t="shared" ref="H14:H16" si="26">+C14+G14</f>
        <v>0</v>
      </c>
      <c r="I14" s="23">
        <f t="shared" ref="I14:I16" si="27">+H14/H$27</f>
        <v>0</v>
      </c>
      <c r="J14" s="21">
        <f t="shared" ref="J14:J16" si="28">+E14+G14</f>
        <v>0</v>
      </c>
      <c r="K14" s="23">
        <f t="shared" ref="K14:K16" si="29">+J14/J$27</f>
        <v>0</v>
      </c>
      <c r="L14" s="21"/>
      <c r="M14" s="21">
        <f t="shared" ref="M14:M16" si="30">+H14+L14</f>
        <v>0</v>
      </c>
      <c r="N14" s="23">
        <f t="shared" ref="N14:N16" si="31">+M14/M$27</f>
        <v>0</v>
      </c>
      <c r="O14" s="21">
        <f t="shared" ref="O14:O16" si="32">+J14+L14</f>
        <v>0</v>
      </c>
      <c r="P14" s="23">
        <f t="shared" ref="P14:P16" si="33">+O14/O$27</f>
        <v>0</v>
      </c>
      <c r="Q14" s="21"/>
      <c r="R14" s="21">
        <f t="shared" ref="R14:R16" si="34">M14</f>
        <v>0</v>
      </c>
      <c r="S14" s="22">
        <f t="shared" ref="S14:S16" si="35">+R14/R$27</f>
        <v>0</v>
      </c>
      <c r="T14" s="21" t="str">
        <f t="shared" ref="T14:T16" si="36">Q14</f>
        <v/>
      </c>
      <c r="U14" s="23">
        <f t="shared" ref="U14:U16" si="37">+T14/T$27</f>
        <v>0</v>
      </c>
      <c r="V14" s="21"/>
      <c r="W14" s="21">
        <f t="shared" ref="W14:W16" si="38">R14+V14</f>
        <v>0</v>
      </c>
      <c r="X14" s="22">
        <f t="shared" ref="X14:X16" si="39">+W14/W$27</f>
        <v>0</v>
      </c>
      <c r="Y14" s="21">
        <f t="shared" ref="Y14:Y16" si="40">+T14+V14</f>
        <v>0</v>
      </c>
      <c r="Z14" s="23">
        <f t="shared" ref="Z14:Z16" si="41">+Y14/Y$27</f>
        <v>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>
      <c r="A15" s="1">
        <v>5.0</v>
      </c>
      <c r="B15" s="12" t="s">
        <v>24</v>
      </c>
      <c r="C15" s="21">
        <v>0.0</v>
      </c>
      <c r="D15" s="22">
        <f t="shared" si="23"/>
        <v>0</v>
      </c>
      <c r="E15" s="21">
        <f t="shared" si="24"/>
        <v>0</v>
      </c>
      <c r="F15" s="23">
        <f t="shared" si="25"/>
        <v>0</v>
      </c>
      <c r="G15" s="21"/>
      <c r="H15" s="21">
        <f t="shared" si="26"/>
        <v>0</v>
      </c>
      <c r="I15" s="23">
        <f t="shared" si="27"/>
        <v>0</v>
      </c>
      <c r="J15" s="21">
        <f t="shared" si="28"/>
        <v>0</v>
      </c>
      <c r="K15" s="23">
        <f t="shared" si="29"/>
        <v>0</v>
      </c>
      <c r="L15" s="21"/>
      <c r="M15" s="21">
        <f t="shared" si="30"/>
        <v>0</v>
      </c>
      <c r="N15" s="23">
        <f t="shared" si="31"/>
        <v>0</v>
      </c>
      <c r="O15" s="21">
        <f t="shared" si="32"/>
        <v>0</v>
      </c>
      <c r="P15" s="23">
        <f t="shared" si="33"/>
        <v>0</v>
      </c>
      <c r="Q15" s="21"/>
      <c r="R15" s="21">
        <f t="shared" si="34"/>
        <v>0</v>
      </c>
      <c r="S15" s="23">
        <f t="shared" si="35"/>
        <v>0</v>
      </c>
      <c r="T15" s="21" t="str">
        <f t="shared" si="36"/>
        <v/>
      </c>
      <c r="U15" s="23">
        <f t="shared" si="37"/>
        <v>0</v>
      </c>
      <c r="V15" s="21"/>
      <c r="W15" s="21">
        <f t="shared" si="38"/>
        <v>0</v>
      </c>
      <c r="X15" s="23">
        <f t="shared" si="39"/>
        <v>0</v>
      </c>
      <c r="Y15" s="21">
        <f t="shared" si="40"/>
        <v>0</v>
      </c>
      <c r="Z15" s="23">
        <f t="shared" si="41"/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>
      <c r="A16" s="1">
        <v>6.0</v>
      </c>
      <c r="B16" s="12" t="s">
        <v>25</v>
      </c>
      <c r="C16" s="21">
        <v>0.0</v>
      </c>
      <c r="D16" s="22">
        <f t="shared" si="23"/>
        <v>0</v>
      </c>
      <c r="E16" s="21">
        <f t="shared" si="24"/>
        <v>0</v>
      </c>
      <c r="F16" s="23">
        <f t="shared" si="25"/>
        <v>0</v>
      </c>
      <c r="G16" s="21"/>
      <c r="H16" s="21">
        <f t="shared" si="26"/>
        <v>0</v>
      </c>
      <c r="I16" s="23">
        <f t="shared" si="27"/>
        <v>0</v>
      </c>
      <c r="J16" s="21">
        <f t="shared" si="28"/>
        <v>0</v>
      </c>
      <c r="K16" s="23">
        <f t="shared" si="29"/>
        <v>0</v>
      </c>
      <c r="L16" s="21"/>
      <c r="M16" s="21">
        <f t="shared" si="30"/>
        <v>0</v>
      </c>
      <c r="N16" s="23">
        <f t="shared" si="31"/>
        <v>0</v>
      </c>
      <c r="O16" s="21">
        <f t="shared" si="32"/>
        <v>0</v>
      </c>
      <c r="P16" s="23">
        <f t="shared" si="33"/>
        <v>0</v>
      </c>
      <c r="Q16" s="21"/>
      <c r="R16" s="21">
        <f t="shared" si="34"/>
        <v>0</v>
      </c>
      <c r="S16" s="23">
        <f t="shared" si="35"/>
        <v>0</v>
      </c>
      <c r="T16" s="21" t="str">
        <f t="shared" si="36"/>
        <v/>
      </c>
      <c r="U16" s="23">
        <f t="shared" si="37"/>
        <v>0</v>
      </c>
      <c r="V16" s="21"/>
      <c r="W16" s="21">
        <f t="shared" si="38"/>
        <v>0</v>
      </c>
      <c r="X16" s="23">
        <f t="shared" si="39"/>
        <v>0</v>
      </c>
      <c r="Y16" s="21">
        <f t="shared" si="40"/>
        <v>0</v>
      </c>
      <c r="Z16" s="23">
        <f t="shared" si="41"/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>
      <c r="A17" s="1"/>
      <c r="B17" s="29" t="s">
        <v>26</v>
      </c>
      <c r="C17" s="30">
        <f t="shared" ref="C17:R17" si="42">SUM(C13:C16)</f>
        <v>2000</v>
      </c>
      <c r="D17" s="31">
        <f t="shared" si="42"/>
        <v>1</v>
      </c>
      <c r="E17" s="30">
        <f t="shared" si="42"/>
        <v>2000</v>
      </c>
      <c r="F17" s="32">
        <f t="shared" si="42"/>
        <v>1</v>
      </c>
      <c r="G17" s="30">
        <f t="shared" si="42"/>
        <v>0</v>
      </c>
      <c r="H17" s="30">
        <f t="shared" si="42"/>
        <v>2000</v>
      </c>
      <c r="I17" s="32">
        <f t="shared" si="42"/>
        <v>0.6666666667</v>
      </c>
      <c r="J17" s="30">
        <f t="shared" si="42"/>
        <v>2000</v>
      </c>
      <c r="K17" s="32">
        <f t="shared" si="42"/>
        <v>0.6666666667</v>
      </c>
      <c r="L17" s="30">
        <f t="shared" si="42"/>
        <v>0</v>
      </c>
      <c r="M17" s="30">
        <f t="shared" si="42"/>
        <v>2000</v>
      </c>
      <c r="N17" s="32">
        <f t="shared" si="42"/>
        <v>0.6666666667</v>
      </c>
      <c r="O17" s="30">
        <f t="shared" si="42"/>
        <v>2000</v>
      </c>
      <c r="P17" s="32">
        <f t="shared" si="42"/>
        <v>0.6666666667</v>
      </c>
      <c r="Q17" s="30">
        <f t="shared" si="42"/>
        <v>0</v>
      </c>
      <c r="R17" s="30">
        <f t="shared" si="42"/>
        <v>2000</v>
      </c>
      <c r="S17" s="32">
        <f>SUM(S13)</f>
        <v>0.6666666667</v>
      </c>
      <c r="T17" s="30">
        <f>SUM(T13:T16)</f>
        <v>2000</v>
      </c>
      <c r="U17" s="32">
        <f t="shared" ref="U17:V17" si="43">SUM(U13)</f>
        <v>0.6666666667</v>
      </c>
      <c r="V17" s="30">
        <f t="shared" si="43"/>
        <v>0</v>
      </c>
      <c r="W17" s="30">
        <f>SUM(W13:W16)</f>
        <v>2000</v>
      </c>
      <c r="X17" s="32">
        <f>SUM(X13)</f>
        <v>0.6666666667</v>
      </c>
      <c r="Y17" s="30">
        <f>SUM(Y13:Y16)</f>
        <v>2000</v>
      </c>
      <c r="Z17" s="32">
        <f>SUM(Z13)</f>
        <v>0.6666666667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>
      <c r="A18" s="33">
        <v>7.0</v>
      </c>
      <c r="B18" s="34" t="s">
        <v>27</v>
      </c>
      <c r="C18" s="35">
        <v>0.0</v>
      </c>
      <c r="D18" s="36">
        <f t="shared" ref="D18:D22" si="44">+C18/C$27</f>
        <v>0</v>
      </c>
      <c r="E18" s="35">
        <f t="shared" ref="E18:E22" si="45">+C18</f>
        <v>0</v>
      </c>
      <c r="F18" s="37">
        <f t="shared" ref="F18:F22" si="46">+E18/E$27</f>
        <v>0</v>
      </c>
      <c r="G18" s="35">
        <v>134.0</v>
      </c>
      <c r="H18" s="35">
        <f t="shared" ref="H18:H22" si="47">+C18+G18</f>
        <v>134</v>
      </c>
      <c r="I18" s="36">
        <f t="shared" ref="I18:I22" si="48">+H18/H$27</f>
        <v>0.04466666667</v>
      </c>
      <c r="J18" s="35">
        <f t="shared" ref="J18:J22" si="49">+E18+G18</f>
        <v>134</v>
      </c>
      <c r="K18" s="37">
        <f t="shared" ref="K18:K22" si="50">+J18/J$27</f>
        <v>0.04466666667</v>
      </c>
      <c r="L18" s="35"/>
      <c r="M18" s="35">
        <f t="shared" ref="M18:M22" si="51">+H18+L18</f>
        <v>134</v>
      </c>
      <c r="N18" s="36">
        <f t="shared" ref="N18:N22" si="52">+M18/M$27</f>
        <v>0.04466666667</v>
      </c>
      <c r="O18" s="35">
        <f t="shared" ref="O18:O22" si="53">+J18+L18</f>
        <v>134</v>
      </c>
      <c r="P18" s="37">
        <f t="shared" ref="P18:P22" si="54">+O18/O$27</f>
        <v>0.04466666667</v>
      </c>
      <c r="Q18" s="35">
        <v>0.0</v>
      </c>
      <c r="R18" s="35">
        <f t="shared" ref="R18:R22" si="55">M18</f>
        <v>134</v>
      </c>
      <c r="S18" s="36">
        <f t="shared" ref="S18:S27" si="56">+R18/R$27</f>
        <v>0.04466666667</v>
      </c>
      <c r="T18" s="35">
        <f>R18</f>
        <v>134</v>
      </c>
      <c r="U18" s="37">
        <f t="shared" ref="U18:U27" si="57">+T18/T$27</f>
        <v>0.04466666667</v>
      </c>
      <c r="V18" s="35"/>
      <c r="W18" s="35">
        <f t="shared" ref="W18:W22" si="58">R18+V18</f>
        <v>134</v>
      </c>
      <c r="X18" s="36">
        <f t="shared" ref="X18:X27" si="59">+W18/W$27</f>
        <v>0.04466666667</v>
      </c>
      <c r="Y18" s="35">
        <f t="shared" ref="Y18:Y22" si="60">+T18+V18</f>
        <v>134</v>
      </c>
      <c r="Z18" s="37">
        <f t="shared" ref="Z18:Z27" si="61">+Y18/Y$27</f>
        <v>0.04466666667</v>
      </c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8"/>
      <c r="AN18" s="38"/>
      <c r="AO18" s="38"/>
      <c r="AP18" s="38"/>
      <c r="AQ18" s="38"/>
    </row>
    <row r="19">
      <c r="A19" s="39">
        <v>8.0</v>
      </c>
      <c r="B19" s="40" t="s">
        <v>28</v>
      </c>
      <c r="C19" s="41">
        <v>0.0</v>
      </c>
      <c r="D19" s="42">
        <f t="shared" si="44"/>
        <v>0</v>
      </c>
      <c r="E19" s="41">
        <f t="shared" si="45"/>
        <v>0</v>
      </c>
      <c r="F19" s="43">
        <f t="shared" si="46"/>
        <v>0</v>
      </c>
      <c r="G19" s="41">
        <v>266.0</v>
      </c>
      <c r="H19" s="41">
        <f t="shared" si="47"/>
        <v>266</v>
      </c>
      <c r="I19" s="42">
        <f t="shared" si="48"/>
        <v>0.08866666667</v>
      </c>
      <c r="J19" s="41">
        <f t="shared" si="49"/>
        <v>266</v>
      </c>
      <c r="K19" s="43">
        <f t="shared" si="50"/>
        <v>0.08866666667</v>
      </c>
      <c r="L19" s="41"/>
      <c r="M19" s="41">
        <f t="shared" si="51"/>
        <v>266</v>
      </c>
      <c r="N19" s="42">
        <f t="shared" si="52"/>
        <v>0.08866666667</v>
      </c>
      <c r="O19" s="41">
        <f t="shared" si="53"/>
        <v>266</v>
      </c>
      <c r="P19" s="43">
        <f t="shared" si="54"/>
        <v>0.08866666667</v>
      </c>
      <c r="Q19" s="41"/>
      <c r="R19" s="41">
        <f t="shared" si="55"/>
        <v>266</v>
      </c>
      <c r="S19" s="42">
        <f t="shared" si="56"/>
        <v>0.08866666667</v>
      </c>
      <c r="T19" s="41">
        <f t="shared" ref="T19:T22" si="62">O19</f>
        <v>266</v>
      </c>
      <c r="U19" s="43">
        <f t="shared" si="57"/>
        <v>0.08866666667</v>
      </c>
      <c r="V19" s="41"/>
      <c r="W19" s="41">
        <f t="shared" si="58"/>
        <v>266</v>
      </c>
      <c r="X19" s="42">
        <f t="shared" si="59"/>
        <v>0.08866666667</v>
      </c>
      <c r="Y19" s="41">
        <f t="shared" si="60"/>
        <v>266</v>
      </c>
      <c r="Z19" s="43">
        <f t="shared" si="61"/>
        <v>0.08866666667</v>
      </c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44"/>
      <c r="AN19" s="44"/>
      <c r="AO19" s="44"/>
      <c r="AP19" s="44"/>
      <c r="AQ19" s="44"/>
    </row>
    <row r="20">
      <c r="A20" s="39">
        <v>9.0</v>
      </c>
      <c r="B20" s="40" t="s">
        <v>29</v>
      </c>
      <c r="C20" s="41">
        <v>0.0</v>
      </c>
      <c r="D20" s="42">
        <f t="shared" si="44"/>
        <v>0</v>
      </c>
      <c r="E20" s="41">
        <f t="shared" si="45"/>
        <v>0</v>
      </c>
      <c r="F20" s="43">
        <f t="shared" si="46"/>
        <v>0</v>
      </c>
      <c r="G20" s="41">
        <v>334.0</v>
      </c>
      <c r="H20" s="41">
        <f t="shared" si="47"/>
        <v>334</v>
      </c>
      <c r="I20" s="42">
        <f t="shared" si="48"/>
        <v>0.1113333333</v>
      </c>
      <c r="J20" s="41">
        <f t="shared" si="49"/>
        <v>334</v>
      </c>
      <c r="K20" s="43">
        <f t="shared" si="50"/>
        <v>0.1113333333</v>
      </c>
      <c r="L20" s="41"/>
      <c r="M20" s="41">
        <f t="shared" si="51"/>
        <v>334</v>
      </c>
      <c r="N20" s="42">
        <f t="shared" si="52"/>
        <v>0.1113333333</v>
      </c>
      <c r="O20" s="41">
        <f t="shared" si="53"/>
        <v>334</v>
      </c>
      <c r="P20" s="43">
        <f t="shared" si="54"/>
        <v>0.1113333333</v>
      </c>
      <c r="Q20" s="41"/>
      <c r="R20" s="41">
        <f t="shared" si="55"/>
        <v>334</v>
      </c>
      <c r="S20" s="42">
        <f t="shared" si="56"/>
        <v>0.1113333333</v>
      </c>
      <c r="T20" s="41">
        <f t="shared" si="62"/>
        <v>334</v>
      </c>
      <c r="U20" s="43">
        <f t="shared" si="57"/>
        <v>0.1113333333</v>
      </c>
      <c r="V20" s="41"/>
      <c r="W20" s="41">
        <f t="shared" si="58"/>
        <v>334</v>
      </c>
      <c r="X20" s="42">
        <f t="shared" si="59"/>
        <v>0.1113333333</v>
      </c>
      <c r="Y20" s="41">
        <f t="shared" si="60"/>
        <v>334</v>
      </c>
      <c r="Z20" s="43">
        <f t="shared" si="61"/>
        <v>0.1113333333</v>
      </c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44"/>
      <c r="AN20" s="44"/>
      <c r="AO20" s="44"/>
      <c r="AP20" s="44"/>
      <c r="AQ20" s="44"/>
    </row>
    <row r="21">
      <c r="A21" s="39">
        <v>10.0</v>
      </c>
      <c r="B21" s="40" t="s">
        <v>30</v>
      </c>
      <c r="C21" s="41">
        <v>0.0</v>
      </c>
      <c r="D21" s="42">
        <f t="shared" si="44"/>
        <v>0</v>
      </c>
      <c r="E21" s="41">
        <f t="shared" si="45"/>
        <v>0</v>
      </c>
      <c r="F21" s="43">
        <f t="shared" si="46"/>
        <v>0</v>
      </c>
      <c r="G21" s="41">
        <v>66.0</v>
      </c>
      <c r="H21" s="41">
        <f t="shared" si="47"/>
        <v>66</v>
      </c>
      <c r="I21" s="42">
        <f t="shared" si="48"/>
        <v>0.022</v>
      </c>
      <c r="J21" s="41">
        <f t="shared" si="49"/>
        <v>66</v>
      </c>
      <c r="K21" s="43">
        <f t="shared" si="50"/>
        <v>0.022</v>
      </c>
      <c r="L21" s="41"/>
      <c r="M21" s="41">
        <f t="shared" si="51"/>
        <v>66</v>
      </c>
      <c r="N21" s="42">
        <f t="shared" si="52"/>
        <v>0.022</v>
      </c>
      <c r="O21" s="41">
        <f t="shared" si="53"/>
        <v>66</v>
      </c>
      <c r="P21" s="43">
        <f t="shared" si="54"/>
        <v>0.022</v>
      </c>
      <c r="Q21" s="41"/>
      <c r="R21" s="41">
        <f t="shared" si="55"/>
        <v>66</v>
      </c>
      <c r="S21" s="42">
        <f t="shared" si="56"/>
        <v>0.022</v>
      </c>
      <c r="T21" s="41">
        <f t="shared" si="62"/>
        <v>66</v>
      </c>
      <c r="U21" s="43">
        <f t="shared" si="57"/>
        <v>0.022</v>
      </c>
      <c r="V21" s="41"/>
      <c r="W21" s="41">
        <f t="shared" si="58"/>
        <v>66</v>
      </c>
      <c r="X21" s="42">
        <f t="shared" si="59"/>
        <v>0.022</v>
      </c>
      <c r="Y21" s="41">
        <f t="shared" si="60"/>
        <v>66</v>
      </c>
      <c r="Z21" s="43">
        <f t="shared" si="61"/>
        <v>0.022</v>
      </c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44"/>
      <c r="AN21" s="44"/>
      <c r="AO21" s="44"/>
      <c r="AP21" s="44"/>
      <c r="AQ21" s="44"/>
    </row>
    <row r="22">
      <c r="A22" s="39">
        <v>11.0</v>
      </c>
      <c r="B22" s="40" t="s">
        <v>31</v>
      </c>
      <c r="C22" s="41">
        <v>0.0</v>
      </c>
      <c r="D22" s="42">
        <f t="shared" si="44"/>
        <v>0</v>
      </c>
      <c r="E22" s="41">
        <f t="shared" si="45"/>
        <v>0</v>
      </c>
      <c r="F22" s="43">
        <f t="shared" si="46"/>
        <v>0</v>
      </c>
      <c r="G22" s="41">
        <v>200.0</v>
      </c>
      <c r="H22" s="41">
        <f t="shared" si="47"/>
        <v>200</v>
      </c>
      <c r="I22" s="42">
        <f t="shared" si="48"/>
        <v>0.06666666667</v>
      </c>
      <c r="J22" s="41">
        <f t="shared" si="49"/>
        <v>200</v>
      </c>
      <c r="K22" s="43">
        <f t="shared" si="50"/>
        <v>0.06666666667</v>
      </c>
      <c r="L22" s="41"/>
      <c r="M22" s="41">
        <f t="shared" si="51"/>
        <v>200</v>
      </c>
      <c r="N22" s="42">
        <f t="shared" si="52"/>
        <v>0.06666666667</v>
      </c>
      <c r="O22" s="41">
        <f t="shared" si="53"/>
        <v>200</v>
      </c>
      <c r="P22" s="43">
        <f t="shared" si="54"/>
        <v>0.06666666667</v>
      </c>
      <c r="Q22" s="41"/>
      <c r="R22" s="41">
        <f t="shared" si="55"/>
        <v>200</v>
      </c>
      <c r="S22" s="42">
        <f t="shared" si="56"/>
        <v>0.06666666667</v>
      </c>
      <c r="T22" s="41">
        <f t="shared" si="62"/>
        <v>200</v>
      </c>
      <c r="U22" s="43">
        <f t="shared" si="57"/>
        <v>0.06666666667</v>
      </c>
      <c r="V22" s="41"/>
      <c r="W22" s="41">
        <f t="shared" si="58"/>
        <v>200</v>
      </c>
      <c r="X22" s="42">
        <f t="shared" si="59"/>
        <v>0.06666666667</v>
      </c>
      <c r="Y22" s="41">
        <f t="shared" si="60"/>
        <v>200</v>
      </c>
      <c r="Z22" s="43">
        <f t="shared" si="61"/>
        <v>0.06666666667</v>
      </c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44"/>
      <c r="AN22" s="44"/>
      <c r="AO22" s="44"/>
      <c r="AP22" s="44"/>
      <c r="AQ22" s="44"/>
    </row>
    <row r="23" ht="15.75" customHeight="1">
      <c r="A23" s="1"/>
      <c r="B23" s="29" t="s">
        <v>32</v>
      </c>
      <c r="C23" s="30">
        <f>+SUM(C17:C22)</f>
        <v>2000</v>
      </c>
      <c r="D23" s="31">
        <f>SUM(D17:D22)</f>
        <v>1</v>
      </c>
      <c r="E23" s="30">
        <f>+SUM(E17:E22)</f>
        <v>2000</v>
      </c>
      <c r="F23" s="32">
        <f>SUM(F17:F22)</f>
        <v>1</v>
      </c>
      <c r="G23" s="30">
        <f>+SUM(G17:G22)</f>
        <v>1000</v>
      </c>
      <c r="H23" s="30">
        <f t="shared" ref="H23:K23" si="63">SUM(H17:H22)</f>
        <v>3000</v>
      </c>
      <c r="I23" s="31">
        <f t="shared" si="63"/>
        <v>1</v>
      </c>
      <c r="J23" s="30">
        <f t="shared" si="63"/>
        <v>3000</v>
      </c>
      <c r="K23" s="32">
        <f t="shared" si="63"/>
        <v>1</v>
      </c>
      <c r="L23" s="30">
        <f>+SUM(L17:L22)</f>
        <v>0</v>
      </c>
      <c r="M23" s="30">
        <f t="shared" ref="M23:P23" si="64">SUM(M17:M22)</f>
        <v>3000</v>
      </c>
      <c r="N23" s="31">
        <f t="shared" si="64"/>
        <v>1</v>
      </c>
      <c r="O23" s="30">
        <f t="shared" si="64"/>
        <v>3000</v>
      </c>
      <c r="P23" s="32">
        <f t="shared" si="64"/>
        <v>1</v>
      </c>
      <c r="Q23" s="30">
        <f>+SUM(Q17:Q22)</f>
        <v>0</v>
      </c>
      <c r="R23" s="30">
        <f>SUM(R17:R22)</f>
        <v>3000</v>
      </c>
      <c r="S23" s="31">
        <f t="shared" si="56"/>
        <v>1</v>
      </c>
      <c r="T23" s="30">
        <f>SUM(T17:T22)</f>
        <v>3000</v>
      </c>
      <c r="U23" s="32">
        <f t="shared" si="57"/>
        <v>1</v>
      </c>
      <c r="V23" s="30">
        <f>+SUM(V17:V22)</f>
        <v>0</v>
      </c>
      <c r="W23" s="30">
        <f>SUM(W17:W22)</f>
        <v>3000</v>
      </c>
      <c r="X23" s="31">
        <f t="shared" si="59"/>
        <v>1</v>
      </c>
      <c r="Y23" s="30">
        <f>SUM(Y17:Y22)</f>
        <v>3000</v>
      </c>
      <c r="Z23" s="32">
        <f t="shared" si="61"/>
        <v>1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ht="15.75" customHeight="1">
      <c r="A24" s="25">
        <v>10.0</v>
      </c>
      <c r="B24" s="45"/>
      <c r="C24" s="24">
        <v>0.0</v>
      </c>
      <c r="D24" s="27">
        <f t="shared" ref="D24:D26" si="65">+C24/C$27</f>
        <v>0</v>
      </c>
      <c r="E24" s="24">
        <f t="shared" ref="E24:E26" si="66">+C24</f>
        <v>0</v>
      </c>
      <c r="F24" s="28">
        <f t="shared" ref="F24:F26" si="67">+E24/E$27</f>
        <v>0</v>
      </c>
      <c r="G24" s="24"/>
      <c r="H24" s="24">
        <f t="shared" ref="H24:H26" si="68">+C24+G24</f>
        <v>0</v>
      </c>
      <c r="I24" s="27">
        <f t="shared" ref="I24:I26" si="69">+H24/H$27</f>
        <v>0</v>
      </c>
      <c r="J24" s="24">
        <f t="shared" ref="J24:J26" si="70">+E24+G24</f>
        <v>0</v>
      </c>
      <c r="K24" s="28">
        <f t="shared" ref="K24:K26" si="71">+J24/J$27</f>
        <v>0</v>
      </c>
      <c r="L24" s="24"/>
      <c r="M24" s="24">
        <f t="shared" ref="M24:M26" si="72">+H24+L24</f>
        <v>0</v>
      </c>
      <c r="N24" s="27">
        <f t="shared" ref="N24:N26" si="73">+M24/M$27</f>
        <v>0</v>
      </c>
      <c r="O24" s="24">
        <f t="shared" ref="O24:O26" si="74">+J24+L24</f>
        <v>0</v>
      </c>
      <c r="P24" s="28">
        <f t="shared" ref="P24:P26" si="75">+O24/O$27</f>
        <v>0</v>
      </c>
      <c r="Q24" s="24"/>
      <c r="R24" s="24">
        <f t="shared" ref="R24:R26" si="76">M24</f>
        <v>0</v>
      </c>
      <c r="S24" s="27">
        <f t="shared" si="56"/>
        <v>0</v>
      </c>
      <c r="T24" s="24">
        <f t="shared" ref="T24:T26" si="77">O24</f>
        <v>0</v>
      </c>
      <c r="U24" s="28">
        <f t="shared" si="57"/>
        <v>0</v>
      </c>
      <c r="V24" s="24"/>
      <c r="W24" s="24">
        <f t="shared" ref="W24:W26" si="78">R24+V24</f>
        <v>0</v>
      </c>
      <c r="X24" s="27">
        <f t="shared" si="59"/>
        <v>0</v>
      </c>
      <c r="Y24" s="24">
        <f t="shared" ref="Y24:Y26" si="79">+T24+V24</f>
        <v>0</v>
      </c>
      <c r="Z24" s="28">
        <f t="shared" si="61"/>
        <v>0</v>
      </c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46"/>
      <c r="AN24" s="46"/>
      <c r="AO24" s="46"/>
      <c r="AP24" s="46"/>
      <c r="AQ24" s="46"/>
    </row>
    <row r="25" ht="15.75" customHeight="1">
      <c r="A25" s="25">
        <v>11.0</v>
      </c>
      <c r="B25" s="45"/>
      <c r="C25" s="24">
        <v>0.0</v>
      </c>
      <c r="D25" s="27">
        <f t="shared" si="65"/>
        <v>0</v>
      </c>
      <c r="E25" s="24">
        <f t="shared" si="66"/>
        <v>0</v>
      </c>
      <c r="F25" s="28">
        <f t="shared" si="67"/>
        <v>0</v>
      </c>
      <c r="G25" s="24"/>
      <c r="H25" s="24">
        <f t="shared" si="68"/>
        <v>0</v>
      </c>
      <c r="I25" s="27">
        <f t="shared" si="69"/>
        <v>0</v>
      </c>
      <c r="J25" s="24">
        <f t="shared" si="70"/>
        <v>0</v>
      </c>
      <c r="K25" s="28">
        <f t="shared" si="71"/>
        <v>0</v>
      </c>
      <c r="L25" s="24"/>
      <c r="M25" s="24">
        <f t="shared" si="72"/>
        <v>0</v>
      </c>
      <c r="N25" s="27">
        <f t="shared" si="73"/>
        <v>0</v>
      </c>
      <c r="O25" s="24">
        <f t="shared" si="74"/>
        <v>0</v>
      </c>
      <c r="P25" s="28">
        <f t="shared" si="75"/>
        <v>0</v>
      </c>
      <c r="Q25" s="24"/>
      <c r="R25" s="24">
        <f t="shared" si="76"/>
        <v>0</v>
      </c>
      <c r="S25" s="27">
        <f t="shared" si="56"/>
        <v>0</v>
      </c>
      <c r="T25" s="24">
        <f t="shared" si="77"/>
        <v>0</v>
      </c>
      <c r="U25" s="28">
        <f t="shared" si="57"/>
        <v>0</v>
      </c>
      <c r="V25" s="24"/>
      <c r="W25" s="24">
        <f t="shared" si="78"/>
        <v>0</v>
      </c>
      <c r="X25" s="27">
        <f t="shared" si="59"/>
        <v>0</v>
      </c>
      <c r="Y25" s="24">
        <f t="shared" si="79"/>
        <v>0</v>
      </c>
      <c r="Z25" s="28">
        <f t="shared" si="61"/>
        <v>0</v>
      </c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ht="15.75" customHeight="1">
      <c r="A26" s="25">
        <v>12.0</v>
      </c>
      <c r="B26" s="45"/>
      <c r="C26" s="24">
        <v>0.0</v>
      </c>
      <c r="D26" s="27">
        <f t="shared" si="65"/>
        <v>0</v>
      </c>
      <c r="E26" s="24">
        <f t="shared" si="66"/>
        <v>0</v>
      </c>
      <c r="F26" s="28">
        <f t="shared" si="67"/>
        <v>0</v>
      </c>
      <c r="G26" s="24"/>
      <c r="H26" s="24">
        <f t="shared" si="68"/>
        <v>0</v>
      </c>
      <c r="I26" s="27">
        <f t="shared" si="69"/>
        <v>0</v>
      </c>
      <c r="J26" s="24">
        <f t="shared" si="70"/>
        <v>0</v>
      </c>
      <c r="K26" s="28">
        <f t="shared" si="71"/>
        <v>0</v>
      </c>
      <c r="L26" s="24"/>
      <c r="M26" s="24">
        <f t="shared" si="72"/>
        <v>0</v>
      </c>
      <c r="N26" s="27">
        <f t="shared" si="73"/>
        <v>0</v>
      </c>
      <c r="O26" s="24">
        <f t="shared" si="74"/>
        <v>0</v>
      </c>
      <c r="P26" s="28">
        <f t="shared" si="75"/>
        <v>0</v>
      </c>
      <c r="Q26" s="24"/>
      <c r="R26" s="24">
        <f t="shared" si="76"/>
        <v>0</v>
      </c>
      <c r="S26" s="27">
        <f t="shared" si="56"/>
        <v>0</v>
      </c>
      <c r="T26" s="24">
        <f t="shared" si="77"/>
        <v>0</v>
      </c>
      <c r="U26" s="28">
        <f t="shared" si="57"/>
        <v>0</v>
      </c>
      <c r="V26" s="24"/>
      <c r="W26" s="24">
        <f t="shared" si="78"/>
        <v>0</v>
      </c>
      <c r="X26" s="27">
        <f t="shared" si="59"/>
        <v>0</v>
      </c>
      <c r="Y26" s="24">
        <f t="shared" si="79"/>
        <v>0</v>
      </c>
      <c r="Z26" s="28">
        <f t="shared" si="61"/>
        <v>0</v>
      </c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ht="15.75" customHeight="1">
      <c r="A27" s="1"/>
      <c r="B27" s="29" t="s">
        <v>33</v>
      </c>
      <c r="C27" s="30">
        <f>+SUM(C23:C26)</f>
        <v>2000</v>
      </c>
      <c r="D27" s="31">
        <f>SUM(D23:D26)</f>
        <v>1</v>
      </c>
      <c r="E27" s="30">
        <f>+SUM(E23:E26)</f>
        <v>2000</v>
      </c>
      <c r="F27" s="32">
        <f>SUM(F23:F26)</f>
        <v>1</v>
      </c>
      <c r="G27" s="30">
        <f t="shared" ref="G27:H27" si="80">+SUM(G23:G26)</f>
        <v>1000</v>
      </c>
      <c r="H27" s="30">
        <f t="shared" si="80"/>
        <v>3000</v>
      </c>
      <c r="I27" s="32">
        <f>SUM(I23:I26)</f>
        <v>1</v>
      </c>
      <c r="J27" s="30">
        <f>+SUM(J23:J26)</f>
        <v>3000</v>
      </c>
      <c r="K27" s="32">
        <f>SUM(K23:K26)</f>
        <v>1</v>
      </c>
      <c r="L27" s="30">
        <f t="shared" ref="L27:M27" si="81">+SUM(L23:L26)</f>
        <v>0</v>
      </c>
      <c r="M27" s="30">
        <f t="shared" si="81"/>
        <v>3000</v>
      </c>
      <c r="N27" s="32">
        <f>SUM(N23:N26)</f>
        <v>1</v>
      </c>
      <c r="O27" s="30">
        <f>+SUM(O23:O26)</f>
        <v>3000</v>
      </c>
      <c r="P27" s="32">
        <f>SUM(P23:P26)</f>
        <v>1</v>
      </c>
      <c r="Q27" s="30">
        <f t="shared" ref="Q27:R27" si="82">+SUM(Q23:Q26)</f>
        <v>0</v>
      </c>
      <c r="R27" s="30">
        <f t="shared" si="82"/>
        <v>3000</v>
      </c>
      <c r="S27" s="32">
        <f t="shared" si="56"/>
        <v>1</v>
      </c>
      <c r="T27" s="30">
        <f>+SUM(T23:T26)</f>
        <v>3000</v>
      </c>
      <c r="U27" s="32">
        <f t="shared" si="57"/>
        <v>1</v>
      </c>
      <c r="V27" s="30">
        <f t="shared" ref="V27:W27" si="83">+SUM(V23:V26)</f>
        <v>0</v>
      </c>
      <c r="W27" s="30">
        <f t="shared" si="83"/>
        <v>3000</v>
      </c>
      <c r="X27" s="32">
        <f t="shared" si="59"/>
        <v>1</v>
      </c>
      <c r="Y27" s="30">
        <f>+SUM(Y23:Y26)</f>
        <v>3000</v>
      </c>
      <c r="Z27" s="32">
        <f t="shared" si="61"/>
        <v>1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ht="15.75" customHeight="1">
      <c r="A28" s="1"/>
      <c r="B28" s="1"/>
      <c r="C28" s="47"/>
      <c r="D28" s="1"/>
      <c r="E28" s="47"/>
      <c r="F28" s="1"/>
      <c r="G28" s="21"/>
      <c r="H28" s="47"/>
      <c r="I28" s="1"/>
      <c r="J28" s="47"/>
      <c r="K28" s="1"/>
      <c r="L28" s="21"/>
      <c r="M28" s="47"/>
      <c r="N28" s="1"/>
      <c r="O28" s="47"/>
      <c r="P28" s="48"/>
      <c r="Q28" s="21"/>
      <c r="R28" s="47"/>
      <c r="S28" s="1"/>
      <c r="T28" s="47"/>
      <c r="U28" s="1"/>
      <c r="V28" s="21"/>
      <c r="W28" s="47"/>
      <c r="X28" s="1"/>
      <c r="Y28" s="4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ht="15.75" customHeight="1">
      <c r="A29" s="1"/>
      <c r="B29" s="49" t="s">
        <v>34</v>
      </c>
      <c r="C29" s="50">
        <v>0.0</v>
      </c>
      <c r="D29" s="51"/>
      <c r="E29" s="52"/>
      <c r="F29" s="51"/>
      <c r="G29" s="50">
        <v>150000.0</v>
      </c>
      <c r="H29" s="52"/>
      <c r="I29" s="51"/>
      <c r="J29" s="52"/>
      <c r="K29" s="51"/>
      <c r="L29" s="50"/>
      <c r="M29" s="52"/>
      <c r="N29" s="51"/>
      <c r="O29" s="52"/>
      <c r="P29" s="51"/>
      <c r="Q29" s="50"/>
      <c r="R29" s="52"/>
      <c r="S29" s="51"/>
      <c r="T29" s="52"/>
      <c r="U29" s="51"/>
      <c r="V29" s="50"/>
      <c r="W29" s="52"/>
      <c r="X29" s="51"/>
      <c r="Y29" s="52"/>
      <c r="Z29" s="5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ht="15.75" customHeight="1">
      <c r="A30" s="1"/>
      <c r="B30" s="53"/>
      <c r="C30" s="54"/>
      <c r="D30" s="1"/>
      <c r="E30" s="47"/>
      <c r="F30" s="1"/>
      <c r="G30" s="55"/>
      <c r="H30" s="47"/>
      <c r="I30" s="56" t="s">
        <v>35</v>
      </c>
      <c r="J30" s="57" t="s">
        <v>36</v>
      </c>
      <c r="K30" s="1"/>
      <c r="L30" s="55"/>
      <c r="M30" s="47"/>
      <c r="N30" s="56" t="s">
        <v>35</v>
      </c>
      <c r="O30" s="57" t="s">
        <v>36</v>
      </c>
      <c r="P30" s="1"/>
      <c r="Q30" s="55"/>
      <c r="R30" s="47"/>
      <c r="S30" s="56" t="s">
        <v>35</v>
      </c>
      <c r="T30" s="57" t="s">
        <v>37</v>
      </c>
      <c r="U30" s="1"/>
      <c r="V30" s="55"/>
      <c r="W30" s="47"/>
      <c r="X30" s="58" t="s">
        <v>38</v>
      </c>
      <c r="Y30" s="59" t="s">
        <v>37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ht="15.75" customHeight="1">
      <c r="A31" s="1"/>
      <c r="B31" s="60" t="s">
        <v>39</v>
      </c>
      <c r="C31" s="61"/>
      <c r="D31" s="1"/>
      <c r="E31" s="47"/>
      <c r="F31" s="1"/>
      <c r="G31" s="61">
        <f>G27*G29/1000</f>
        <v>150000</v>
      </c>
      <c r="H31" s="47"/>
      <c r="I31" s="62">
        <v>3.0E8</v>
      </c>
      <c r="J31" s="62">
        <f>G29*H27</f>
        <v>450000000</v>
      </c>
      <c r="K31" s="1"/>
      <c r="L31" s="61">
        <f>L27*L29/1000</f>
        <v>0</v>
      </c>
      <c r="M31" s="47"/>
      <c r="N31" s="62">
        <f>H27*L29</f>
        <v>0</v>
      </c>
      <c r="O31" s="57">
        <f>M27*L29</f>
        <v>0</v>
      </c>
      <c r="P31" s="1"/>
      <c r="Q31" s="61">
        <v>0.0</v>
      </c>
      <c r="R31" s="47"/>
      <c r="S31" s="62">
        <f>M27*Q29</f>
        <v>0</v>
      </c>
      <c r="T31" s="57">
        <f>T27*Q29</f>
        <v>0</v>
      </c>
      <c r="U31" s="1"/>
      <c r="V31" s="61">
        <f>+V27*V29/1000</f>
        <v>0</v>
      </c>
      <c r="W31" s="47"/>
      <c r="X31" s="63">
        <f>T27*V29</f>
        <v>0</v>
      </c>
      <c r="Y31" s="59">
        <f>Y27*V29</f>
        <v>0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ht="15.75" customHeight="1">
      <c r="A32" s="1"/>
      <c r="B32" s="60" t="s">
        <v>40</v>
      </c>
      <c r="C32" s="61">
        <v>70000.0</v>
      </c>
      <c r="D32" s="64"/>
      <c r="E32" s="47"/>
      <c r="F32" s="1"/>
      <c r="G32" s="61">
        <f>C32+G31/2</f>
        <v>145000</v>
      </c>
      <c r="H32" s="47"/>
      <c r="I32" s="1"/>
      <c r="J32" s="47"/>
      <c r="K32" s="1"/>
      <c r="L32" s="61">
        <f>G32+L31/2</f>
        <v>145000</v>
      </c>
      <c r="M32" s="65" t="s">
        <v>41</v>
      </c>
      <c r="N32" s="66">
        <f>O31-N31</f>
        <v>0</v>
      </c>
      <c r="O32" s="47"/>
      <c r="P32" s="1"/>
      <c r="Q32" s="61"/>
      <c r="R32" s="47"/>
      <c r="S32" s="1"/>
      <c r="T32" s="47"/>
      <c r="U32" s="1"/>
      <c r="V32" s="61">
        <f>Q32+V31/2</f>
        <v>0</v>
      </c>
      <c r="W32" s="65" t="s">
        <v>41</v>
      </c>
      <c r="X32" s="66">
        <f>Y31-X31</f>
        <v>0</v>
      </c>
      <c r="Y32" s="47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ht="15.75" customHeight="1">
      <c r="A33" s="1"/>
      <c r="B33" s="67" t="s">
        <v>42</v>
      </c>
      <c r="C33" s="68">
        <v>0.0</v>
      </c>
      <c r="D33" s="69"/>
      <c r="E33" s="70"/>
      <c r="F33" s="71"/>
      <c r="G33" s="61">
        <f>+C33+G31/2</f>
        <v>75000</v>
      </c>
      <c r="H33" s="70"/>
      <c r="I33" s="71"/>
      <c r="J33" s="70"/>
      <c r="K33" s="71"/>
      <c r="L33" s="61">
        <f>L31/2</f>
        <v>0</v>
      </c>
      <c r="M33" s="70"/>
      <c r="N33" s="71"/>
      <c r="O33" s="70"/>
      <c r="P33" s="71"/>
      <c r="Q33" s="61"/>
      <c r="R33" s="72"/>
      <c r="S33" s="71"/>
      <c r="T33" s="70"/>
      <c r="U33" s="71"/>
      <c r="V33" s="68">
        <f>Q33+V31/2</f>
        <v>0</v>
      </c>
      <c r="W33" s="72"/>
      <c r="X33" s="71"/>
      <c r="Y33" s="70"/>
      <c r="Z33" s="7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ht="15.75" customHeight="1">
      <c r="A34" s="1"/>
      <c r="B34" s="73" t="s">
        <v>43</v>
      </c>
      <c r="C34" s="74" t="s">
        <v>44</v>
      </c>
      <c r="D34" s="75"/>
      <c r="E34" s="75"/>
      <c r="F34" s="75"/>
      <c r="G34" s="74" t="s">
        <v>45</v>
      </c>
      <c r="H34" s="76"/>
      <c r="I34" s="75"/>
      <c r="J34" s="75"/>
      <c r="K34" s="77"/>
      <c r="L34" s="74" t="s">
        <v>45</v>
      </c>
      <c r="M34" s="76"/>
      <c r="N34" s="75"/>
      <c r="O34" s="75"/>
      <c r="P34" s="77"/>
      <c r="Q34" s="78" t="s">
        <v>46</v>
      </c>
      <c r="R34" s="79"/>
      <c r="S34" s="80"/>
      <c r="T34" s="80"/>
      <c r="U34" s="77"/>
      <c r="V34" s="74" t="s">
        <v>45</v>
      </c>
      <c r="W34" s="76"/>
      <c r="X34" s="75"/>
      <c r="Y34" s="75"/>
      <c r="Z34" s="77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ht="24.0" customHeight="1">
      <c r="A35" s="1"/>
      <c r="B35" s="81"/>
      <c r="C35" s="82" t="s">
        <v>47</v>
      </c>
      <c r="G35" s="82" t="s">
        <v>48</v>
      </c>
      <c r="L35" s="82"/>
      <c r="Q35" s="82"/>
      <c r="V35" s="82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ht="99.75" customHeight="1">
      <c r="A36" s="1"/>
      <c r="B36" s="83"/>
      <c r="C36" s="84"/>
      <c r="D36" s="85"/>
      <c r="E36" s="85"/>
      <c r="F36" s="85"/>
      <c r="G36" s="84"/>
      <c r="H36" s="85"/>
      <c r="I36" s="85"/>
      <c r="J36" s="85"/>
      <c r="K36" s="85"/>
      <c r="L36" s="84"/>
      <c r="M36" s="85"/>
      <c r="N36" s="85"/>
      <c r="O36" s="85"/>
      <c r="P36" s="85"/>
      <c r="Q36" s="84"/>
      <c r="R36" s="85"/>
      <c r="S36" s="85"/>
      <c r="T36" s="85"/>
      <c r="U36" s="85"/>
      <c r="V36" s="84"/>
      <c r="W36" s="85"/>
      <c r="X36" s="85"/>
      <c r="Y36" s="85"/>
      <c r="Z36" s="8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</sheetData>
  <mergeCells count="38">
    <mergeCell ref="Q5:U5"/>
    <mergeCell ref="V5:Z5"/>
    <mergeCell ref="R6:U6"/>
    <mergeCell ref="W6:Z6"/>
    <mergeCell ref="B1:E1"/>
    <mergeCell ref="C4:F4"/>
    <mergeCell ref="G4:K4"/>
    <mergeCell ref="L4:P4"/>
    <mergeCell ref="Q4:U4"/>
    <mergeCell ref="V4:Z4"/>
    <mergeCell ref="C5:F5"/>
    <mergeCell ref="M8:N8"/>
    <mergeCell ref="O8:P8"/>
    <mergeCell ref="R8:S8"/>
    <mergeCell ref="T8:U8"/>
    <mergeCell ref="W8:X8"/>
    <mergeCell ref="Y8:Z8"/>
    <mergeCell ref="G5:K5"/>
    <mergeCell ref="L5:P5"/>
    <mergeCell ref="C6:F6"/>
    <mergeCell ref="H6:K6"/>
    <mergeCell ref="M6:P6"/>
    <mergeCell ref="C8:D8"/>
    <mergeCell ref="E8:F8"/>
    <mergeCell ref="B29:B30"/>
    <mergeCell ref="B34:B36"/>
    <mergeCell ref="C35:F36"/>
    <mergeCell ref="G35:K36"/>
    <mergeCell ref="L35:P36"/>
    <mergeCell ref="Q35:U36"/>
    <mergeCell ref="V35:Z36"/>
    <mergeCell ref="H8:I8"/>
    <mergeCell ref="J8:K8"/>
    <mergeCell ref="C29:C30"/>
    <mergeCell ref="G29:G30"/>
    <mergeCell ref="L29:L30"/>
    <mergeCell ref="Q29:Q30"/>
    <mergeCell ref="V29:V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3.88"/>
    <col customWidth="1" min="2" max="2" width="39.25"/>
    <col customWidth="1" min="3" max="3" width="8.0"/>
    <col customWidth="1" min="4" max="4" width="7.0"/>
    <col customWidth="1" min="5" max="5" width="6.63"/>
    <col customWidth="1" min="6" max="6" width="7.0"/>
    <col customWidth="1" min="7" max="7" width="8.88"/>
    <col customWidth="1" min="8" max="8" width="6.63"/>
    <col customWidth="1" min="9" max="9" width="10.13"/>
    <col customWidth="1" min="10" max="10" width="10.0"/>
    <col customWidth="1" min="11" max="11" width="7.0"/>
    <col customWidth="1" min="12" max="12" width="8.25"/>
    <col customWidth="1" min="13" max="13" width="7.38"/>
    <col customWidth="1" min="14" max="14" width="8.25"/>
    <col customWidth="1" min="15" max="15" width="8.75"/>
    <col customWidth="1" min="16" max="16" width="7.38"/>
    <col customWidth="1" min="17" max="17" width="8.25"/>
    <col customWidth="1" min="18" max="18" width="7.75"/>
    <col customWidth="1" min="19" max="19" width="8.25"/>
    <col customWidth="1" min="20" max="20" width="9.88"/>
    <col customWidth="1" min="21" max="21" width="8.0"/>
    <col customWidth="1" min="22" max="22" width="7.63"/>
    <col customWidth="1" min="23" max="23" width="7.38"/>
    <col customWidth="1" min="24" max="24" width="9.13"/>
    <col customWidth="1" min="25" max="25" width="9.5"/>
    <col customWidth="1" min="26" max="26" width="7.38"/>
    <col customWidth="1" min="27" max="31" width="9.13"/>
    <col customWidth="1" min="32" max="32" width="8.25"/>
    <col customWidth="1" min="33" max="33" width="6.88"/>
    <col customWidth="1" min="34" max="34" width="8.25"/>
    <col customWidth="1" min="35" max="35" width="8.88"/>
    <col customWidth="1" min="36" max="36" width="8.13"/>
    <col customWidth="1" min="37" max="37" width="8.0"/>
    <col customWidth="1" min="38" max="38" width="6.88"/>
    <col customWidth="1" min="39" max="43" width="9.63"/>
  </cols>
  <sheetData>
    <row r="1" ht="23.25" customHeight="1">
      <c r="A1" s="1"/>
      <c r="B1" s="2" t="s">
        <v>0</v>
      </c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ht="6.75" customHeight="1">
      <c r="A2" s="1"/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>
      <c r="A3" s="1"/>
      <c r="B3" s="6" t="s">
        <v>1</v>
      </c>
      <c r="C3" s="1"/>
      <c r="D3" s="1"/>
      <c r="E3" s="1"/>
      <c r="F3" s="1"/>
      <c r="G3" s="7">
        <f>G18*G29</f>
        <v>21440000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>
      <c r="A4" s="1"/>
      <c r="B4" s="8"/>
      <c r="C4" s="9"/>
      <c r="D4" s="10"/>
      <c r="E4" s="10"/>
      <c r="F4" s="11"/>
      <c r="G4" s="9"/>
      <c r="H4" s="10"/>
      <c r="I4" s="10"/>
      <c r="J4" s="10"/>
      <c r="K4" s="10"/>
      <c r="L4" s="9"/>
      <c r="M4" s="10"/>
      <c r="N4" s="10"/>
      <c r="O4" s="10"/>
      <c r="P4" s="10"/>
      <c r="Q4" s="9"/>
      <c r="R4" s="10"/>
      <c r="S4" s="10"/>
      <c r="T4" s="10"/>
      <c r="U4" s="10"/>
      <c r="V4" s="9"/>
      <c r="W4" s="10"/>
      <c r="X4" s="10"/>
      <c r="Y4" s="10"/>
      <c r="Z4" s="1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>
      <c r="A5" s="1"/>
      <c r="B5" s="12"/>
      <c r="C5" s="86" t="s">
        <v>49</v>
      </c>
      <c r="G5" s="13" t="s">
        <v>3</v>
      </c>
      <c r="L5" s="13" t="s">
        <v>4</v>
      </c>
      <c r="Q5" s="13" t="s">
        <v>5</v>
      </c>
      <c r="V5" s="13" t="s">
        <v>6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>
      <c r="A6" s="1"/>
      <c r="B6" s="12"/>
      <c r="C6" s="14" t="s">
        <v>7</v>
      </c>
      <c r="G6" s="14" t="s">
        <v>8</v>
      </c>
      <c r="H6" s="15" t="s">
        <v>9</v>
      </c>
      <c r="L6" s="14" t="s">
        <v>10</v>
      </c>
      <c r="M6" s="15" t="s">
        <v>9</v>
      </c>
      <c r="Q6" s="14" t="s">
        <v>11</v>
      </c>
      <c r="R6" s="15" t="s">
        <v>9</v>
      </c>
      <c r="V6" s="14" t="s">
        <v>10</v>
      </c>
      <c r="W6" s="15" t="s">
        <v>9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>
      <c r="A7" s="1"/>
      <c r="B7" s="12"/>
      <c r="C7" s="14"/>
      <c r="D7" s="15"/>
      <c r="E7" s="15"/>
      <c r="F7" s="15"/>
      <c r="G7" s="14" t="s">
        <v>12</v>
      </c>
      <c r="H7" s="15"/>
      <c r="I7" s="15"/>
      <c r="J7" s="15"/>
      <c r="K7" s="15"/>
      <c r="L7" s="14" t="s">
        <v>12</v>
      </c>
      <c r="M7" s="15"/>
      <c r="N7" s="15"/>
      <c r="O7" s="15"/>
      <c r="P7" s="15"/>
      <c r="Q7" s="14" t="s">
        <v>12</v>
      </c>
      <c r="R7" s="15"/>
      <c r="S7" s="15"/>
      <c r="T7" s="15"/>
      <c r="U7" s="15"/>
      <c r="V7" s="14" t="s">
        <v>12</v>
      </c>
      <c r="W7" s="15"/>
      <c r="X7" s="15"/>
      <c r="Y7" s="15"/>
      <c r="Z7" s="15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>
      <c r="A8" s="1"/>
      <c r="B8" s="12"/>
      <c r="C8" s="9" t="s">
        <v>13</v>
      </c>
      <c r="D8" s="11"/>
      <c r="E8" s="9" t="s">
        <v>14</v>
      </c>
      <c r="F8" s="10"/>
      <c r="G8" s="13" t="s">
        <v>15</v>
      </c>
      <c r="H8" s="9" t="s">
        <v>13</v>
      </c>
      <c r="I8" s="11"/>
      <c r="J8" s="9" t="s">
        <v>14</v>
      </c>
      <c r="K8" s="10"/>
      <c r="L8" s="13" t="s">
        <v>15</v>
      </c>
      <c r="M8" s="9" t="s">
        <v>13</v>
      </c>
      <c r="N8" s="11"/>
      <c r="O8" s="9" t="s">
        <v>14</v>
      </c>
      <c r="P8" s="10"/>
      <c r="Q8" s="13" t="s">
        <v>16</v>
      </c>
      <c r="R8" s="9" t="s">
        <v>13</v>
      </c>
      <c r="S8" s="11"/>
      <c r="T8" s="9" t="s">
        <v>14</v>
      </c>
      <c r="U8" s="10"/>
      <c r="V8" s="13" t="s">
        <v>15</v>
      </c>
      <c r="W8" s="9" t="s">
        <v>13</v>
      </c>
      <c r="X8" s="11"/>
      <c r="Y8" s="9" t="s">
        <v>14</v>
      </c>
      <c r="Z8" s="1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>
      <c r="A9" s="1"/>
      <c r="B9" s="16" t="s">
        <v>17</v>
      </c>
      <c r="C9" s="17" t="s">
        <v>18</v>
      </c>
      <c r="D9" s="18" t="s">
        <v>19</v>
      </c>
      <c r="E9" s="17" t="s">
        <v>18</v>
      </c>
      <c r="F9" s="19" t="s">
        <v>19</v>
      </c>
      <c r="G9" s="17" t="s">
        <v>18</v>
      </c>
      <c r="H9" s="17" t="s">
        <v>18</v>
      </c>
      <c r="I9" s="18" t="s">
        <v>19</v>
      </c>
      <c r="J9" s="17" t="s">
        <v>18</v>
      </c>
      <c r="K9" s="19" t="s">
        <v>19</v>
      </c>
      <c r="L9" s="17" t="s">
        <v>18</v>
      </c>
      <c r="M9" s="17" t="s">
        <v>18</v>
      </c>
      <c r="N9" s="18" t="s">
        <v>19</v>
      </c>
      <c r="O9" s="17" t="s">
        <v>18</v>
      </c>
      <c r="P9" s="19" t="s">
        <v>19</v>
      </c>
      <c r="Q9" s="17" t="s">
        <v>18</v>
      </c>
      <c r="R9" s="17" t="s">
        <v>18</v>
      </c>
      <c r="S9" s="18" t="s">
        <v>19</v>
      </c>
      <c r="T9" s="17" t="s">
        <v>18</v>
      </c>
      <c r="U9" s="19" t="s">
        <v>19</v>
      </c>
      <c r="V9" s="17" t="s">
        <v>18</v>
      </c>
      <c r="W9" s="17" t="s">
        <v>18</v>
      </c>
      <c r="X9" s="18" t="s">
        <v>19</v>
      </c>
      <c r="Y9" s="17" t="s">
        <v>18</v>
      </c>
      <c r="Z9" s="19" t="s">
        <v>19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ht="18.75" customHeight="1">
      <c r="A10" s="1">
        <v>1.0</v>
      </c>
      <c r="B10" s="20" t="s">
        <v>20</v>
      </c>
      <c r="C10" s="21">
        <v>1300.0</v>
      </c>
      <c r="D10" s="22">
        <f t="shared" ref="D10:D12" si="1">+C10/C$27</f>
        <v>0.65</v>
      </c>
      <c r="E10" s="21">
        <f t="shared" ref="E10:E12" si="2">+C10</f>
        <v>1300</v>
      </c>
      <c r="F10" s="23">
        <f t="shared" ref="F10:F12" si="3">+E10/E$27</f>
        <v>0.65</v>
      </c>
      <c r="G10" s="21">
        <v>0.0</v>
      </c>
      <c r="H10" s="21">
        <f t="shared" ref="H10:H12" si="4">+C10+G10</f>
        <v>1300</v>
      </c>
      <c r="I10" s="22">
        <f t="shared" ref="I10:I12" si="5">+H10/H$27</f>
        <v>0.4333333333</v>
      </c>
      <c r="J10" s="21">
        <f t="shared" ref="J10:J12" si="6">+E10+G10</f>
        <v>1300</v>
      </c>
      <c r="K10" s="23">
        <f t="shared" ref="K10:K12" si="7">+J10/J$27</f>
        <v>0.4333333333</v>
      </c>
      <c r="L10" s="21">
        <v>0.0</v>
      </c>
      <c r="M10" s="21">
        <f t="shared" ref="M10:M12" si="8">+H10+L10</f>
        <v>1300</v>
      </c>
      <c r="N10" s="22">
        <f t="shared" ref="N10:N12" si="9">+M10/M$27</f>
        <v>0.4333333333</v>
      </c>
      <c r="O10" s="21">
        <f t="shared" ref="O10:O12" si="10">+J10+L10</f>
        <v>1300</v>
      </c>
      <c r="P10" s="23">
        <f t="shared" ref="P10:P12" si="11">+O10/O$27</f>
        <v>0.4333333333</v>
      </c>
      <c r="Q10" s="21"/>
      <c r="R10" s="24">
        <f t="shared" ref="R10:R12" si="12">+M10+Q10</f>
        <v>1300</v>
      </c>
      <c r="S10" s="22">
        <f t="shared" ref="S10:S12" si="13">+R10/R$27</f>
        <v>0.4333333333</v>
      </c>
      <c r="T10" s="21">
        <f>R10</f>
        <v>1300</v>
      </c>
      <c r="U10" s="23">
        <f t="shared" ref="U10:U12" si="14">+T10/T$27</f>
        <v>0.4333333333</v>
      </c>
      <c r="V10" s="21"/>
      <c r="W10" s="21">
        <f t="shared" ref="W10:W12" si="15">R10+V10</f>
        <v>1300</v>
      </c>
      <c r="X10" s="22">
        <f t="shared" ref="X10:X12" si="16">+W10/W$27</f>
        <v>0.4333333333</v>
      </c>
      <c r="Y10" s="21">
        <f t="shared" ref="Y10:Y12" si="17">+T10+V10</f>
        <v>1300</v>
      </c>
      <c r="Z10" s="23">
        <f t="shared" ref="Z10:Z12" si="18">+Y10/Y$27</f>
        <v>0.4333333333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>
      <c r="A11" s="1">
        <v>2.0</v>
      </c>
      <c r="B11" s="12" t="s">
        <v>21</v>
      </c>
      <c r="C11" s="21">
        <v>700.0</v>
      </c>
      <c r="D11" s="22">
        <f t="shared" si="1"/>
        <v>0.35</v>
      </c>
      <c r="E11" s="21">
        <f t="shared" si="2"/>
        <v>700</v>
      </c>
      <c r="F11" s="23">
        <f t="shared" si="3"/>
        <v>0.35</v>
      </c>
      <c r="G11" s="21">
        <v>0.0</v>
      </c>
      <c r="H11" s="21">
        <f t="shared" si="4"/>
        <v>700</v>
      </c>
      <c r="I11" s="22">
        <f t="shared" si="5"/>
        <v>0.2333333333</v>
      </c>
      <c r="J11" s="21">
        <f t="shared" si="6"/>
        <v>700</v>
      </c>
      <c r="K11" s="23">
        <f t="shared" si="7"/>
        <v>0.2333333333</v>
      </c>
      <c r="L11" s="21">
        <v>0.0</v>
      </c>
      <c r="M11" s="21">
        <f t="shared" si="8"/>
        <v>700</v>
      </c>
      <c r="N11" s="22">
        <f t="shared" si="9"/>
        <v>0.2333333333</v>
      </c>
      <c r="O11" s="21">
        <f t="shared" si="10"/>
        <v>700</v>
      </c>
      <c r="P11" s="23">
        <f t="shared" si="11"/>
        <v>0.2333333333</v>
      </c>
      <c r="Q11" s="21"/>
      <c r="R11" s="24">
        <f t="shared" si="12"/>
        <v>700</v>
      </c>
      <c r="S11" s="22">
        <f t="shared" si="13"/>
        <v>0.2333333333</v>
      </c>
      <c r="T11" s="21">
        <f>O11</f>
        <v>700</v>
      </c>
      <c r="U11" s="23">
        <f t="shared" si="14"/>
        <v>0.2333333333</v>
      </c>
      <c r="V11" s="21"/>
      <c r="W11" s="21">
        <f t="shared" si="15"/>
        <v>700</v>
      </c>
      <c r="X11" s="22">
        <f t="shared" si="16"/>
        <v>0.2333333333</v>
      </c>
      <c r="Y11" s="21">
        <f t="shared" si="17"/>
        <v>700</v>
      </c>
      <c r="Z11" s="23">
        <f t="shared" si="18"/>
        <v>0.2333333333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>
      <c r="A12" s="25">
        <v>3.0</v>
      </c>
      <c r="B12" s="26"/>
      <c r="C12" s="24">
        <v>0.0</v>
      </c>
      <c r="D12" s="27">
        <f t="shared" si="1"/>
        <v>0</v>
      </c>
      <c r="E12" s="24">
        <f t="shared" si="2"/>
        <v>0</v>
      </c>
      <c r="F12" s="28">
        <f t="shared" si="3"/>
        <v>0</v>
      </c>
      <c r="G12" s="24"/>
      <c r="H12" s="24">
        <f t="shared" si="4"/>
        <v>0</v>
      </c>
      <c r="I12" s="27">
        <f t="shared" si="5"/>
        <v>0</v>
      </c>
      <c r="J12" s="24">
        <f t="shared" si="6"/>
        <v>0</v>
      </c>
      <c r="K12" s="28">
        <f t="shared" si="7"/>
        <v>0</v>
      </c>
      <c r="L12" s="24">
        <v>0.0</v>
      </c>
      <c r="M12" s="24">
        <f t="shared" si="8"/>
        <v>0</v>
      </c>
      <c r="N12" s="27">
        <f t="shared" si="9"/>
        <v>0</v>
      </c>
      <c r="O12" s="24">
        <f t="shared" si="10"/>
        <v>0</v>
      </c>
      <c r="P12" s="28">
        <f t="shared" si="11"/>
        <v>0</v>
      </c>
      <c r="Q12" s="24"/>
      <c r="R12" s="24">
        <f t="shared" si="12"/>
        <v>0</v>
      </c>
      <c r="S12" s="27">
        <f t="shared" si="13"/>
        <v>0</v>
      </c>
      <c r="T12" s="24">
        <f>R12</f>
        <v>0</v>
      </c>
      <c r="U12" s="28">
        <f t="shared" si="14"/>
        <v>0</v>
      </c>
      <c r="V12" s="24"/>
      <c r="W12" s="21">
        <f t="shared" si="15"/>
        <v>0</v>
      </c>
      <c r="X12" s="27">
        <f t="shared" si="16"/>
        <v>0</v>
      </c>
      <c r="Y12" s="24">
        <f t="shared" si="17"/>
        <v>0</v>
      </c>
      <c r="Z12" s="28">
        <f t="shared" si="18"/>
        <v>0</v>
      </c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>
      <c r="A13" s="1"/>
      <c r="B13" s="29" t="s">
        <v>22</v>
      </c>
      <c r="C13" s="30">
        <f t="shared" ref="C13:K13" si="19">SUM(C10:C11)</f>
        <v>2000</v>
      </c>
      <c r="D13" s="31">
        <f t="shared" si="19"/>
        <v>1</v>
      </c>
      <c r="E13" s="30">
        <f t="shared" si="19"/>
        <v>2000</v>
      </c>
      <c r="F13" s="32">
        <f t="shared" si="19"/>
        <v>1</v>
      </c>
      <c r="G13" s="30">
        <f t="shared" si="19"/>
        <v>0</v>
      </c>
      <c r="H13" s="30">
        <f t="shared" si="19"/>
        <v>2000</v>
      </c>
      <c r="I13" s="32">
        <f t="shared" si="19"/>
        <v>0.6666666667</v>
      </c>
      <c r="J13" s="30">
        <f t="shared" si="19"/>
        <v>2000</v>
      </c>
      <c r="K13" s="32">
        <f t="shared" si="19"/>
        <v>0.6666666667</v>
      </c>
      <c r="L13" s="30">
        <f t="shared" ref="L13:M13" si="20">SUM(L10:L12)</f>
        <v>0</v>
      </c>
      <c r="M13" s="30">
        <f t="shared" si="20"/>
        <v>2000</v>
      </c>
      <c r="N13" s="32">
        <f>SUM(N10:N11)</f>
        <v>0.6666666667</v>
      </c>
      <c r="O13" s="30">
        <f>SUM(O10:O12)</f>
        <v>2000</v>
      </c>
      <c r="P13" s="32">
        <f>SUM(P10:P11)</f>
        <v>0.6666666667</v>
      </c>
      <c r="Q13" s="30">
        <f t="shared" ref="Q13:R13" si="21">SUM(Q10:Q12)</f>
        <v>0</v>
      </c>
      <c r="R13" s="30">
        <f t="shared" si="21"/>
        <v>2000</v>
      </c>
      <c r="S13" s="32">
        <f>SUM(S10:S11)</f>
        <v>0.6666666667</v>
      </c>
      <c r="T13" s="30">
        <f>SUM(T10:T12)</f>
        <v>2000</v>
      </c>
      <c r="U13" s="32">
        <f>SUM(U10:U11)</f>
        <v>0.6666666667</v>
      </c>
      <c r="V13" s="30">
        <f t="shared" ref="V13:W13" si="22">SUM(V10:V12)</f>
        <v>0</v>
      </c>
      <c r="W13" s="30">
        <f t="shared" si="22"/>
        <v>2000</v>
      </c>
      <c r="X13" s="32">
        <f>SUM(X10:X11)</f>
        <v>0.6666666667</v>
      </c>
      <c r="Y13" s="30">
        <f>SUM(Y10:Y12)</f>
        <v>2000</v>
      </c>
      <c r="Z13" s="32">
        <f>SUM(Z10:Z11)</f>
        <v>0.6666666667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>
      <c r="A14" s="1">
        <v>4.0</v>
      </c>
      <c r="B14" s="12" t="s">
        <v>23</v>
      </c>
      <c r="C14" s="21">
        <v>0.0</v>
      </c>
      <c r="D14" s="22">
        <f t="shared" ref="D14:D16" si="23">+C14/C$27</f>
        <v>0</v>
      </c>
      <c r="E14" s="21">
        <f t="shared" ref="E14:E16" si="24">+C14</f>
        <v>0</v>
      </c>
      <c r="F14" s="23">
        <f t="shared" ref="F14:F16" si="25">+E14/E$27</f>
        <v>0</v>
      </c>
      <c r="G14" s="21"/>
      <c r="H14" s="21">
        <f t="shared" ref="H14:H16" si="26">+C14+G14</f>
        <v>0</v>
      </c>
      <c r="I14" s="23">
        <f t="shared" ref="I14:I16" si="27">+H14/H$27</f>
        <v>0</v>
      </c>
      <c r="J14" s="21">
        <f t="shared" ref="J14:J16" si="28">+E14+G14</f>
        <v>0</v>
      </c>
      <c r="K14" s="23">
        <f t="shared" ref="K14:K16" si="29">+J14/J$27</f>
        <v>0</v>
      </c>
      <c r="L14" s="21"/>
      <c r="M14" s="21">
        <f t="shared" ref="M14:M16" si="30">+H14+L14</f>
        <v>0</v>
      </c>
      <c r="N14" s="23">
        <f t="shared" ref="N14:N16" si="31">+M14/M$27</f>
        <v>0</v>
      </c>
      <c r="O14" s="21">
        <f t="shared" ref="O14:O16" si="32">+J14+L14</f>
        <v>0</v>
      </c>
      <c r="P14" s="23">
        <f t="shared" ref="P14:P16" si="33">+O14/O$27</f>
        <v>0</v>
      </c>
      <c r="Q14" s="21"/>
      <c r="R14" s="21">
        <f t="shared" ref="R14:R16" si="34">M14</f>
        <v>0</v>
      </c>
      <c r="S14" s="22">
        <f t="shared" ref="S14:S16" si="35">+R14/R$27</f>
        <v>0</v>
      </c>
      <c r="T14" s="21" t="str">
        <f t="shared" ref="T14:T16" si="36">Q14</f>
        <v/>
      </c>
      <c r="U14" s="23">
        <f t="shared" ref="U14:U16" si="37">+T14/T$27</f>
        <v>0</v>
      </c>
      <c r="V14" s="21"/>
      <c r="W14" s="21">
        <f t="shared" ref="W14:W16" si="38">R14+V14</f>
        <v>0</v>
      </c>
      <c r="X14" s="22">
        <f t="shared" ref="X14:X16" si="39">+W14/W$27</f>
        <v>0</v>
      </c>
      <c r="Y14" s="21">
        <f t="shared" ref="Y14:Y16" si="40">+T14+V14</f>
        <v>0</v>
      </c>
      <c r="Z14" s="23">
        <f t="shared" ref="Z14:Z16" si="41">+Y14/Y$27</f>
        <v>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>
      <c r="A15" s="1">
        <v>5.0</v>
      </c>
      <c r="B15" s="12" t="s">
        <v>24</v>
      </c>
      <c r="C15" s="21">
        <v>0.0</v>
      </c>
      <c r="D15" s="22">
        <f t="shared" si="23"/>
        <v>0</v>
      </c>
      <c r="E15" s="21">
        <f t="shared" si="24"/>
        <v>0</v>
      </c>
      <c r="F15" s="23">
        <f t="shared" si="25"/>
        <v>0</v>
      </c>
      <c r="G15" s="21"/>
      <c r="H15" s="21">
        <f t="shared" si="26"/>
        <v>0</v>
      </c>
      <c r="I15" s="23">
        <f t="shared" si="27"/>
        <v>0</v>
      </c>
      <c r="J15" s="21">
        <f t="shared" si="28"/>
        <v>0</v>
      </c>
      <c r="K15" s="23">
        <f t="shared" si="29"/>
        <v>0</v>
      </c>
      <c r="L15" s="21"/>
      <c r="M15" s="21">
        <f t="shared" si="30"/>
        <v>0</v>
      </c>
      <c r="N15" s="23">
        <f t="shared" si="31"/>
        <v>0</v>
      </c>
      <c r="O15" s="21">
        <f t="shared" si="32"/>
        <v>0</v>
      </c>
      <c r="P15" s="23">
        <f t="shared" si="33"/>
        <v>0</v>
      </c>
      <c r="Q15" s="21"/>
      <c r="R15" s="21">
        <f t="shared" si="34"/>
        <v>0</v>
      </c>
      <c r="S15" s="23">
        <f t="shared" si="35"/>
        <v>0</v>
      </c>
      <c r="T15" s="21" t="str">
        <f t="shared" si="36"/>
        <v/>
      </c>
      <c r="U15" s="23">
        <f t="shared" si="37"/>
        <v>0</v>
      </c>
      <c r="V15" s="21"/>
      <c r="W15" s="21">
        <f t="shared" si="38"/>
        <v>0</v>
      </c>
      <c r="X15" s="23">
        <f t="shared" si="39"/>
        <v>0</v>
      </c>
      <c r="Y15" s="21">
        <f t="shared" si="40"/>
        <v>0</v>
      </c>
      <c r="Z15" s="23">
        <f t="shared" si="41"/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>
      <c r="A16" s="1">
        <v>6.0</v>
      </c>
      <c r="B16" s="12" t="s">
        <v>25</v>
      </c>
      <c r="C16" s="21">
        <v>0.0</v>
      </c>
      <c r="D16" s="22">
        <f t="shared" si="23"/>
        <v>0</v>
      </c>
      <c r="E16" s="21">
        <f t="shared" si="24"/>
        <v>0</v>
      </c>
      <c r="F16" s="23">
        <f t="shared" si="25"/>
        <v>0</v>
      </c>
      <c r="G16" s="21"/>
      <c r="H16" s="21">
        <f t="shared" si="26"/>
        <v>0</v>
      </c>
      <c r="I16" s="23">
        <f t="shared" si="27"/>
        <v>0</v>
      </c>
      <c r="J16" s="21">
        <f t="shared" si="28"/>
        <v>0</v>
      </c>
      <c r="K16" s="23">
        <f t="shared" si="29"/>
        <v>0</v>
      </c>
      <c r="L16" s="21"/>
      <c r="M16" s="21">
        <f t="shared" si="30"/>
        <v>0</v>
      </c>
      <c r="N16" s="23">
        <f t="shared" si="31"/>
        <v>0</v>
      </c>
      <c r="O16" s="21">
        <f t="shared" si="32"/>
        <v>0</v>
      </c>
      <c r="P16" s="23">
        <f t="shared" si="33"/>
        <v>0</v>
      </c>
      <c r="Q16" s="21"/>
      <c r="R16" s="21">
        <f t="shared" si="34"/>
        <v>0</v>
      </c>
      <c r="S16" s="23">
        <f t="shared" si="35"/>
        <v>0</v>
      </c>
      <c r="T16" s="21" t="str">
        <f t="shared" si="36"/>
        <v/>
      </c>
      <c r="U16" s="23">
        <f t="shared" si="37"/>
        <v>0</v>
      </c>
      <c r="V16" s="21"/>
      <c r="W16" s="21">
        <f t="shared" si="38"/>
        <v>0</v>
      </c>
      <c r="X16" s="23">
        <f t="shared" si="39"/>
        <v>0</v>
      </c>
      <c r="Y16" s="21">
        <f t="shared" si="40"/>
        <v>0</v>
      </c>
      <c r="Z16" s="23">
        <f t="shared" si="41"/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>
      <c r="A17" s="1"/>
      <c r="B17" s="29" t="s">
        <v>26</v>
      </c>
      <c r="C17" s="30">
        <f t="shared" ref="C17:R17" si="42">SUM(C13:C16)</f>
        <v>2000</v>
      </c>
      <c r="D17" s="31">
        <f t="shared" si="42"/>
        <v>1</v>
      </c>
      <c r="E17" s="30">
        <f t="shared" si="42"/>
        <v>2000</v>
      </c>
      <c r="F17" s="32">
        <f t="shared" si="42"/>
        <v>1</v>
      </c>
      <c r="G17" s="30">
        <f t="shared" si="42"/>
        <v>0</v>
      </c>
      <c r="H17" s="30">
        <f t="shared" si="42"/>
        <v>2000</v>
      </c>
      <c r="I17" s="32">
        <f t="shared" si="42"/>
        <v>0.6666666667</v>
      </c>
      <c r="J17" s="30">
        <f t="shared" si="42"/>
        <v>2000</v>
      </c>
      <c r="K17" s="32">
        <f t="shared" si="42"/>
        <v>0.6666666667</v>
      </c>
      <c r="L17" s="30">
        <f t="shared" si="42"/>
        <v>0</v>
      </c>
      <c r="M17" s="30">
        <f t="shared" si="42"/>
        <v>2000</v>
      </c>
      <c r="N17" s="32">
        <f t="shared" si="42"/>
        <v>0.6666666667</v>
      </c>
      <c r="O17" s="30">
        <f t="shared" si="42"/>
        <v>2000</v>
      </c>
      <c r="P17" s="32">
        <f t="shared" si="42"/>
        <v>0.6666666667</v>
      </c>
      <c r="Q17" s="30">
        <f t="shared" si="42"/>
        <v>0</v>
      </c>
      <c r="R17" s="30">
        <f t="shared" si="42"/>
        <v>2000</v>
      </c>
      <c r="S17" s="32">
        <f>SUM(S13)</f>
        <v>0.6666666667</v>
      </c>
      <c r="T17" s="30">
        <f>SUM(T13:T16)</f>
        <v>2000</v>
      </c>
      <c r="U17" s="32">
        <f t="shared" ref="U17:V17" si="43">SUM(U13)</f>
        <v>0.6666666667</v>
      </c>
      <c r="V17" s="30">
        <f t="shared" si="43"/>
        <v>0</v>
      </c>
      <c r="W17" s="30">
        <f>SUM(W13:W16)</f>
        <v>2000</v>
      </c>
      <c r="X17" s="32">
        <f>SUM(X13)</f>
        <v>0.6666666667</v>
      </c>
      <c r="Y17" s="30">
        <f>SUM(Y13:Y16)</f>
        <v>2000</v>
      </c>
      <c r="Z17" s="32">
        <f>SUM(Z13)</f>
        <v>0.6666666667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>
      <c r="A18" s="33">
        <v>7.0</v>
      </c>
      <c r="B18" s="34" t="s">
        <v>27</v>
      </c>
      <c r="C18" s="35">
        <v>0.0</v>
      </c>
      <c r="D18" s="36">
        <f t="shared" ref="D18:D22" si="44">+C18/C$27</f>
        <v>0</v>
      </c>
      <c r="E18" s="35">
        <f t="shared" ref="E18:E22" si="45">+C18</f>
        <v>0</v>
      </c>
      <c r="F18" s="37">
        <f t="shared" ref="F18:F22" si="46">+E18/E$27</f>
        <v>0</v>
      </c>
      <c r="G18" s="35">
        <v>134.0</v>
      </c>
      <c r="H18" s="35">
        <f t="shared" ref="H18:H22" si="47">+C18+G18</f>
        <v>134</v>
      </c>
      <c r="I18" s="36">
        <f t="shared" ref="I18:I22" si="48">+H18/H$27</f>
        <v>0.04466666667</v>
      </c>
      <c r="J18" s="35">
        <f t="shared" ref="J18:J22" si="49">+E18+G18</f>
        <v>134</v>
      </c>
      <c r="K18" s="37">
        <f t="shared" ref="K18:K22" si="50">+J18/J$27</f>
        <v>0.04466666667</v>
      </c>
      <c r="L18" s="35"/>
      <c r="M18" s="35">
        <f t="shared" ref="M18:M22" si="51">+H18+L18</f>
        <v>134</v>
      </c>
      <c r="N18" s="36">
        <f t="shared" ref="N18:N22" si="52">+M18/M$27</f>
        <v>0.04466666667</v>
      </c>
      <c r="O18" s="35">
        <f t="shared" ref="O18:O22" si="53">+J18+L18</f>
        <v>134</v>
      </c>
      <c r="P18" s="37">
        <f t="shared" ref="P18:P22" si="54">+O18/O$27</f>
        <v>0.04466666667</v>
      </c>
      <c r="Q18" s="35">
        <v>0.0</v>
      </c>
      <c r="R18" s="35">
        <f t="shared" ref="R18:R22" si="55">M18</f>
        <v>134</v>
      </c>
      <c r="S18" s="36">
        <f t="shared" ref="S18:S27" si="56">+R18/R$27</f>
        <v>0.04466666667</v>
      </c>
      <c r="T18" s="35">
        <f>R18</f>
        <v>134</v>
      </c>
      <c r="U18" s="37">
        <f t="shared" ref="U18:U27" si="57">+T18/T$27</f>
        <v>0.04466666667</v>
      </c>
      <c r="V18" s="35"/>
      <c r="W18" s="35">
        <f t="shared" ref="W18:W22" si="58">R18+V18</f>
        <v>134</v>
      </c>
      <c r="X18" s="36">
        <f t="shared" ref="X18:X27" si="59">+W18/W$27</f>
        <v>0.04466666667</v>
      </c>
      <c r="Y18" s="35">
        <f t="shared" ref="Y18:Y22" si="60">+T18+V18</f>
        <v>134</v>
      </c>
      <c r="Z18" s="37">
        <f t="shared" ref="Z18:Z27" si="61">+Y18/Y$27</f>
        <v>0.04466666667</v>
      </c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8"/>
      <c r="AN18" s="38"/>
      <c r="AO18" s="38"/>
      <c r="AP18" s="38"/>
      <c r="AQ18" s="38"/>
    </row>
    <row r="19">
      <c r="A19" s="39">
        <v>8.0</v>
      </c>
      <c r="B19" s="40" t="s">
        <v>28</v>
      </c>
      <c r="C19" s="41">
        <v>0.0</v>
      </c>
      <c r="D19" s="42">
        <f t="shared" si="44"/>
        <v>0</v>
      </c>
      <c r="E19" s="41">
        <f t="shared" si="45"/>
        <v>0</v>
      </c>
      <c r="F19" s="43">
        <f t="shared" si="46"/>
        <v>0</v>
      </c>
      <c r="G19" s="41">
        <v>266.0</v>
      </c>
      <c r="H19" s="41">
        <f t="shared" si="47"/>
        <v>266</v>
      </c>
      <c r="I19" s="42">
        <f t="shared" si="48"/>
        <v>0.08866666667</v>
      </c>
      <c r="J19" s="41">
        <f t="shared" si="49"/>
        <v>266</v>
      </c>
      <c r="K19" s="43">
        <f t="shared" si="50"/>
        <v>0.08866666667</v>
      </c>
      <c r="L19" s="41"/>
      <c r="M19" s="41">
        <f t="shared" si="51"/>
        <v>266</v>
      </c>
      <c r="N19" s="42">
        <f t="shared" si="52"/>
        <v>0.08866666667</v>
      </c>
      <c r="O19" s="41">
        <f t="shared" si="53"/>
        <v>266</v>
      </c>
      <c r="P19" s="43">
        <f t="shared" si="54"/>
        <v>0.08866666667</v>
      </c>
      <c r="Q19" s="41"/>
      <c r="R19" s="41">
        <f t="shared" si="55"/>
        <v>266</v>
      </c>
      <c r="S19" s="42">
        <f t="shared" si="56"/>
        <v>0.08866666667</v>
      </c>
      <c r="T19" s="41">
        <f t="shared" ref="T19:T22" si="62">O19</f>
        <v>266</v>
      </c>
      <c r="U19" s="43">
        <f t="shared" si="57"/>
        <v>0.08866666667</v>
      </c>
      <c r="V19" s="41"/>
      <c r="W19" s="41">
        <f t="shared" si="58"/>
        <v>266</v>
      </c>
      <c r="X19" s="42">
        <f t="shared" si="59"/>
        <v>0.08866666667</v>
      </c>
      <c r="Y19" s="41">
        <f t="shared" si="60"/>
        <v>266</v>
      </c>
      <c r="Z19" s="43">
        <f t="shared" si="61"/>
        <v>0.08866666667</v>
      </c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44"/>
      <c r="AN19" s="44"/>
      <c r="AO19" s="44"/>
      <c r="AP19" s="44"/>
      <c r="AQ19" s="44"/>
    </row>
    <row r="20">
      <c r="A20" s="39">
        <v>9.0</v>
      </c>
      <c r="B20" s="40" t="s">
        <v>29</v>
      </c>
      <c r="C20" s="41">
        <v>0.0</v>
      </c>
      <c r="D20" s="42">
        <f t="shared" si="44"/>
        <v>0</v>
      </c>
      <c r="E20" s="41">
        <f t="shared" si="45"/>
        <v>0</v>
      </c>
      <c r="F20" s="43">
        <f t="shared" si="46"/>
        <v>0</v>
      </c>
      <c r="G20" s="41">
        <v>334.0</v>
      </c>
      <c r="H20" s="41">
        <f t="shared" si="47"/>
        <v>334</v>
      </c>
      <c r="I20" s="42">
        <f t="shared" si="48"/>
        <v>0.1113333333</v>
      </c>
      <c r="J20" s="41">
        <f t="shared" si="49"/>
        <v>334</v>
      </c>
      <c r="K20" s="43">
        <f t="shared" si="50"/>
        <v>0.1113333333</v>
      </c>
      <c r="L20" s="41"/>
      <c r="M20" s="41">
        <f t="shared" si="51"/>
        <v>334</v>
      </c>
      <c r="N20" s="42">
        <f t="shared" si="52"/>
        <v>0.1113333333</v>
      </c>
      <c r="O20" s="41">
        <f t="shared" si="53"/>
        <v>334</v>
      </c>
      <c r="P20" s="43">
        <f t="shared" si="54"/>
        <v>0.1113333333</v>
      </c>
      <c r="Q20" s="41"/>
      <c r="R20" s="41">
        <f t="shared" si="55"/>
        <v>334</v>
      </c>
      <c r="S20" s="42">
        <f t="shared" si="56"/>
        <v>0.1113333333</v>
      </c>
      <c r="T20" s="41">
        <f t="shared" si="62"/>
        <v>334</v>
      </c>
      <c r="U20" s="43">
        <f t="shared" si="57"/>
        <v>0.1113333333</v>
      </c>
      <c r="V20" s="41"/>
      <c r="W20" s="41">
        <f t="shared" si="58"/>
        <v>334</v>
      </c>
      <c r="X20" s="42">
        <f t="shared" si="59"/>
        <v>0.1113333333</v>
      </c>
      <c r="Y20" s="41">
        <f t="shared" si="60"/>
        <v>334</v>
      </c>
      <c r="Z20" s="43">
        <f t="shared" si="61"/>
        <v>0.1113333333</v>
      </c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44"/>
      <c r="AN20" s="44"/>
      <c r="AO20" s="44"/>
      <c r="AP20" s="44"/>
      <c r="AQ20" s="44"/>
    </row>
    <row r="21">
      <c r="A21" s="39">
        <v>10.0</v>
      </c>
      <c r="B21" s="40" t="s">
        <v>30</v>
      </c>
      <c r="C21" s="41">
        <v>0.0</v>
      </c>
      <c r="D21" s="42">
        <f t="shared" si="44"/>
        <v>0</v>
      </c>
      <c r="E21" s="41">
        <f t="shared" si="45"/>
        <v>0</v>
      </c>
      <c r="F21" s="43">
        <f t="shared" si="46"/>
        <v>0</v>
      </c>
      <c r="G21" s="41">
        <v>66.0</v>
      </c>
      <c r="H21" s="41">
        <f t="shared" si="47"/>
        <v>66</v>
      </c>
      <c r="I21" s="42">
        <f t="shared" si="48"/>
        <v>0.022</v>
      </c>
      <c r="J21" s="41">
        <f t="shared" si="49"/>
        <v>66</v>
      </c>
      <c r="K21" s="43">
        <f t="shared" si="50"/>
        <v>0.022</v>
      </c>
      <c r="L21" s="41"/>
      <c r="M21" s="41">
        <f t="shared" si="51"/>
        <v>66</v>
      </c>
      <c r="N21" s="42">
        <f t="shared" si="52"/>
        <v>0.022</v>
      </c>
      <c r="O21" s="41">
        <f t="shared" si="53"/>
        <v>66</v>
      </c>
      <c r="P21" s="43">
        <f t="shared" si="54"/>
        <v>0.022</v>
      </c>
      <c r="Q21" s="41"/>
      <c r="R21" s="41">
        <f t="shared" si="55"/>
        <v>66</v>
      </c>
      <c r="S21" s="42">
        <f t="shared" si="56"/>
        <v>0.022</v>
      </c>
      <c r="T21" s="41">
        <f t="shared" si="62"/>
        <v>66</v>
      </c>
      <c r="U21" s="43">
        <f t="shared" si="57"/>
        <v>0.022</v>
      </c>
      <c r="V21" s="41"/>
      <c r="W21" s="41">
        <f t="shared" si="58"/>
        <v>66</v>
      </c>
      <c r="X21" s="42">
        <f t="shared" si="59"/>
        <v>0.022</v>
      </c>
      <c r="Y21" s="41">
        <f t="shared" si="60"/>
        <v>66</v>
      </c>
      <c r="Z21" s="43">
        <f t="shared" si="61"/>
        <v>0.022</v>
      </c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44"/>
      <c r="AN21" s="44"/>
      <c r="AO21" s="44"/>
      <c r="AP21" s="44"/>
      <c r="AQ21" s="44"/>
    </row>
    <row r="22">
      <c r="A22" s="39">
        <v>11.0</v>
      </c>
      <c r="B22" s="40" t="s">
        <v>31</v>
      </c>
      <c r="C22" s="41">
        <v>0.0</v>
      </c>
      <c r="D22" s="42">
        <f t="shared" si="44"/>
        <v>0</v>
      </c>
      <c r="E22" s="41">
        <f t="shared" si="45"/>
        <v>0</v>
      </c>
      <c r="F22" s="43">
        <f t="shared" si="46"/>
        <v>0</v>
      </c>
      <c r="G22" s="41">
        <v>200.0</v>
      </c>
      <c r="H22" s="41">
        <f t="shared" si="47"/>
        <v>200</v>
      </c>
      <c r="I22" s="42">
        <f t="shared" si="48"/>
        <v>0.06666666667</v>
      </c>
      <c r="J22" s="41">
        <f t="shared" si="49"/>
        <v>200</v>
      </c>
      <c r="K22" s="43">
        <f t="shared" si="50"/>
        <v>0.06666666667</v>
      </c>
      <c r="L22" s="41"/>
      <c r="M22" s="41">
        <f t="shared" si="51"/>
        <v>200</v>
      </c>
      <c r="N22" s="42">
        <f t="shared" si="52"/>
        <v>0.06666666667</v>
      </c>
      <c r="O22" s="41">
        <f t="shared" si="53"/>
        <v>200</v>
      </c>
      <c r="P22" s="43">
        <f t="shared" si="54"/>
        <v>0.06666666667</v>
      </c>
      <c r="Q22" s="41"/>
      <c r="R22" s="41">
        <f t="shared" si="55"/>
        <v>200</v>
      </c>
      <c r="S22" s="42">
        <f t="shared" si="56"/>
        <v>0.06666666667</v>
      </c>
      <c r="T22" s="41">
        <f t="shared" si="62"/>
        <v>200</v>
      </c>
      <c r="U22" s="43">
        <f t="shared" si="57"/>
        <v>0.06666666667</v>
      </c>
      <c r="V22" s="41"/>
      <c r="W22" s="41">
        <f t="shared" si="58"/>
        <v>200</v>
      </c>
      <c r="X22" s="42">
        <f t="shared" si="59"/>
        <v>0.06666666667</v>
      </c>
      <c r="Y22" s="41">
        <f t="shared" si="60"/>
        <v>200</v>
      </c>
      <c r="Z22" s="43">
        <f t="shared" si="61"/>
        <v>0.06666666667</v>
      </c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44"/>
      <c r="AN22" s="44"/>
      <c r="AO22" s="44"/>
      <c r="AP22" s="44"/>
      <c r="AQ22" s="44"/>
    </row>
    <row r="23" ht="15.75" customHeight="1">
      <c r="A23" s="1"/>
      <c r="B23" s="29" t="s">
        <v>32</v>
      </c>
      <c r="C23" s="30">
        <f>+SUM(C17:C22)</f>
        <v>2000</v>
      </c>
      <c r="D23" s="31">
        <f>SUM(D17:D22)</f>
        <v>1</v>
      </c>
      <c r="E23" s="30">
        <f>+SUM(E17:E22)</f>
        <v>2000</v>
      </c>
      <c r="F23" s="32">
        <f>SUM(F17:F22)</f>
        <v>1</v>
      </c>
      <c r="G23" s="30">
        <f>+SUM(G17:G22)</f>
        <v>1000</v>
      </c>
      <c r="H23" s="30">
        <f t="shared" ref="H23:K23" si="63">SUM(H17:H22)</f>
        <v>3000</v>
      </c>
      <c r="I23" s="31">
        <f t="shared" si="63"/>
        <v>1</v>
      </c>
      <c r="J23" s="30">
        <f t="shared" si="63"/>
        <v>3000</v>
      </c>
      <c r="K23" s="32">
        <f t="shared" si="63"/>
        <v>1</v>
      </c>
      <c r="L23" s="30">
        <f>+SUM(L17:L22)</f>
        <v>0</v>
      </c>
      <c r="M23" s="30">
        <f t="shared" ref="M23:P23" si="64">SUM(M17:M22)</f>
        <v>3000</v>
      </c>
      <c r="N23" s="31">
        <f t="shared" si="64"/>
        <v>1</v>
      </c>
      <c r="O23" s="30">
        <f t="shared" si="64"/>
        <v>3000</v>
      </c>
      <c r="P23" s="32">
        <f t="shared" si="64"/>
        <v>1</v>
      </c>
      <c r="Q23" s="30">
        <f>+SUM(Q17:Q22)</f>
        <v>0</v>
      </c>
      <c r="R23" s="30">
        <f>SUM(R17:R22)</f>
        <v>3000</v>
      </c>
      <c r="S23" s="31">
        <f t="shared" si="56"/>
        <v>1</v>
      </c>
      <c r="T23" s="30">
        <f>SUM(T17:T22)</f>
        <v>3000</v>
      </c>
      <c r="U23" s="32">
        <f t="shared" si="57"/>
        <v>1</v>
      </c>
      <c r="V23" s="30">
        <f>+SUM(V17:V22)</f>
        <v>0</v>
      </c>
      <c r="W23" s="30">
        <f>SUM(W17:W22)</f>
        <v>3000</v>
      </c>
      <c r="X23" s="31">
        <f t="shared" si="59"/>
        <v>1</v>
      </c>
      <c r="Y23" s="30">
        <f>SUM(Y17:Y22)</f>
        <v>3000</v>
      </c>
      <c r="Z23" s="32">
        <f t="shared" si="61"/>
        <v>1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ht="15.75" customHeight="1">
      <c r="A24" s="25">
        <v>10.0</v>
      </c>
      <c r="B24" s="45"/>
      <c r="C24" s="24">
        <v>0.0</v>
      </c>
      <c r="D24" s="27">
        <f t="shared" ref="D24:D26" si="65">+C24/C$27</f>
        <v>0</v>
      </c>
      <c r="E24" s="24">
        <f t="shared" ref="E24:E26" si="66">+C24</f>
        <v>0</v>
      </c>
      <c r="F24" s="28">
        <f t="shared" ref="F24:F26" si="67">+E24/E$27</f>
        <v>0</v>
      </c>
      <c r="G24" s="24"/>
      <c r="H24" s="24">
        <f t="shared" ref="H24:H26" si="68">+C24+G24</f>
        <v>0</v>
      </c>
      <c r="I24" s="27">
        <f t="shared" ref="I24:I26" si="69">+H24/H$27</f>
        <v>0</v>
      </c>
      <c r="J24" s="24">
        <f t="shared" ref="J24:J26" si="70">+E24+G24</f>
        <v>0</v>
      </c>
      <c r="K24" s="28">
        <f t="shared" ref="K24:K26" si="71">+J24/J$27</f>
        <v>0</v>
      </c>
      <c r="L24" s="24"/>
      <c r="M24" s="24">
        <f t="shared" ref="M24:M26" si="72">+H24+L24</f>
        <v>0</v>
      </c>
      <c r="N24" s="27">
        <f t="shared" ref="N24:N26" si="73">+M24/M$27</f>
        <v>0</v>
      </c>
      <c r="O24" s="24">
        <f t="shared" ref="O24:O26" si="74">+J24+L24</f>
        <v>0</v>
      </c>
      <c r="P24" s="28">
        <f t="shared" ref="P24:P26" si="75">+O24/O$27</f>
        <v>0</v>
      </c>
      <c r="Q24" s="24"/>
      <c r="R24" s="24">
        <f t="shared" ref="R24:R26" si="76">M24</f>
        <v>0</v>
      </c>
      <c r="S24" s="27">
        <f t="shared" si="56"/>
        <v>0</v>
      </c>
      <c r="T24" s="24">
        <f t="shared" ref="T24:T26" si="77">O24</f>
        <v>0</v>
      </c>
      <c r="U24" s="28">
        <f t="shared" si="57"/>
        <v>0</v>
      </c>
      <c r="V24" s="24"/>
      <c r="W24" s="24">
        <f t="shared" ref="W24:W26" si="78">R24+V24</f>
        <v>0</v>
      </c>
      <c r="X24" s="27">
        <f t="shared" si="59"/>
        <v>0</v>
      </c>
      <c r="Y24" s="24">
        <f t="shared" ref="Y24:Y26" si="79">+T24+V24</f>
        <v>0</v>
      </c>
      <c r="Z24" s="28">
        <f t="shared" si="61"/>
        <v>0</v>
      </c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46"/>
      <c r="AN24" s="46"/>
      <c r="AO24" s="46"/>
      <c r="AP24" s="46"/>
      <c r="AQ24" s="46"/>
    </row>
    <row r="25" ht="15.75" customHeight="1">
      <c r="A25" s="25">
        <v>11.0</v>
      </c>
      <c r="B25" s="45"/>
      <c r="C25" s="24">
        <v>0.0</v>
      </c>
      <c r="D25" s="27">
        <f t="shared" si="65"/>
        <v>0</v>
      </c>
      <c r="E25" s="24">
        <f t="shared" si="66"/>
        <v>0</v>
      </c>
      <c r="F25" s="28">
        <f t="shared" si="67"/>
        <v>0</v>
      </c>
      <c r="G25" s="24"/>
      <c r="H25" s="24">
        <f t="shared" si="68"/>
        <v>0</v>
      </c>
      <c r="I25" s="27">
        <f t="shared" si="69"/>
        <v>0</v>
      </c>
      <c r="J25" s="24">
        <f t="shared" si="70"/>
        <v>0</v>
      </c>
      <c r="K25" s="28">
        <f t="shared" si="71"/>
        <v>0</v>
      </c>
      <c r="L25" s="24"/>
      <c r="M25" s="24">
        <f t="shared" si="72"/>
        <v>0</v>
      </c>
      <c r="N25" s="27">
        <f t="shared" si="73"/>
        <v>0</v>
      </c>
      <c r="O25" s="24">
        <f t="shared" si="74"/>
        <v>0</v>
      </c>
      <c r="P25" s="28">
        <f t="shared" si="75"/>
        <v>0</v>
      </c>
      <c r="Q25" s="24"/>
      <c r="R25" s="24">
        <f t="shared" si="76"/>
        <v>0</v>
      </c>
      <c r="S25" s="27">
        <f t="shared" si="56"/>
        <v>0</v>
      </c>
      <c r="T25" s="24">
        <f t="shared" si="77"/>
        <v>0</v>
      </c>
      <c r="U25" s="28">
        <f t="shared" si="57"/>
        <v>0</v>
      </c>
      <c r="V25" s="24"/>
      <c r="W25" s="24">
        <f t="shared" si="78"/>
        <v>0</v>
      </c>
      <c r="X25" s="27">
        <f t="shared" si="59"/>
        <v>0</v>
      </c>
      <c r="Y25" s="24">
        <f t="shared" si="79"/>
        <v>0</v>
      </c>
      <c r="Z25" s="28">
        <f t="shared" si="61"/>
        <v>0</v>
      </c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ht="15.75" customHeight="1">
      <c r="A26" s="25">
        <v>12.0</v>
      </c>
      <c r="B26" s="45"/>
      <c r="C26" s="24">
        <v>0.0</v>
      </c>
      <c r="D26" s="27">
        <f t="shared" si="65"/>
        <v>0</v>
      </c>
      <c r="E26" s="24">
        <f t="shared" si="66"/>
        <v>0</v>
      </c>
      <c r="F26" s="28">
        <f t="shared" si="67"/>
        <v>0</v>
      </c>
      <c r="G26" s="24"/>
      <c r="H26" s="24">
        <f t="shared" si="68"/>
        <v>0</v>
      </c>
      <c r="I26" s="27">
        <f t="shared" si="69"/>
        <v>0</v>
      </c>
      <c r="J26" s="24">
        <f t="shared" si="70"/>
        <v>0</v>
      </c>
      <c r="K26" s="28">
        <f t="shared" si="71"/>
        <v>0</v>
      </c>
      <c r="L26" s="24"/>
      <c r="M26" s="24">
        <f t="shared" si="72"/>
        <v>0</v>
      </c>
      <c r="N26" s="27">
        <f t="shared" si="73"/>
        <v>0</v>
      </c>
      <c r="O26" s="24">
        <f t="shared" si="74"/>
        <v>0</v>
      </c>
      <c r="P26" s="28">
        <f t="shared" si="75"/>
        <v>0</v>
      </c>
      <c r="Q26" s="24"/>
      <c r="R26" s="24">
        <f t="shared" si="76"/>
        <v>0</v>
      </c>
      <c r="S26" s="27">
        <f t="shared" si="56"/>
        <v>0</v>
      </c>
      <c r="T26" s="24">
        <f t="shared" si="77"/>
        <v>0</v>
      </c>
      <c r="U26" s="28">
        <f t="shared" si="57"/>
        <v>0</v>
      </c>
      <c r="V26" s="24"/>
      <c r="W26" s="24">
        <f t="shared" si="78"/>
        <v>0</v>
      </c>
      <c r="X26" s="27">
        <f t="shared" si="59"/>
        <v>0</v>
      </c>
      <c r="Y26" s="24">
        <f t="shared" si="79"/>
        <v>0</v>
      </c>
      <c r="Z26" s="28">
        <f t="shared" si="61"/>
        <v>0</v>
      </c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ht="15.75" customHeight="1">
      <c r="A27" s="1"/>
      <c r="B27" s="29" t="s">
        <v>33</v>
      </c>
      <c r="C27" s="30">
        <f>+SUM(C23:C26)</f>
        <v>2000</v>
      </c>
      <c r="D27" s="31">
        <f>SUM(D23:D26)</f>
        <v>1</v>
      </c>
      <c r="E27" s="30">
        <f>+SUM(E23:E26)</f>
        <v>2000</v>
      </c>
      <c r="F27" s="32">
        <f>SUM(F23:F26)</f>
        <v>1</v>
      </c>
      <c r="G27" s="30">
        <f t="shared" ref="G27:H27" si="80">+SUM(G23:G26)</f>
        <v>1000</v>
      </c>
      <c r="H27" s="30">
        <f t="shared" si="80"/>
        <v>3000</v>
      </c>
      <c r="I27" s="32">
        <f>SUM(I23:I26)</f>
        <v>1</v>
      </c>
      <c r="J27" s="30">
        <f>+SUM(J23:J26)</f>
        <v>3000</v>
      </c>
      <c r="K27" s="32">
        <f>SUM(K23:K26)</f>
        <v>1</v>
      </c>
      <c r="L27" s="30">
        <f t="shared" ref="L27:M27" si="81">+SUM(L23:L26)</f>
        <v>0</v>
      </c>
      <c r="M27" s="30">
        <f t="shared" si="81"/>
        <v>3000</v>
      </c>
      <c r="N27" s="32">
        <f>SUM(N23:N26)</f>
        <v>1</v>
      </c>
      <c r="O27" s="30">
        <f>+SUM(O23:O26)</f>
        <v>3000</v>
      </c>
      <c r="P27" s="32">
        <f>SUM(P23:P26)</f>
        <v>1</v>
      </c>
      <c r="Q27" s="30">
        <f t="shared" ref="Q27:R27" si="82">+SUM(Q23:Q26)</f>
        <v>0</v>
      </c>
      <c r="R27" s="30">
        <f t="shared" si="82"/>
        <v>3000</v>
      </c>
      <c r="S27" s="32">
        <f t="shared" si="56"/>
        <v>1</v>
      </c>
      <c r="T27" s="30">
        <f>+SUM(T23:T26)</f>
        <v>3000</v>
      </c>
      <c r="U27" s="32">
        <f t="shared" si="57"/>
        <v>1</v>
      </c>
      <c r="V27" s="30">
        <f t="shared" ref="V27:W27" si="83">+SUM(V23:V26)</f>
        <v>0</v>
      </c>
      <c r="W27" s="30">
        <f t="shared" si="83"/>
        <v>3000</v>
      </c>
      <c r="X27" s="32">
        <f t="shared" si="59"/>
        <v>1</v>
      </c>
      <c r="Y27" s="30">
        <f>+SUM(Y23:Y26)</f>
        <v>3000</v>
      </c>
      <c r="Z27" s="32">
        <f t="shared" si="61"/>
        <v>1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ht="15.75" customHeight="1">
      <c r="A28" s="1"/>
      <c r="B28" s="1"/>
      <c r="C28" s="47"/>
      <c r="D28" s="1"/>
      <c r="E28" s="47"/>
      <c r="F28" s="1"/>
      <c r="G28" s="21"/>
      <c r="H28" s="47"/>
      <c r="I28" s="1"/>
      <c r="J28" s="47"/>
      <c r="K28" s="1"/>
      <c r="L28" s="21"/>
      <c r="M28" s="47"/>
      <c r="N28" s="1"/>
      <c r="O28" s="47"/>
      <c r="P28" s="48"/>
      <c r="Q28" s="21"/>
      <c r="R28" s="47"/>
      <c r="S28" s="1"/>
      <c r="T28" s="47"/>
      <c r="U28" s="1"/>
      <c r="V28" s="21"/>
      <c r="W28" s="47"/>
      <c r="X28" s="1"/>
      <c r="Y28" s="4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ht="15.75" customHeight="1">
      <c r="A29" s="1"/>
      <c r="B29" s="49" t="s">
        <v>34</v>
      </c>
      <c r="C29" s="87">
        <v>99857.0</v>
      </c>
      <c r="D29" s="51"/>
      <c r="E29" s="52"/>
      <c r="F29" s="51"/>
      <c r="G29" s="50">
        <v>160000.0</v>
      </c>
      <c r="H29" s="52"/>
      <c r="I29" s="51"/>
      <c r="J29" s="52"/>
      <c r="K29" s="51"/>
      <c r="L29" s="50"/>
      <c r="M29" s="52"/>
      <c r="N29" s="51"/>
      <c r="O29" s="52"/>
      <c r="P29" s="51"/>
      <c r="Q29" s="50"/>
      <c r="R29" s="52"/>
      <c r="S29" s="51"/>
      <c r="T29" s="52"/>
      <c r="U29" s="51"/>
      <c r="V29" s="50"/>
      <c r="W29" s="52"/>
      <c r="X29" s="51"/>
      <c r="Y29" s="52"/>
      <c r="Z29" s="5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ht="15.75" customHeight="1">
      <c r="A30" s="1"/>
      <c r="B30" s="53"/>
      <c r="C30" s="55"/>
      <c r="D30" s="1"/>
      <c r="E30" s="47"/>
      <c r="F30" s="1"/>
      <c r="G30" s="55"/>
      <c r="H30" s="47"/>
      <c r="I30" s="56" t="s">
        <v>35</v>
      </c>
      <c r="J30" s="57" t="s">
        <v>36</v>
      </c>
      <c r="K30" s="1"/>
      <c r="L30" s="55"/>
      <c r="M30" s="47"/>
      <c r="N30" s="56" t="s">
        <v>35</v>
      </c>
      <c r="O30" s="57" t="s">
        <v>36</v>
      </c>
      <c r="P30" s="1"/>
      <c r="Q30" s="55"/>
      <c r="R30" s="47"/>
      <c r="S30" s="56" t="s">
        <v>35</v>
      </c>
      <c r="T30" s="57" t="s">
        <v>37</v>
      </c>
      <c r="U30" s="1"/>
      <c r="V30" s="55"/>
      <c r="W30" s="47"/>
      <c r="X30" s="58" t="s">
        <v>38</v>
      </c>
      <c r="Y30" s="59" t="s">
        <v>37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ht="15.75" customHeight="1">
      <c r="A31" s="1"/>
      <c r="B31" s="60" t="s">
        <v>39</v>
      </c>
      <c r="C31" s="61">
        <f>C11*C29/1000</f>
        <v>69899.9</v>
      </c>
      <c r="D31" s="1"/>
      <c r="E31" s="47"/>
      <c r="F31" s="1"/>
      <c r="G31" s="61">
        <f>G27*G29/1000</f>
        <v>160000</v>
      </c>
      <c r="H31" s="47"/>
      <c r="I31" s="62">
        <f>G29*C27</f>
        <v>320000000</v>
      </c>
      <c r="J31" s="62">
        <f>G29*H27</f>
        <v>480000000</v>
      </c>
      <c r="K31" s="1"/>
      <c r="L31" s="61">
        <f>L27*L29/1000</f>
        <v>0</v>
      </c>
      <c r="M31" s="47"/>
      <c r="N31" s="62">
        <f>H27*L29</f>
        <v>0</v>
      </c>
      <c r="O31" s="57">
        <f>M27*L29</f>
        <v>0</v>
      </c>
      <c r="P31" s="1"/>
      <c r="Q31" s="61">
        <v>0.0</v>
      </c>
      <c r="R31" s="47"/>
      <c r="S31" s="62">
        <f>M27*Q29</f>
        <v>0</v>
      </c>
      <c r="T31" s="57">
        <f>T27*Q29</f>
        <v>0</v>
      </c>
      <c r="U31" s="1"/>
      <c r="V31" s="61">
        <f>+V27*V29/1000</f>
        <v>0</v>
      </c>
      <c r="W31" s="47"/>
      <c r="X31" s="63">
        <f>T27*V29</f>
        <v>0</v>
      </c>
      <c r="Y31" s="59">
        <f>Y27*V29</f>
        <v>0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ht="15.75" customHeight="1">
      <c r="A32" s="1"/>
      <c r="B32" s="60" t="s">
        <v>40</v>
      </c>
      <c r="C32" s="61">
        <v>70000.0</v>
      </c>
      <c r="D32" s="64"/>
      <c r="E32" s="47"/>
      <c r="F32" s="1"/>
      <c r="G32" s="61">
        <f>C32+G31/2</f>
        <v>150000</v>
      </c>
      <c r="H32" s="47"/>
      <c r="I32" s="1"/>
      <c r="J32" s="47"/>
      <c r="K32" s="1"/>
      <c r="L32" s="61">
        <f>G32+L31/2</f>
        <v>150000</v>
      </c>
      <c r="M32" s="65" t="s">
        <v>41</v>
      </c>
      <c r="N32" s="66">
        <f>O31-N31</f>
        <v>0</v>
      </c>
      <c r="O32" s="47"/>
      <c r="P32" s="1"/>
      <c r="Q32" s="61"/>
      <c r="R32" s="47"/>
      <c r="S32" s="1"/>
      <c r="T32" s="47"/>
      <c r="U32" s="1"/>
      <c r="V32" s="61">
        <f>Q32+V31/2</f>
        <v>0</v>
      </c>
      <c r="W32" s="65" t="s">
        <v>41</v>
      </c>
      <c r="X32" s="66">
        <f>Y31-X31</f>
        <v>0</v>
      </c>
      <c r="Y32" s="47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ht="15.75" customHeight="1">
      <c r="A33" s="1"/>
      <c r="B33" s="67" t="s">
        <v>42</v>
      </c>
      <c r="C33" s="68">
        <v>0.0</v>
      </c>
      <c r="D33" s="69"/>
      <c r="E33" s="70"/>
      <c r="F33" s="71"/>
      <c r="G33" s="61">
        <f>+C33+G31/2</f>
        <v>80000</v>
      </c>
      <c r="H33" s="70"/>
      <c r="I33" s="71"/>
      <c r="J33" s="70"/>
      <c r="K33" s="71"/>
      <c r="L33" s="61">
        <f>L31/2</f>
        <v>0</v>
      </c>
      <c r="M33" s="70"/>
      <c r="N33" s="71"/>
      <c r="O33" s="70"/>
      <c r="P33" s="71"/>
      <c r="Q33" s="61"/>
      <c r="R33" s="72"/>
      <c r="S33" s="71"/>
      <c r="T33" s="70"/>
      <c r="U33" s="71"/>
      <c r="V33" s="68">
        <f>Q33+V31/2</f>
        <v>0</v>
      </c>
      <c r="W33" s="72"/>
      <c r="X33" s="71"/>
      <c r="Y33" s="70"/>
      <c r="Z33" s="7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ht="15.75" customHeight="1">
      <c r="A34" s="1"/>
      <c r="B34" s="73" t="s">
        <v>43</v>
      </c>
      <c r="C34" s="88" t="s">
        <v>45</v>
      </c>
      <c r="D34" s="75"/>
      <c r="E34" s="75"/>
      <c r="F34" s="75"/>
      <c r="G34" s="74" t="s">
        <v>45</v>
      </c>
      <c r="H34" s="76"/>
      <c r="I34" s="75"/>
      <c r="J34" s="75"/>
      <c r="K34" s="77"/>
      <c r="L34" s="74" t="s">
        <v>45</v>
      </c>
      <c r="M34" s="76"/>
      <c r="N34" s="75"/>
      <c r="O34" s="75"/>
      <c r="P34" s="77"/>
      <c r="Q34" s="78" t="s">
        <v>46</v>
      </c>
      <c r="R34" s="79"/>
      <c r="S34" s="80"/>
      <c r="T34" s="80"/>
      <c r="U34" s="77"/>
      <c r="V34" s="74" t="s">
        <v>45</v>
      </c>
      <c r="W34" s="76"/>
      <c r="X34" s="75"/>
      <c r="Y34" s="75"/>
      <c r="Z34" s="77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ht="24.0" customHeight="1">
      <c r="A35" s="1"/>
      <c r="B35" s="81"/>
      <c r="C35" s="89"/>
      <c r="G35" s="89" t="s">
        <v>50</v>
      </c>
      <c r="L35" s="82"/>
      <c r="Q35" s="82"/>
      <c r="V35" s="82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ht="99.75" customHeight="1">
      <c r="A36" s="1"/>
      <c r="B36" s="83"/>
      <c r="C36" s="84"/>
      <c r="D36" s="85"/>
      <c r="E36" s="85"/>
      <c r="F36" s="85"/>
      <c r="G36" s="84"/>
      <c r="H36" s="85"/>
      <c r="I36" s="85"/>
      <c r="J36" s="85"/>
      <c r="K36" s="85"/>
      <c r="L36" s="84"/>
      <c r="M36" s="85"/>
      <c r="N36" s="85"/>
      <c r="O36" s="85"/>
      <c r="P36" s="85"/>
      <c r="Q36" s="84"/>
      <c r="R36" s="85"/>
      <c r="S36" s="85"/>
      <c r="T36" s="85"/>
      <c r="U36" s="85"/>
      <c r="V36" s="84"/>
      <c r="W36" s="85"/>
      <c r="X36" s="85"/>
      <c r="Y36" s="85"/>
      <c r="Z36" s="8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</sheetData>
  <mergeCells count="38">
    <mergeCell ref="Q5:U5"/>
    <mergeCell ref="V5:Z5"/>
    <mergeCell ref="R6:U6"/>
    <mergeCell ref="W6:Z6"/>
    <mergeCell ref="B1:E1"/>
    <mergeCell ref="C4:F4"/>
    <mergeCell ref="G4:K4"/>
    <mergeCell ref="L4:P4"/>
    <mergeCell ref="Q4:U4"/>
    <mergeCell ref="V4:Z4"/>
    <mergeCell ref="C5:F5"/>
    <mergeCell ref="M8:N8"/>
    <mergeCell ref="O8:P8"/>
    <mergeCell ref="R8:S8"/>
    <mergeCell ref="T8:U8"/>
    <mergeCell ref="W8:X8"/>
    <mergeCell ref="Y8:Z8"/>
    <mergeCell ref="G5:K5"/>
    <mergeCell ref="L5:P5"/>
    <mergeCell ref="C6:F6"/>
    <mergeCell ref="H6:K6"/>
    <mergeCell ref="M6:P6"/>
    <mergeCell ref="C8:D8"/>
    <mergeCell ref="E8:F8"/>
    <mergeCell ref="B29:B30"/>
    <mergeCell ref="B34:B36"/>
    <mergeCell ref="C35:F36"/>
    <mergeCell ref="G35:K36"/>
    <mergeCell ref="L35:P36"/>
    <mergeCell ref="Q35:U36"/>
    <mergeCell ref="V35:Z36"/>
    <mergeCell ref="C29:C30"/>
    <mergeCell ref="H8:I8"/>
    <mergeCell ref="J8:K8"/>
    <mergeCell ref="G29:G30"/>
    <mergeCell ref="L29:L30"/>
    <mergeCell ref="Q29:Q30"/>
    <mergeCell ref="V29:V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2010-08-12T23:52:58Z</dcterms:created>
  <dc:creator>kiyota</dc:creator>
</cp:coreProperties>
</file>