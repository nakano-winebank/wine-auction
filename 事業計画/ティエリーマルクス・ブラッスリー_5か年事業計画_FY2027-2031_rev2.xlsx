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前提条件" sheetId="2" state="visible" r:id="rId4"/>
    <sheet name="店舗群別PL" sheetId="3" state="visible" r:id="rId5"/>
    <sheet name="連結PL" sheetId="4" state="visible" r:id="rId6"/>
    <sheet name="投資・キャッシュフロー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<sst xmlns="http://schemas.openxmlformats.org/spreadsheetml/2006/main" count="309" uniqueCount="159">
  <si>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</t>
    </r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 </t>
    </r>
    <r>
      <rPr>
        <b val="true"/>
        <sz val="11"/>
        <color rgb="FFFFFFFF"/>
        <rFont val="Meiryo"/>
        <family val="0"/>
        <charset val="1"/>
      </rPr>
      <t xml:space="preserve">rev2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</si>
  <si>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単位：百万円／</t>
    </r>
    <r>
      <rPr>
        <sz val="9"/>
        <color rgb="FF7F7F7F"/>
        <rFont val="Meiryo"/>
        <family val="0"/>
        <charset val="1"/>
      </rPr>
      <t xml:space="preserve">FY</t>
    </r>
    <r>
      <rPr>
        <sz val="9"/>
        <color rgb="FF7F7F7F"/>
        <rFont val="WenQuanYi Zen Hei"/>
        <family val="2"/>
      </rPr>
      <t xml:space="preserve">＝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月〜翌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月／六本木店 事業収支 </t>
    </r>
    <r>
      <rPr>
        <sz val="9"/>
        <color rgb="FF7F7F7F"/>
        <rFont val="Meiryo"/>
        <family val="0"/>
        <charset val="1"/>
      </rPr>
      <t xml:space="preserve">rev2</t>
    </r>
    <r>
      <rPr>
        <sz val="9"/>
        <color rgb="FF7F7F7F"/>
        <rFont val="WenQuanYi Zen Hei"/>
        <family val="2"/>
      </rPr>
      <t xml:space="preserve">（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月改定）の単店</t>
    </r>
    <r>
      <rPr>
        <sz val="9"/>
        <color rgb="FF7F7F7F"/>
        <rFont val="Meiryo"/>
        <family val="0"/>
        <charset val="1"/>
      </rPr>
      <t xml:space="preserve">economics</t>
    </r>
    <r>
      <rPr>
        <sz val="9"/>
        <color rgb="FF7F7F7F"/>
        <rFont val="WenQuanYi Zen Hei"/>
        <family val="2"/>
      </rPr>
      <t xml:space="preserve">に基づく。</t>
    </r>
  </si>
  <si>
    <t xml:space="preserve">■ 出店ロードマップ</t>
  </si>
  <si>
    <t xml:space="preserve">FY2027</t>
  </si>
  <si>
    <r>
      <rPr>
        <sz val="10"/>
        <color rgb="FF000000"/>
        <rFont val="WenQuanYi Zen Hei"/>
        <family val="2"/>
      </rPr>
      <t xml:space="preserve">六本木ミッドタウン 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店（</t>
    </r>
    <r>
      <rPr>
        <sz val="10"/>
        <color rgb="FF000000"/>
        <rFont val="Meiryo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月開業）</t>
    </r>
  </si>
  <si>
    <r>
      <rPr>
        <b val="true"/>
        <sz val="10"/>
        <color rgb="FFC00000"/>
        <rFont val="WenQuanYi Zen Hei"/>
        <family val="2"/>
      </rPr>
      <t xml:space="preserve">期末 </t>
    </r>
    <r>
      <rPr>
        <b val="true"/>
        <sz val="10"/>
        <color rgb="FFC00000"/>
        <rFont val="Meiryo"/>
        <family val="0"/>
        <charset val="1"/>
      </rPr>
      <t xml:space="preserve">1</t>
    </r>
    <r>
      <rPr>
        <b val="true"/>
        <sz val="10"/>
        <color rgb="FFC00000"/>
        <rFont val="WenQuanYi Zen Hei"/>
        <family val="2"/>
      </rPr>
      <t xml:space="preserve">店</t>
    </r>
  </si>
  <si>
    <t xml:space="preserve">FY2028</t>
  </si>
  <si>
    <r>
      <rPr>
        <sz val="10"/>
        <color rgb="FF000000"/>
        <rFont val="WenQuanYi Zen Hei"/>
        <family val="2"/>
      </rPr>
      <t xml:space="preserve">札幌・大阪 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店</t>
    </r>
  </si>
  <si>
    <r>
      <rPr>
        <b val="true"/>
        <sz val="10"/>
        <color rgb="FFC00000"/>
        <rFont val="WenQuanYi Zen Hei"/>
        <family val="2"/>
      </rPr>
      <t xml:space="preserve">期末 </t>
    </r>
    <r>
      <rPr>
        <b val="true"/>
        <sz val="10"/>
        <color rgb="FFC00000"/>
        <rFont val="Meiryo"/>
        <family val="0"/>
        <charset val="1"/>
      </rPr>
      <t xml:space="preserve">3</t>
    </r>
    <r>
      <rPr>
        <b val="true"/>
        <sz val="10"/>
        <color rgb="FFC00000"/>
        <rFont val="WenQuanYi Zen Hei"/>
        <family val="2"/>
      </rPr>
      <t xml:space="preserve">店</t>
    </r>
  </si>
  <si>
    <t xml:space="preserve">FY2029</t>
  </si>
  <si>
    <r>
      <rPr>
        <sz val="10"/>
        <color rgb="FF000000"/>
        <rFont val="WenQuanYi Zen Hei"/>
        <family val="2"/>
      </rPr>
      <t xml:space="preserve">首都圏・他政令指定都市 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店</t>
    </r>
  </si>
  <si>
    <r>
      <rPr>
        <b val="true"/>
        <sz val="10"/>
        <color rgb="FFC00000"/>
        <rFont val="WenQuanYi Zen Hei"/>
        <family val="2"/>
      </rPr>
      <t xml:space="preserve">期末 </t>
    </r>
    <r>
      <rPr>
        <b val="true"/>
        <sz val="10"/>
        <color rgb="FFC00000"/>
        <rFont val="Meiryo"/>
        <family val="0"/>
        <charset val="1"/>
      </rPr>
      <t xml:space="preserve">5</t>
    </r>
    <r>
      <rPr>
        <b val="true"/>
        <sz val="10"/>
        <color rgb="FFC00000"/>
        <rFont val="WenQuanYi Zen Hei"/>
        <family val="2"/>
      </rPr>
      <t xml:space="preserve">店</t>
    </r>
  </si>
  <si>
    <t xml:space="preserve">FY2030</t>
  </si>
  <si>
    <r>
      <rPr>
        <sz val="10"/>
        <color rgb="FF000000"/>
        <rFont val="WenQuanYi Zen Hei"/>
        <family val="2"/>
      </rPr>
      <t xml:space="preserve">リゾート含め 年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店</t>
    </r>
  </si>
  <si>
    <r>
      <rPr>
        <b val="true"/>
        <sz val="10"/>
        <color rgb="FFC00000"/>
        <rFont val="WenQuanYi Zen Hei"/>
        <family val="2"/>
      </rPr>
      <t xml:space="preserve">期末 </t>
    </r>
    <r>
      <rPr>
        <b val="true"/>
        <sz val="10"/>
        <color rgb="FFC00000"/>
        <rFont val="Meiryo"/>
        <family val="0"/>
        <charset val="1"/>
      </rPr>
      <t xml:space="preserve">7</t>
    </r>
    <r>
      <rPr>
        <b val="true"/>
        <sz val="10"/>
        <color rgb="FFC00000"/>
        <rFont val="WenQuanYi Zen Hei"/>
        <family val="2"/>
      </rPr>
      <t xml:space="preserve">店</t>
    </r>
  </si>
  <si>
    <t xml:space="preserve">FY2031</t>
  </si>
  <si>
    <r>
      <rPr>
        <b val="true"/>
        <sz val="10"/>
        <color rgb="FFC00000"/>
        <rFont val="WenQuanYi Zen Hei"/>
        <family val="2"/>
      </rPr>
      <t xml:space="preserve">期末 </t>
    </r>
    <r>
      <rPr>
        <b val="true"/>
        <sz val="10"/>
        <color rgb="FFC00000"/>
        <rFont val="Meiryo"/>
        <family val="0"/>
        <charset val="1"/>
      </rPr>
      <t xml:space="preserve">9</t>
    </r>
    <r>
      <rPr>
        <b val="true"/>
        <sz val="10"/>
        <color rgb="FFC00000"/>
        <rFont val="WenQuanYi Zen Hei"/>
        <family val="2"/>
      </rPr>
      <t xml:space="preserve">店</t>
    </r>
  </si>
  <si>
    <t xml:space="preserve">■ 連結業績サマリー</t>
  </si>
  <si>
    <t xml:space="preserve">項　目</t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</si>
  <si>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年累計</t>
    </r>
  </si>
  <si>
    <t xml:space="preserve">期末店舗数（店）</t>
  </si>
  <si>
    <t xml:space="preserve">売上高</t>
  </si>
  <si>
    <r>
      <rPr>
        <sz val="10"/>
        <color rgb="FF000000"/>
        <rFont val="WenQuanYi Zen Hei"/>
        <family val="2"/>
      </rPr>
      <t xml:space="preserve">店舗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　計</t>
    </r>
  </si>
  <si>
    <t xml:space="preserve">本部費</t>
  </si>
  <si>
    <r>
      <rPr>
        <b val="true"/>
        <sz val="10"/>
        <color rgb="FF000000"/>
        <rFont val="WenQuanYi Zen Hei"/>
        <family val="2"/>
      </rPr>
      <t xml:space="preserve">連結</t>
    </r>
    <r>
      <rPr>
        <b val="true"/>
        <sz val="10"/>
        <color rgb="FF000000"/>
        <rFont val="Meiryo"/>
        <family val="0"/>
        <charset val="1"/>
      </rPr>
      <t xml:space="preserve">EBITDA</t>
    </r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</si>
  <si>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</si>
  <si>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減価償却費</t>
  </si>
  <si>
    <t xml:space="preserve">営業利益</t>
  </si>
  <si>
    <t xml:space="preserve">　営業利益率</t>
  </si>
  <si>
    <t xml:space="preserve">■ 目標到達時期（自動判定）</t>
  </si>
  <si>
    <r>
      <rPr>
        <sz val="10"/>
        <color rgb="FF000000"/>
        <rFont val="WenQuanYi Zen Hei"/>
        <family val="2"/>
      </rPr>
      <t xml:space="preserve">連結</t>
    </r>
    <r>
      <rPr>
        <sz val="10"/>
        <color rgb="FF000000"/>
        <rFont val="Meiryo"/>
        <family val="0"/>
        <charset val="1"/>
      </rPr>
      <t xml:space="preserve">EBITDA</t>
    </r>
    <r>
      <rPr>
        <sz val="10"/>
        <color rgb="FF000000"/>
        <rFont val="WenQuanYi Zen Hei"/>
        <family val="2"/>
      </rPr>
      <t xml:space="preserve">率 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</si>
  <si>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FY2028</t>
    </r>
  </si>
  <si>
    <r>
      <rPr>
        <sz val="10"/>
        <color rgb="FF000000"/>
        <rFont val="WenQuanYi Zen Hei"/>
        <family val="2"/>
      </rPr>
      <t xml:space="preserve">営業利益率 </t>
    </r>
    <r>
      <rPr>
        <sz val="10"/>
        <color rgb="FF000000"/>
        <rFont val="Meiryo"/>
        <family val="0"/>
        <charset val="1"/>
      </rPr>
      <t xml:space="preserve">5%</t>
    </r>
    <r>
      <rPr>
        <sz val="10"/>
        <color rgb="FF000000"/>
        <rFont val="WenQuanYi Zen Hei"/>
        <family val="2"/>
      </rPr>
      <t xml:space="preserve">超</t>
    </r>
  </si>
  <si>
    <r>
      <rPr>
        <sz val="9"/>
        <color rgb="FF7F7F7F"/>
        <rFont val="WenQuanYi Zen Hei"/>
        <family val="2"/>
      </rPr>
      <t xml:space="preserve">旧計画：</t>
    </r>
    <r>
      <rPr>
        <sz val="9"/>
        <color rgb="FF7F7F7F"/>
        <rFont val="Meiryo"/>
        <family val="0"/>
        <charset val="1"/>
      </rPr>
      <t xml:space="preserve">FY2029</t>
    </r>
  </si>
  <si>
    <t xml:space="preserve">■ 投資・資金サマリー</t>
  </si>
  <si>
    <t xml:space="preserve">新規出店数（店）</t>
  </si>
  <si>
    <r>
      <rPr>
        <sz val="10"/>
        <color rgb="FF000000"/>
        <rFont val="WenQuanYi Zen Hei"/>
        <family val="2"/>
      </rPr>
      <t xml:space="preserve">初期投資（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</si>
  <si>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r>
      <rPr>
        <sz val="10"/>
        <color rgb="FF000000"/>
        <rFont val="WenQuanYi Zen Hei"/>
        <family val="2"/>
      </rPr>
      <t xml:space="preserve">開業時 現金支出（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年累計）</t>
    </r>
  </si>
  <si>
    <t xml:space="preserve">最大資金需要（税引後）</t>
  </si>
  <si>
    <r>
      <rPr>
        <sz val="10"/>
        <color rgb="FF000000"/>
        <rFont val="WenQuanYi Zen Hei"/>
        <family val="2"/>
      </rPr>
      <t xml:space="preserve">調達額 計（既存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億＋今回</t>
    </r>
    <r>
      <rPr>
        <sz val="10"/>
        <color rgb="FF000000"/>
        <rFont val="Meiryo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億）</t>
    </r>
  </si>
  <si>
    <t xml:space="preserve">過不足（マイナスが不足）</t>
  </si>
  <si>
    <r>
      <rPr>
        <b val="true"/>
        <sz val="9"/>
        <color rgb="FFC00000"/>
        <rFont val="WenQuanYi Zen Hei"/>
        <family val="2"/>
      </rPr>
      <t xml:space="preserve">※ 単店の売上</t>
    </r>
    <r>
      <rPr>
        <b val="true"/>
        <sz val="9"/>
        <color rgb="FFC00000"/>
        <rFont val="Meiryo"/>
        <family val="0"/>
        <charset val="1"/>
      </rPr>
      <t xml:space="preserve">460.6→428.6</t>
    </r>
    <r>
      <rPr>
        <b val="true"/>
        <sz val="9"/>
        <color rgb="FFC00000"/>
        <rFont val="WenQuanYi Zen Hei"/>
        <family val="2"/>
      </rPr>
      <t xml:space="preserve">、</t>
    </r>
    <r>
      <rPr>
        <b val="true"/>
        <sz val="9"/>
        <color rgb="FFC00000"/>
        <rFont val="Meiryo"/>
        <family val="0"/>
        <charset val="1"/>
      </rPr>
      <t xml:space="preserve">EBITDA(3</t>
    </r>
    <r>
      <rPr>
        <b val="true"/>
        <sz val="9"/>
        <color rgb="FFC00000"/>
        <rFont val="WenQuanYi Zen Hei"/>
        <family val="2"/>
      </rPr>
      <t xml:space="preserve">年目以降</t>
    </r>
    <r>
      <rPr>
        <b val="true"/>
        <sz val="9"/>
        <color rgb="FFC00000"/>
        <rFont val="Meiryo"/>
        <family val="0"/>
        <charset val="1"/>
      </rPr>
      <t xml:space="preserve">)76.2→64.3</t>
    </r>
    <r>
      <rPr>
        <b val="true"/>
        <sz val="9"/>
        <color rgb="FFC00000"/>
        <rFont val="WenQuanYi Zen Hei"/>
        <family val="2"/>
      </rPr>
      <t xml:space="preserve">となったため、旧計画より各指標が低下しています。</t>
    </r>
  </si>
  <si>
    <r>
      <rPr>
        <b val="true"/>
        <sz val="11"/>
        <color rgb="FFFFFFFF"/>
        <rFont val="WenQuanYi Zen Hei"/>
        <family val="2"/>
      </rPr>
      <t xml:space="preserve">前提条件　／　六本木店 事業収支 </t>
    </r>
    <r>
      <rPr>
        <b val="true"/>
        <sz val="11"/>
        <color rgb="FFFFFFFF"/>
        <rFont val="Meiryo"/>
        <family val="0"/>
        <charset val="1"/>
      </rPr>
      <t xml:space="preserve">rev2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Meiryo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</t>
    </r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月改定）に基づく</t>
    </r>
  </si>
  <si>
    <r>
      <rPr>
        <sz val="9"/>
        <color rgb="FF7F7F7F"/>
        <rFont val="WenQuanYi Zen Hei"/>
        <family val="2"/>
      </rPr>
      <t xml:space="preserve">青字＝入力値。標準店の経済性は六本木モデル</t>
    </r>
    <r>
      <rPr>
        <sz val="9"/>
        <color rgb="FF7F7F7F"/>
        <rFont val="Meiryo"/>
        <family val="0"/>
        <charset val="1"/>
      </rPr>
      <t xml:space="preserve">rev2</t>
    </r>
    <r>
      <rPr>
        <sz val="9"/>
        <color rgb="FF7F7F7F"/>
        <rFont val="WenQuanYi Zen Hei"/>
        <family val="2"/>
      </rPr>
      <t xml:space="preserve">（</t>
    </r>
    <r>
      <rPr>
        <sz val="9"/>
        <color rgb="FF7F7F7F"/>
        <rFont val="Meiryo"/>
        <family val="0"/>
        <charset val="1"/>
      </rPr>
      <t xml:space="preserve">115</t>
    </r>
    <r>
      <rPr>
        <sz val="9"/>
        <color rgb="FF7F7F7F"/>
        <rFont val="WenQuanYi Zen Hei"/>
        <family val="2"/>
      </rPr>
      <t xml:space="preserve">席・店内席効率</t>
    </r>
    <r>
      <rPr>
        <sz val="9"/>
        <color rgb="FF7F7F7F"/>
        <rFont val="Meiryo"/>
        <family val="0"/>
        <charset val="1"/>
      </rPr>
      <t xml:space="preserve">75%</t>
    </r>
    <r>
      <rPr>
        <sz val="9"/>
        <color rgb="FF7F7F7F"/>
        <rFont val="WenQuanYi Zen Hei"/>
        <family val="2"/>
      </rPr>
      <t xml:space="preserve">・ディナー回転率</t>
    </r>
    <r>
      <rPr>
        <sz val="9"/>
        <color rgb="FF7F7F7F"/>
        <rFont val="Meiryo"/>
        <family val="0"/>
        <charset val="1"/>
      </rPr>
      <t xml:space="preserve">0.90</t>
    </r>
    <r>
      <rPr>
        <sz val="9"/>
        <color rgb="FF7F7F7F"/>
        <rFont val="WenQuanYi Zen Hei"/>
        <family val="2"/>
      </rPr>
      <t xml:space="preserve">）と同一。</t>
    </r>
  </si>
  <si>
    <t xml:space="preserve">■ 事業前提（標準店モデル）</t>
  </si>
  <si>
    <t xml:space="preserve">標準店　満年度 売上高</t>
  </si>
  <si>
    <r>
      <rPr>
        <sz val="9"/>
        <color rgb="FF7F7F7F"/>
        <rFont val="WenQuanYi Zen Hei"/>
        <family val="2"/>
      </rPr>
      <t xml:space="preserve">六本木モデル</t>
    </r>
    <r>
      <rPr>
        <sz val="9"/>
        <color rgb="FF7F7F7F"/>
        <rFont val="Meiryo"/>
        <family val="0"/>
        <charset val="1"/>
      </rPr>
      <t xml:space="preserve">rev2</t>
    </r>
    <r>
      <rPr>
        <sz val="9"/>
        <color rgb="FF7F7F7F"/>
        <rFont val="WenQuanYi Zen Hei"/>
        <family val="2"/>
      </rPr>
      <t xml:space="preserve">の満年度年商。旧計画は</t>
    </r>
    <r>
      <rPr>
        <sz val="9"/>
        <color rgb="FF7F7F7F"/>
        <rFont val="Meiryo"/>
        <family val="0"/>
        <charset val="1"/>
      </rPr>
      <t xml:space="preserve">460.0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</si>
  <si>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</si>
  <si>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</si>
  <si>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</t>
    </r>
  </si>
  <si>
    <t xml:space="preserve">満年度水準</t>
  </si>
  <si>
    <t xml:space="preserve">新店の開業年度 稼働月数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</si>
  <si>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店を上期・下期に分散出店する前提の平均値</t>
    </r>
  </si>
  <si>
    <r>
      <rPr>
        <sz val="10"/>
        <color rgb="FF000000"/>
        <rFont val="WenQuanYi Zen Hei"/>
        <family val="2"/>
      </rPr>
      <t xml:space="preserve">東京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号店の稼働月数（</t>
    </r>
    <r>
      <rPr>
        <sz val="10"/>
        <color rgb="FF000000"/>
        <rFont val="Meiryo"/>
        <family val="0"/>
        <charset val="1"/>
      </rPr>
      <t xml:space="preserve">FY2027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</si>
  <si>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月開業＝</t>
    </r>
    <r>
      <rPr>
        <sz val="9"/>
        <color rgb="FF7F7F7F"/>
        <rFont val="Meiryo"/>
        <family val="0"/>
        <charset val="1"/>
      </rPr>
      <t xml:space="preserve">FY2027</t>
    </r>
    <r>
      <rPr>
        <sz val="9"/>
        <color rgb="FF7F7F7F"/>
        <rFont val="WenQuanYi Zen Hei"/>
        <family val="2"/>
      </rPr>
      <t xml:space="preserve">は通年稼働</t>
    </r>
  </si>
  <si>
    <t xml:space="preserve">■ 家賃条件（全店共通）</t>
  </si>
  <si>
    <t xml:space="preserve">地代家賃（固定）年額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</si>
  <si>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</si>
  <si>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</si>
  <si>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</si>
  <si>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</si>
  <si>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時点の水準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</si>
  <si>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</si>
  <si>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</si>
  <si>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</si>
  <si>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</si>
  <si>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</si>
  <si>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t xml:space="preserve">備考</t>
  </si>
  <si>
    <t xml:space="preserve">売上原価</t>
  </si>
  <si>
    <r>
      <rPr>
        <sz val="9"/>
        <color rgb="FF7F7F7F"/>
        <rFont val="WenQuanYi Zen Hei"/>
        <family val="2"/>
      </rPr>
      <t xml:space="preserve">料理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・飲料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（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月改定。原価改善は織り込まず）</t>
    </r>
  </si>
  <si>
    <t xml:space="preserve">人件費</t>
  </si>
  <si>
    <t xml:space="preserve">本部集中化・多能工化</t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</si>
  <si>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</si>
  <si>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</si>
  <si>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</si>
  <si>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</si>
  <si>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</si>
  <si>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</si>
  <si>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</si>
  <si>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</si>
  <si>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</si>
  <si>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</si>
  <si>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</si>
  <si>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t xml:space="preserve">変動費　計（対売上）</t>
  </si>
  <si>
    <r>
      <rPr>
        <b val="true"/>
        <sz val="10"/>
        <color rgb="FF000000"/>
        <rFont val="WenQuanYi Zen Hei"/>
        <family val="2"/>
      </rPr>
      <t xml:space="preserve">■ 初期投資（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店舗あたり・百万円）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</si>
  <si>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六本木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</si>
  <si>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〜</t>
    </r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号店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札幌・大阪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</si>
  <si>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4</t>
    </r>
    <r>
      <rPr>
        <b val="true"/>
        <sz val="9"/>
        <color rgb="FF000000"/>
        <rFont val="WenQuanYi Zen Hei"/>
        <family val="2"/>
      </rPr>
      <t xml:space="preserve">号店以降</t>
    </r>
  </si>
  <si>
    <t xml:space="preserve">契約金</t>
  </si>
  <si>
    <r>
      <rPr>
        <sz val="9"/>
        <color rgb="FF7F7F7F"/>
        <rFont val="WenQuanYi Zen Hei"/>
        <family val="2"/>
      </rPr>
      <t xml:space="preserve">契約金 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万円／以下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店舗</t>
    </r>
    <r>
      <rPr>
        <sz val="9"/>
        <color rgb="FF7F7F7F"/>
        <rFont val="Meiryo"/>
        <family val="0"/>
        <charset val="1"/>
      </rPr>
      <t xml:space="preserve">3,500</t>
    </r>
    <r>
      <rPr>
        <sz val="9"/>
        <color rgb="FF7F7F7F"/>
        <rFont val="WenQuanYi Zen Hei"/>
        <family val="2"/>
      </rPr>
      <t xml:space="preserve">万円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</si>
  <si>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</si>
  <si>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×350</t>
    </r>
    <r>
      <rPr>
        <sz val="9"/>
        <color rgb="FF7F7F7F"/>
        <rFont val="WenQuanYi Zen Hei"/>
        <family val="2"/>
      </rPr>
      <t xml:space="preserve">万</t>
    </r>
  </si>
  <si>
    <t xml:space="preserve">開業準備金（広告・採用等）</t>
  </si>
  <si>
    <t xml:space="preserve">保証金</t>
  </si>
  <si>
    <t xml:space="preserve">非償却・退去時返還対象</t>
  </si>
  <si>
    <t xml:space="preserve">ワイン・美術品在庫</t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</si>
  <si>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号店は美術品を含む。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号店以降はワイン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万円のみ（非償却）</t>
    </r>
  </si>
  <si>
    <t xml:space="preserve">初期投資　合計</t>
  </si>
  <si>
    <t xml:space="preserve">償却対象資産（＝合計－保証金－ワイン・美術品在庫）</t>
  </si>
  <si>
    <r>
      <rPr>
        <sz val="9"/>
        <color rgb="FFC00000"/>
        <rFont val="WenQuanYi Zen Hei"/>
        <family val="2"/>
      </rPr>
      <t xml:space="preserve">ワイン在庫は棚卸資産、美術品は取得価額</t>
    </r>
    <r>
      <rPr>
        <sz val="9"/>
        <color rgb="FFC00000"/>
        <rFont val="Meiryo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万円以上なら原則非償却のため除外</t>
    </r>
  </si>
  <si>
    <t xml:space="preserve">償却年数（年）</t>
  </si>
  <si>
    <r>
      <rPr>
        <b val="true"/>
        <sz val="10"/>
        <color rgb="FF000000"/>
        <rFont val="WenQuanYi Zen Hei"/>
        <family val="2"/>
      </rPr>
      <t xml:space="preserve">年間減価償却費／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店（通年）</t>
    </r>
  </si>
  <si>
    <t xml:space="preserve">■ 分割払いスキーム（百万円）</t>
  </si>
  <si>
    <r>
      <rPr>
        <sz val="10"/>
        <color rgb="FF000000"/>
        <rFont val="WenQuanYi Zen Hei"/>
        <family val="2"/>
      </rPr>
      <t xml:space="preserve">分割対象額（内装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＋保証金</t>
    </r>
    <r>
      <rPr>
        <sz val="10"/>
        <color rgb="FF000000"/>
        <rFont val="Meiryo"/>
        <family val="0"/>
        <charset val="1"/>
      </rPr>
      <t xml:space="preserve">38.9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</si>
  <si>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開業時 現金支出／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店</t>
    </r>
  </si>
  <si>
    <r>
      <rPr>
        <sz val="10"/>
        <color rgb="FF000000"/>
        <rFont val="WenQuanYi Zen Hei"/>
        <family val="2"/>
      </rPr>
      <t xml:space="preserve">年間分割弁済額／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店</t>
    </r>
  </si>
  <si>
    <t xml:space="preserve">■ 出店計画・本部費（連結）</t>
  </si>
  <si>
    <t xml:space="preserve">期中出店数（店）</t>
  </si>
  <si>
    <r>
      <rPr>
        <sz val="9"/>
        <color rgb="FF7F7F7F"/>
        <rFont val="Meiryo"/>
        <family val="0"/>
        <charset val="1"/>
      </rPr>
      <t xml:space="preserve">FY2027 </t>
    </r>
    <r>
      <rPr>
        <sz val="9"/>
        <color rgb="FF7F7F7F"/>
        <rFont val="WenQuanYi Zen Hei"/>
        <family val="2"/>
      </rPr>
      <t xml:space="preserve">六本木／</t>
    </r>
    <r>
      <rPr>
        <sz val="9"/>
        <color rgb="FF7F7F7F"/>
        <rFont val="Meiryo"/>
        <family val="0"/>
        <charset val="1"/>
      </rPr>
      <t xml:space="preserve">FY2028 </t>
    </r>
    <r>
      <rPr>
        <sz val="9"/>
        <color rgb="FF7F7F7F"/>
        <rFont val="WenQuanYi Zen Hei"/>
        <family val="2"/>
      </rPr>
      <t xml:space="preserve">札幌・大阪／</t>
    </r>
    <r>
      <rPr>
        <sz val="9"/>
        <color rgb="FF7F7F7F"/>
        <rFont val="Meiryo"/>
        <family val="0"/>
        <charset val="1"/>
      </rPr>
      <t xml:space="preserve">FY2029 </t>
    </r>
    <r>
      <rPr>
        <sz val="9"/>
        <color rgb="FF7F7F7F"/>
        <rFont val="WenQuanYi Zen Hei"/>
        <family val="2"/>
      </rPr>
      <t xml:space="preserve">首都圏・他政令指定都市／</t>
    </r>
    <r>
      <rPr>
        <sz val="9"/>
        <color rgb="FF7F7F7F"/>
        <rFont val="Meiryo"/>
        <family val="0"/>
        <charset val="1"/>
      </rPr>
      <t xml:space="preserve">FY2030</t>
    </r>
    <r>
      <rPr>
        <sz val="9"/>
        <color rgb="FF7F7F7F"/>
        <rFont val="WenQuanYi Zen Hei"/>
        <family val="2"/>
      </rPr>
      <t xml:space="preserve">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</t>
    </r>
  </si>
  <si>
    <t xml:space="preserve">本部費（管理・人事・購買・マーケ）</t>
  </si>
  <si>
    <r>
      <rPr>
        <b val="true"/>
        <sz val="11"/>
        <color rgb="FFFFFFFF"/>
        <rFont val="WenQuanYi Zen Hei"/>
        <family val="2"/>
      </rPr>
      <t xml:space="preserve">店舗群（出店年度コホート）別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</si>
  <si>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年次（</t>
    </r>
    <r>
      <rPr>
        <sz val="9"/>
        <color rgb="FF7F7F7F"/>
        <rFont val="Meiryo"/>
        <family val="0"/>
        <charset val="1"/>
      </rPr>
      <t xml:space="preserve">1/2/3</t>
    </r>
    <r>
      <rPr>
        <sz val="9"/>
        <color rgb="FF7F7F7F"/>
        <rFont val="WenQuanYi Zen Hei"/>
        <family val="2"/>
      </rPr>
      <t xml:space="preserve">）に応じて前提条件の立上り率・経費率を自動参照。地代家賃と歩合家賃の閾値は稼働月数で按分。</t>
    </r>
  </si>
  <si>
    <t xml:space="preserve">店舗群</t>
  </si>
  <si>
    <t xml:space="preserve">店舗数</t>
  </si>
  <si>
    <t xml:space="preserve">　① 東京（六本木ミッドタウン）</t>
  </si>
  <si>
    <t xml:space="preserve">店舗数（店）</t>
  </si>
  <si>
    <t xml:space="preserve">開業年度の稼働月数</t>
  </si>
  <si>
    <r>
      <rPr>
        <sz val="9"/>
        <color rgb="FF000000"/>
        <rFont val="WenQuanYi Zen Hei"/>
        <family val="2"/>
      </rPr>
      <t xml:space="preserve">年次（</t>
    </r>
    <r>
      <rPr>
        <sz val="9"/>
        <color rgb="FF000000"/>
        <rFont val="Meiryo"/>
        <family val="0"/>
        <charset val="1"/>
      </rPr>
      <t xml:space="preserve">0=</t>
    </r>
    <r>
      <rPr>
        <sz val="9"/>
        <color rgb="FF000000"/>
        <rFont val="WenQuanYi Zen Hei"/>
        <family val="2"/>
      </rPr>
      <t xml:space="preserve">未開業</t>
    </r>
    <r>
      <rPr>
        <sz val="9"/>
        <color rgb="FF000000"/>
        <rFont val="Meiryo"/>
        <family val="0"/>
        <charset val="1"/>
      </rPr>
      <t xml:space="preserve">/1/2/3</t>
    </r>
    <r>
      <rPr>
        <sz val="9"/>
        <color rgb="FF000000"/>
        <rFont val="WenQuanYi Zen Hei"/>
        <family val="2"/>
      </rPr>
      <t xml:space="preserve">）</t>
    </r>
  </si>
  <si>
    <t xml:space="preserve">部門利益</t>
  </si>
  <si>
    <r>
      <rPr>
        <b val="true"/>
        <sz val="9"/>
        <color rgb="FF000000"/>
        <rFont val="Meiryo"/>
        <family val="0"/>
        <charset val="1"/>
      </rPr>
      <t xml:space="preserve">GOP</t>
    </r>
    <r>
      <rPr>
        <b val="true"/>
        <sz val="9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</si>
  <si>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</si>
  <si>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</si>
  <si>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r>
      <rPr>
        <sz val="9"/>
        <color rgb="FF000000"/>
        <rFont val="WenQuanYi Zen Hei"/>
        <family val="2"/>
      </rPr>
      <t xml:space="preserve">修繕維持費（</t>
    </r>
    <r>
      <rPr>
        <sz val="9"/>
        <color rgb="FF000000"/>
        <rFont val="Meiryo"/>
        <family val="0"/>
        <charset val="1"/>
      </rPr>
      <t xml:space="preserve">FFE</t>
    </r>
    <r>
      <rPr>
        <sz val="9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</si>
  <si>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</si>
  <si>
    <t xml:space="preserve">店舗営業利益</t>
  </si>
  <si>
    <t xml:space="preserve">　② 札幌・大阪</t>
  </si>
  <si>
    <t xml:space="preserve">　③ 首都圏・他政令指定都市</t>
  </si>
  <si>
    <r>
      <rPr>
        <b val="true"/>
        <sz val="10"/>
        <color rgb="FF000000"/>
        <rFont val="WenQuanYi Zen Hei"/>
        <family val="2"/>
      </rPr>
      <t xml:space="preserve">　④ </t>
    </r>
    <r>
      <rPr>
        <b val="true"/>
        <sz val="10"/>
        <color rgb="FF000000"/>
        <rFont val="Meiryo"/>
        <family val="0"/>
        <charset val="1"/>
      </rPr>
      <t xml:space="preserve">FY2030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</si>
  <si>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0"/>
        <color rgb="FF000000"/>
        <rFont val="WenQuanYi Zen Hei"/>
        <family val="2"/>
      </rPr>
      <t xml:space="preserve">　⑤ </t>
    </r>
    <r>
      <rPr>
        <b val="true"/>
        <sz val="10"/>
        <color rgb="FF000000"/>
        <rFont val="Meiryo"/>
        <family val="0"/>
        <charset val="1"/>
      </rPr>
      <t xml:space="preserve">FY2031</t>
    </r>
    <r>
      <rPr>
        <b val="true"/>
        <sz val="10"/>
        <color rgb="FF000000"/>
        <rFont val="WenQuanYi Zen Hei"/>
        <family val="2"/>
      </rPr>
      <t xml:space="preserve">出店（リゾート含む）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</si>
  <si>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連結損益計画（</t>
    </r>
    <r>
      <rPr>
        <b val="true"/>
        <sz val="11"/>
        <color rgb="FFFFFFFF"/>
        <rFont val="Meiryo"/>
        <family val="0"/>
        <charset val="1"/>
      </rPr>
      <t xml:space="preserve">FY2027-FY2031</t>
    </r>
    <r>
      <rPr>
        <b val="true"/>
        <sz val="11"/>
        <color rgb="FFFFFFFF"/>
        <rFont val="WenQuanYi Zen Hei"/>
        <family val="2"/>
      </rPr>
      <t xml:space="preserve">・百万円）</t>
    </r>
  </si>
  <si>
    <r>
      <rPr>
        <sz val="9"/>
        <color rgb="FF7F7F7F"/>
        <rFont val="Meiryo"/>
        <family val="0"/>
        <charset val="1"/>
      </rPr>
      <t xml:space="preserve">2027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月 六本木開業 → </t>
    </r>
    <r>
      <rPr>
        <sz val="9"/>
        <color rgb="FF7F7F7F"/>
        <rFont val="Meiryo"/>
        <family val="0"/>
        <charset val="1"/>
      </rPr>
      <t xml:space="preserve">2028</t>
    </r>
    <r>
      <rPr>
        <sz val="9"/>
        <color rgb="FF7F7F7F"/>
        <rFont val="WenQuanYi Zen Hei"/>
        <family val="2"/>
      </rPr>
      <t xml:space="preserve">年 札幌・大阪 → </t>
    </r>
    <r>
      <rPr>
        <sz val="9"/>
        <color rgb="FF7F7F7F"/>
        <rFont val="Meiryo"/>
        <family val="0"/>
        <charset val="1"/>
      </rPr>
      <t xml:space="preserve">2029</t>
    </r>
    <r>
      <rPr>
        <sz val="9"/>
        <color rgb="FF7F7F7F"/>
        <rFont val="WenQuanYi Zen Hei"/>
        <family val="2"/>
      </rPr>
      <t xml:space="preserve">年 首都圏・政令指定都市 → </t>
    </r>
    <r>
      <rPr>
        <sz val="9"/>
        <color rgb="FF7F7F7F"/>
        <rFont val="Meiryo"/>
        <family val="0"/>
        <charset val="1"/>
      </rPr>
      <t xml:space="preserve">2030</t>
    </r>
    <r>
      <rPr>
        <sz val="9"/>
        <color rgb="FF7F7F7F"/>
        <rFont val="WenQuanYi Zen Hei"/>
        <family val="2"/>
      </rPr>
      <t xml:space="preserve">年以降 リゾート含め年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店舗</t>
    </r>
  </si>
  <si>
    <t xml:space="preserve">科　目</t>
  </si>
  <si>
    <r>
      <rPr>
        <b val="true"/>
        <sz val="10"/>
        <color rgb="FF000000"/>
        <rFont val="WenQuanYi Zen Hei"/>
        <family val="2"/>
      </rPr>
      <t xml:space="preserve">対売上比
</t>
    </r>
    <r>
      <rPr>
        <b val="true"/>
        <sz val="10"/>
        <color rgb="FF000000"/>
        <rFont val="Meiryo"/>
        <family val="0"/>
        <charset val="1"/>
      </rPr>
      <t xml:space="preserve">(FY2031)</t>
    </r>
  </si>
  <si>
    <r>
      <rPr>
        <b val="true"/>
        <sz val="10"/>
        <color rgb="FF000000"/>
        <rFont val="WenQuanYi Zen Hei"/>
        <family val="2"/>
      </rPr>
      <t xml:space="preserve">店舗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　計</t>
    </r>
  </si>
  <si>
    <r>
      <rPr>
        <b val="true"/>
        <sz val="10"/>
        <color rgb="FFC00000"/>
        <rFont val="WenQuanYi Zen Hei"/>
        <family val="2"/>
      </rPr>
      <t xml:space="preserve">※ 到達時期は下表参照。</t>
    </r>
    <r>
      <rPr>
        <b val="true"/>
        <sz val="10"/>
        <color rgb="FFC00000"/>
        <rFont val="Meiryo"/>
        <family val="0"/>
        <charset val="1"/>
      </rPr>
      <t xml:space="preserve">FY</t>
    </r>
    <r>
      <rPr>
        <b val="true"/>
        <sz val="10"/>
        <color rgb="FFC00000"/>
        <rFont val="WenQuanYi Zen Hei"/>
        <family val="2"/>
      </rPr>
      <t xml:space="preserve">＝</t>
    </r>
    <r>
      <rPr>
        <b val="true"/>
        <sz val="10"/>
        <color rgb="FFC00000"/>
        <rFont val="Meiryo"/>
        <family val="0"/>
        <charset val="1"/>
      </rPr>
      <t xml:space="preserve">4</t>
    </r>
    <r>
      <rPr>
        <b val="true"/>
        <sz val="10"/>
        <color rgb="FFC00000"/>
        <rFont val="WenQuanYi Zen Hei"/>
        <family val="2"/>
      </rPr>
      <t xml:space="preserve">月〜</t>
    </r>
    <r>
      <rPr>
        <b val="true"/>
        <sz val="10"/>
        <color rgb="FFC00000"/>
        <rFont val="Meiryo"/>
        <family val="0"/>
        <charset val="1"/>
      </rPr>
      <t xml:space="preserve">3</t>
    </r>
    <r>
      <rPr>
        <b val="true"/>
        <sz val="10"/>
        <color rgb="FFC00000"/>
        <rFont val="WenQuanYi Zen Hei"/>
        <family val="2"/>
      </rPr>
      <t xml:space="preserve">月。新店初年度は売上</t>
    </r>
    <r>
      <rPr>
        <b val="true"/>
        <sz val="10"/>
        <color rgb="FFC00000"/>
        <rFont val="Meiryo"/>
        <family val="0"/>
        <charset val="1"/>
      </rPr>
      <t xml:space="preserve">90%</t>
    </r>
    <r>
      <rPr>
        <b val="true"/>
        <sz val="10"/>
        <color rgb="FFC00000"/>
        <rFont val="WenQuanYi Zen Hei"/>
        <family val="2"/>
      </rPr>
      <t xml:space="preserve">・開業</t>
    </r>
    <r>
      <rPr>
        <b val="true"/>
        <sz val="10"/>
        <color rgb="FFC00000"/>
        <rFont val="Meiryo"/>
        <family val="0"/>
        <charset val="1"/>
      </rPr>
      <t xml:space="preserve">7.5</t>
    </r>
    <r>
      <rPr>
        <b val="true"/>
        <sz val="10"/>
        <color rgb="FFC00000"/>
        <rFont val="WenQuanYi Zen Hei"/>
        <family val="2"/>
      </rPr>
      <t xml:space="preserve">か月で計上。金利・税金は含まない。</t>
    </r>
  </si>
  <si>
    <r>
      <rPr>
        <sz val="9"/>
        <color rgb="FF7F7F7F"/>
        <rFont val="WenQuanYi Zen Hei"/>
        <family val="2"/>
      </rPr>
      <t xml:space="preserve">※ 売上原価は料理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・飲料</t>
    </r>
    <r>
      <rPr>
        <sz val="9"/>
        <color rgb="FF7F7F7F"/>
        <rFont val="Meiryo"/>
        <family val="0"/>
        <charset val="1"/>
      </rPr>
      <t xml:space="preserve">30.0%</t>
    </r>
    <r>
      <rPr>
        <sz val="9"/>
        <color rgb="FF7F7F7F"/>
        <rFont val="WenQuanYi Zen Hei"/>
        <family val="2"/>
      </rPr>
      <t xml:space="preserve">（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月改定）。原価改善を織り込んでいないため、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率の伸びは旧計画より緩やかです。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</si>
  <si>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か年事業計画　連結キャッシュフロー（百万円）</t>
    </r>
  </si>
  <si>
    <r>
      <rPr>
        <sz val="9"/>
        <color rgb="FF7F7F7F"/>
        <rFont val="WenQuanYi Zen Hei"/>
        <family val="2"/>
      </rPr>
      <t xml:space="preserve">分割払いスキーム反映。初期投資は</t>
    </r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号店</t>
    </r>
    <r>
      <rPr>
        <sz val="9"/>
        <color rgb="FF7F7F7F"/>
        <rFont val="Meiryo"/>
        <family val="0"/>
        <charset val="1"/>
      </rPr>
      <t xml:space="preserve">297.25</t>
    </r>
    <r>
      <rPr>
        <sz val="9"/>
        <color rgb="FF7F7F7F"/>
        <rFont val="WenQuanYi Zen Hei"/>
        <family val="2"/>
      </rPr>
      <t xml:space="preserve">／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号店</t>
    </r>
    <r>
      <rPr>
        <sz val="9"/>
        <color rgb="FF7F7F7F"/>
        <rFont val="Meiryo"/>
        <family val="0"/>
        <charset val="1"/>
      </rPr>
      <t xml:space="preserve">257.25</t>
    </r>
    <r>
      <rPr>
        <sz val="9"/>
        <color rgb="FF7F7F7F"/>
        <rFont val="WenQuanYi Zen Hei"/>
        <family val="2"/>
      </rPr>
      <t xml:space="preserve">／</t>
    </r>
    <r>
      <rPr>
        <sz val="9"/>
        <color rgb="FF7F7F7F"/>
        <rFont val="Meiryo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号店以降</t>
    </r>
    <r>
      <rPr>
        <sz val="9"/>
        <color rgb="FF7F7F7F"/>
        <rFont val="Meiryo"/>
        <family val="0"/>
        <charset val="1"/>
      </rPr>
      <t xml:space="preserve">252.25</t>
    </r>
    <r>
      <rPr>
        <sz val="9"/>
        <color rgb="FF7F7F7F"/>
        <rFont val="WenQuanYi Zen Hei"/>
        <family val="2"/>
      </rPr>
      <t xml:space="preserve">百万円。うち</t>
    </r>
    <r>
      <rPr>
        <sz val="9"/>
        <color rgb="FF7F7F7F"/>
        <rFont val="Meiryo"/>
        <family val="0"/>
        <charset val="1"/>
      </rPr>
      <t xml:space="preserve">138.9</t>
    </r>
    <r>
      <rPr>
        <sz val="9"/>
        <color rgb="FF7F7F7F"/>
        <rFont val="WenQuanYi Zen Hei"/>
        <family val="2"/>
      </rPr>
      <t xml:space="preserve">百万円を分割。</t>
    </r>
  </si>
  <si>
    <t xml:space="preserve">初期投資（総額）</t>
  </si>
  <si>
    <t xml:space="preserve">うち 分割対象額</t>
  </si>
  <si>
    <t xml:space="preserve">開業時 現金支出</t>
  </si>
  <si>
    <t xml:space="preserve">分割弁済額</t>
  </si>
  <si>
    <t xml:space="preserve">投資キャッシュアウト　計</t>
  </si>
  <si>
    <t xml:space="preserve">法人税等（推計）</t>
  </si>
  <si>
    <t xml:space="preserve">簡易フリーキャッシュフロー</t>
  </si>
  <si>
    <t xml:space="preserve">累計フリーキャッシュフロー</t>
  </si>
  <si>
    <t xml:space="preserve">■ 必要資金と調達</t>
  </si>
  <si>
    <t xml:space="preserve">法人税 実効税率</t>
  </si>
  <si>
    <t xml:space="preserve">簡易。繰越欠損金の控除は考慮せず</t>
  </si>
  <si>
    <r>
      <rPr>
        <sz val="10"/>
        <color rgb="FF000000"/>
        <rFont val="WenQuanYi Zen Hei"/>
        <family val="2"/>
      </rPr>
      <t xml:space="preserve">最大資金需要（累計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の最小値）</t>
    </r>
  </si>
  <si>
    <t xml:space="preserve">税引後ベース</t>
  </si>
  <si>
    <t xml:space="preserve">既存調達額（エクイティ＋デット）</t>
  </si>
  <si>
    <r>
      <rPr>
        <sz val="9"/>
        <color rgb="FF7F7F7F"/>
        <rFont val="WenQuanYi Zen Hei"/>
        <family val="2"/>
      </rPr>
      <t xml:space="preserve">事業収支資料</t>
    </r>
    <r>
      <rPr>
        <sz val="9"/>
        <color rgb="FF7F7F7F"/>
        <rFont val="Meiryo"/>
        <family val="0"/>
        <charset val="1"/>
      </rPr>
      <t xml:space="preserve">p11</t>
    </r>
    <r>
      <rPr>
        <sz val="9"/>
        <color rgb="FF7F7F7F"/>
        <rFont val="WenQuanYi Zen Hei"/>
        <family val="2"/>
      </rPr>
      <t xml:space="preserve">「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億調達済み」。内訳未確認</t>
    </r>
  </si>
  <si>
    <r>
      <rPr>
        <sz val="10"/>
        <color rgb="FF000000"/>
        <rFont val="WenQuanYi Zen Hei"/>
        <family val="2"/>
      </rPr>
      <t xml:space="preserve">第三者割当①（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月）</t>
    </r>
  </si>
  <si>
    <r>
      <rPr>
        <sz val="9"/>
        <color rgb="FF7F7F7F"/>
        <rFont val="Meiryo"/>
        <family val="0"/>
        <charset val="1"/>
      </rPr>
      <t xml:space="preserve">Pre3</t>
    </r>
    <r>
      <rPr>
        <sz val="9"/>
        <color rgb="FF7F7F7F"/>
        <rFont val="WenQuanYi Zen Hei"/>
        <family val="2"/>
      </rPr>
      <t xml:space="preserve">億・</t>
    </r>
    <r>
      <rPr>
        <sz val="9"/>
        <color rgb="FF7F7F7F"/>
        <rFont val="Meiryo"/>
        <family val="0"/>
        <charset val="1"/>
      </rPr>
      <t xml:space="preserve">Post4.5</t>
    </r>
    <r>
      <rPr>
        <sz val="9"/>
        <color rgb="FF7F7F7F"/>
        <rFont val="WenQuanYi Zen Hei"/>
        <family val="2"/>
      </rPr>
      <t xml:space="preserve">億</t>
    </r>
  </si>
  <si>
    <t xml:space="preserve">調達額　計</t>
  </si>
  <si>
    <t xml:space="preserve">デット元本返済・分割払い金利は未考慮</t>
  </si>
  <si>
    <r>
      <rPr>
        <sz val="9"/>
        <color rgb="FF7F7F7F"/>
        <rFont val="WenQuanYi Zen Hei"/>
        <family val="2"/>
      </rPr>
      <t xml:space="preserve">※ 簡易</t>
    </r>
    <r>
      <rPr>
        <sz val="9"/>
        <color rgb="FF7F7F7F"/>
        <rFont val="Meiryo"/>
        <family val="0"/>
        <charset val="1"/>
      </rPr>
      <t xml:space="preserve">FCF</t>
    </r>
    <r>
      <rPr>
        <sz val="9"/>
        <color rgb="FF7F7F7F"/>
        <rFont val="WenQuanYi Zen Hei"/>
        <family val="2"/>
      </rPr>
      <t xml:space="preserve">＝連結</t>
    </r>
    <r>
      <rPr>
        <sz val="9"/>
        <color rgb="FF7F7F7F"/>
        <rFont val="Meiryo"/>
        <family val="0"/>
        <charset val="1"/>
      </rPr>
      <t xml:space="preserve">EBITDA</t>
    </r>
    <r>
      <rPr>
        <sz val="9"/>
        <color rgb="FF7F7F7F"/>
        <rFont val="WenQuanYi Zen Hei"/>
        <family val="2"/>
      </rPr>
      <t xml:space="preserve">－法人税等－投資キャッシュアウト。運転資本増減・借入返済は含まない。</t>
    </r>
  </si>
  <si>
    <r>
      <rPr>
        <sz val="9"/>
        <color rgb="FFC00000"/>
        <rFont val="WenQuanYi Zen Hei"/>
        <family val="2"/>
      </rPr>
      <t xml:space="preserve">※ ワイン・美術品在庫は</t>
    </r>
    <r>
      <rPr>
        <sz val="9"/>
        <color rgb="FFC00000"/>
        <rFont val="Meiryo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号店</t>
    </r>
    <r>
      <rPr>
        <sz val="9"/>
        <color rgb="FFC00000"/>
        <rFont val="Meiryo"/>
        <family val="0"/>
        <charset val="1"/>
      </rPr>
      <t xml:space="preserve">50</t>
    </r>
    <r>
      <rPr>
        <sz val="9"/>
        <color rgb="FFC00000"/>
        <rFont val="WenQuanYi Zen Hei"/>
        <family val="2"/>
      </rPr>
      <t xml:space="preserve">百万円（美術品含む）、</t>
    </r>
    <r>
      <rPr>
        <sz val="9"/>
        <color rgb="FFC00000"/>
        <rFont val="Meiryo"/>
        <family val="0"/>
        <charset val="1"/>
      </rPr>
      <t xml:space="preserve">2</t>
    </r>
    <r>
      <rPr>
        <sz val="9"/>
        <color rgb="FFC00000"/>
        <rFont val="WenQuanYi Zen Hei"/>
        <family val="2"/>
      </rPr>
      <t xml:space="preserve">号店以降はワインのみ</t>
    </r>
    <r>
      <rPr>
        <sz val="9"/>
        <color rgb="FFC00000"/>
        <rFont val="Meiryo"/>
        <family val="0"/>
        <charset val="1"/>
      </rPr>
      <t xml:space="preserve">10</t>
    </r>
    <r>
      <rPr>
        <sz val="9"/>
        <color rgb="FFC00000"/>
        <rFont val="WenQuanYi Zen Hei"/>
        <family val="2"/>
      </rPr>
      <t xml:space="preserve">百万円。</t>
    </r>
    <r>
      <rPr>
        <sz val="9"/>
        <color rgb="FFC00000"/>
        <rFont val="Meiryo"/>
        <family val="0"/>
        <charset val="1"/>
      </rPr>
      <t xml:space="preserve">9</t>
    </r>
    <r>
      <rPr>
        <sz val="9"/>
        <color rgb="FFC00000"/>
        <rFont val="WenQuanYi Zen Hei"/>
        <family val="2"/>
      </rPr>
      <t xml:space="preserve">店舗累計の初期投資は</t>
    </r>
    <r>
      <rPr>
        <sz val="9"/>
        <color rgb="FFC00000"/>
        <rFont val="Meiryo"/>
        <family val="0"/>
        <charset val="1"/>
      </rPr>
      <t xml:space="preserve">23.3</t>
    </r>
    <r>
      <rPr>
        <sz val="9"/>
        <color rgb="FFC00000"/>
        <rFont val="WenQuanYi Zen Hei"/>
        <family val="2"/>
      </rPr>
      <t xml:space="preserve">億円。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</si>
</sst>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;\(#,##0.0\);\-"/>
    <numFmt numFmtId="167" formatCode="0.0%;\(0.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Meiryo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Meiryo"/>
      <family val="0"/>
      <charset val="1"/>
    </font>
    <font>
      <b val="true"/>
      <sz val="10"/>
      <color rgb="FFC00000"/>
      <name val="WenQuanYi Zen Hei"/>
      <family val="2"/>
    </font>
    <font>
      <b val="true"/>
      <sz val="10"/>
      <color rgb="FFC00000"/>
      <name val="Meiryo"/>
      <family val="0"/>
      <charset val="1"/>
    </font>
    <font>
      <sz val="10"/>
      <color rgb="FF008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b val="true"/>
      <sz val="9"/>
      <color rgb="FFC00000"/>
      <name val="WenQuanYi Zen Hei"/>
      <family val="2"/>
    </font>
    <font>
      <b val="true"/>
      <sz val="9"/>
      <color rgb="FFC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sz val="9"/>
      <color rgb="FFC00000"/>
      <name val="WenQuanYi Zen Hei"/>
      <family val="2"/>
    </font>
    <font>
      <sz val="9"/>
      <color rgb="FFC00000"/>
      <name val="Meiryo"/>
      <family val="0"/>
      <charset val="1"/>
    </font>
    <font>
      <sz val="9"/>
      <color rgb="FF000000"/>
      <name val="WenQuanYi Zen Hei"/>
      <family val="2"/>
    </font>
    <font>
      <sz val="9"/>
      <color rgb="FF000000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2F2F2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s">
        <v>4</v>
      </c>
      <c r="E5" s="6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E6" s="6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  <c r="E7" s="6" t="s">
        <v>11</v>
      </c>
    </row>
    <row r="8" customFormat="false" ht="15" hidden="false" customHeight="false" outlineLevel="0" collapsed="false">
      <c r="A8" s="4" t="s">
        <v>12</v>
      </c>
      <c r="B8" s="5" t="s">
        <v>13</v>
      </c>
      <c r="E8" s="6" t="s">
        <v>14</v>
      </c>
    </row>
    <row r="9" customFormat="false" ht="15" hidden="false" customHeight="false" outlineLevel="0" collapsed="false">
      <c r="A9" s="4" t="s">
        <v>15</v>
      </c>
      <c r="B9" s="5" t="s">
        <v>13</v>
      </c>
      <c r="E9" s="6" t="s">
        <v>16</v>
      </c>
    </row>
    <row r="11" customFormat="false" ht="15" hidden="false" customHeight="false" outlineLevel="0" collapsed="false">
      <c r="A11" s="3" t="s">
        <v>17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7" t="s">
        <v>18</v>
      </c>
      <c r="C12" s="8" t="s">
        <v>3</v>
      </c>
      <c r="D12" s="8" t="s">
        <v>6</v>
      </c>
      <c r="E12" s="8" t="s">
        <v>9</v>
      </c>
      <c r="F12" s="8" t="s">
        <v>12</v>
      </c>
      <c r="G12" s="8" t="s">
        <v>15</v>
      </c>
      <c r="H12" s="8" t="s">
        <v>19</v>
      </c>
    </row>
    <row r="13" customFormat="false" ht="15" hidden="false" customHeight="false" outlineLevel="0" collapsed="false">
      <c r="A13" s="9" t="s">
        <v>20</v>
      </c>
      <c r="C13" s="10" t="n">
        <f aca="false">連結PL!C4</f>
        <v>1</v>
      </c>
      <c r="D13" s="10" t="n">
        <f aca="false">連結PL!D4</f>
        <v>3</v>
      </c>
      <c r="E13" s="10" t="n">
        <f aca="false">連結PL!E4</f>
        <v>5</v>
      </c>
      <c r="F13" s="10" t="n">
        <f aca="false">連結PL!F4</f>
        <v>7</v>
      </c>
      <c r="G13" s="10" t="n">
        <f aca="false">連結PL!G4</f>
        <v>9</v>
      </c>
    </row>
    <row r="14" customFormat="false" ht="15" hidden="false" customHeight="false" outlineLevel="0" collapsed="false">
      <c r="A14" s="9" t="s">
        <v>21</v>
      </c>
      <c r="C14" s="11" t="n">
        <f aca="false">連結PL!C5</f>
        <v>385.767</v>
      </c>
      <c r="D14" s="11" t="n">
        <f aca="false">連結PL!D5</f>
        <v>902.26615</v>
      </c>
      <c r="E14" s="11" t="n">
        <f aca="false">連結PL!E5</f>
        <v>1750.95355</v>
      </c>
      <c r="F14" s="11" t="n">
        <f aca="false">連結PL!F5</f>
        <v>2608.21355</v>
      </c>
      <c r="G14" s="11" t="n">
        <f aca="false">連結PL!G5</f>
        <v>3465.47355</v>
      </c>
      <c r="H14" s="12" t="n">
        <f aca="false">連結PL!H5</f>
        <v>9112.6738</v>
      </c>
    </row>
    <row r="15" customFormat="false" ht="15" hidden="false" customHeight="false" outlineLevel="0" collapsed="false">
      <c r="A15" s="9" t="s">
        <v>22</v>
      </c>
      <c r="C15" s="11" t="n">
        <f aca="false">連結PL!C19</f>
        <v>46.70771</v>
      </c>
      <c r="D15" s="11" t="n">
        <f aca="false">連結PL!D19</f>
        <v>115.4309031</v>
      </c>
      <c r="E15" s="11" t="n">
        <f aca="false">連結PL!E19</f>
        <v>236.7587087</v>
      </c>
      <c r="F15" s="11" t="n">
        <f aca="false">連結PL!F19</f>
        <v>365.3217887</v>
      </c>
      <c r="G15" s="11" t="n">
        <f aca="false">連結PL!G19</f>
        <v>493.8848687</v>
      </c>
      <c r="H15" s="12" t="n">
        <f aca="false">連結PL!H19</f>
        <v>1258.1039792</v>
      </c>
    </row>
    <row r="16" customFormat="false" ht="15" hidden="false" customHeight="false" outlineLevel="0" collapsed="false">
      <c r="A16" s="9" t="s">
        <v>23</v>
      </c>
      <c r="C16" s="11" t="n">
        <f aca="false">連結PL!C20</f>
        <v>15</v>
      </c>
      <c r="D16" s="11" t="n">
        <f aca="false">連結PL!D20</f>
        <v>28</v>
      </c>
      <c r="E16" s="11" t="n">
        <f aca="false">連結PL!E20</f>
        <v>40</v>
      </c>
      <c r="F16" s="11" t="n">
        <f aca="false">連結PL!F20</f>
        <v>48</v>
      </c>
      <c r="G16" s="11" t="n">
        <f aca="false">連結PL!G20</f>
        <v>55</v>
      </c>
      <c r="H16" s="12" t="n">
        <f aca="false">連結PL!H20</f>
        <v>186</v>
      </c>
    </row>
    <row r="17" customFormat="false" ht="15" hidden="false" customHeight="false" outlineLevel="0" collapsed="false">
      <c r="A17" s="13" t="s">
        <v>24</v>
      </c>
      <c r="C17" s="14" t="n">
        <f aca="false">連結PL!C21</f>
        <v>31.70771</v>
      </c>
      <c r="D17" s="14" t="n">
        <f aca="false">連結PL!D21</f>
        <v>87.4309031</v>
      </c>
      <c r="E17" s="14" t="n">
        <f aca="false">連結PL!E21</f>
        <v>196.7587087</v>
      </c>
      <c r="F17" s="14" t="n">
        <f aca="false">連結PL!F21</f>
        <v>317.3217887</v>
      </c>
      <c r="G17" s="14" t="n">
        <f aca="false">連結PL!G21</f>
        <v>438.8848687</v>
      </c>
      <c r="H17" s="12" t="n">
        <f aca="false">連結PL!H21</f>
        <v>1072.1039792</v>
      </c>
    </row>
    <row r="18" customFormat="false" ht="15" hidden="false" customHeight="false" outlineLevel="0" collapsed="false">
      <c r="A18" s="13" t="s">
        <v>25</v>
      </c>
      <c r="C18" s="15" t="n">
        <f aca="false">連結PL!C22</f>
        <v>0.0821939409021509</v>
      </c>
      <c r="D18" s="15" t="n">
        <f aca="false">連結PL!D22</f>
        <v>0.0969014554075867</v>
      </c>
      <c r="E18" s="15" t="n">
        <f aca="false">連結PL!E22</f>
        <v>0.112372317757944</v>
      </c>
      <c r="F18" s="15" t="n">
        <f aca="false">連結PL!F22</f>
        <v>0.121662502941908</v>
      </c>
      <c r="G18" s="15" t="n">
        <f aca="false">連結PL!G22</f>
        <v>0.126644991620265</v>
      </c>
      <c r="H18" s="16" t="n">
        <f aca="false">連結PL!H22</f>
        <v>0.117649770279279</v>
      </c>
    </row>
    <row r="19" customFormat="false" ht="15" hidden="false" customHeight="false" outlineLevel="0" collapsed="false">
      <c r="A19" s="9" t="s">
        <v>26</v>
      </c>
      <c r="C19" s="11" t="n">
        <f aca="false">連結PL!C23</f>
        <v>20.825</v>
      </c>
      <c r="D19" s="11" t="n">
        <f aca="false">連結PL!D23</f>
        <v>46.85625</v>
      </c>
      <c r="E19" s="11" t="n">
        <f aca="false">連結PL!E23</f>
        <v>87.88125</v>
      </c>
      <c r="F19" s="11" t="n">
        <f aca="false">連結PL!F23</f>
        <v>128.53125</v>
      </c>
      <c r="G19" s="11" t="n">
        <f aca="false">連結PL!G23</f>
        <v>169.18125</v>
      </c>
      <c r="H19" s="12" t="n">
        <f aca="false">連結PL!H23</f>
        <v>453.275</v>
      </c>
    </row>
    <row r="20" customFormat="false" ht="15" hidden="false" customHeight="false" outlineLevel="0" collapsed="false">
      <c r="A20" s="13" t="s">
        <v>27</v>
      </c>
      <c r="C20" s="14" t="n">
        <f aca="false">連結PL!C24</f>
        <v>10.88271</v>
      </c>
      <c r="D20" s="14" t="n">
        <f aca="false">連結PL!D24</f>
        <v>40.5746531</v>
      </c>
      <c r="E20" s="14" t="n">
        <f aca="false">連結PL!E24</f>
        <v>108.8774587</v>
      </c>
      <c r="F20" s="14" t="n">
        <f aca="false">連結PL!F24</f>
        <v>188.7905387</v>
      </c>
      <c r="G20" s="14" t="n">
        <f aca="false">連結PL!G24</f>
        <v>269.7036187</v>
      </c>
      <c r="H20" s="12" t="n">
        <f aca="false">連結PL!H24</f>
        <v>618.8289792</v>
      </c>
    </row>
    <row r="21" customFormat="false" ht="15" hidden="false" customHeight="false" outlineLevel="0" collapsed="false">
      <c r="A21" s="13" t="s">
        <v>28</v>
      </c>
      <c r="C21" s="15" t="n">
        <f aca="false">連結PL!C25</f>
        <v>0.0282105778876888</v>
      </c>
      <c r="D21" s="15" t="n">
        <f aca="false">連結PL!D25</f>
        <v>0.0449697166407052</v>
      </c>
      <c r="E21" s="15" t="n">
        <f aca="false">連結PL!E25</f>
        <v>0.0621818087064616</v>
      </c>
      <c r="F21" s="15" t="n">
        <f aca="false">連結PL!F25</f>
        <v>0.0723830833176984</v>
      </c>
      <c r="G21" s="15" t="n">
        <f aca="false">連結PL!G25</f>
        <v>0.0778259059862107</v>
      </c>
      <c r="H21" s="16" t="n">
        <f aca="false">連結PL!H25</f>
        <v>0.0679086064948358</v>
      </c>
    </row>
    <row r="23" customFormat="false" ht="15" hidden="false" customHeight="false" outlineLevel="0" collapsed="false">
      <c r="A23" s="3" t="s">
        <v>29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9" t="s">
        <v>30</v>
      </c>
      <c r="B24" s="17" t="str">
        <f aca="false">IF(COUNTIF(連結PL!C22:G22,"&gt;=0.1")=0,"5年内に未達",INDEX({"FY2027","FY2028","FY2029","FY2030","FY2031"},6-COUNTIF(連結PL!C22:G22,"&gt;=0.1")))</f>
        <v>FY2029</v>
      </c>
      <c r="D24" s="2" t="s">
        <v>31</v>
      </c>
    </row>
    <row r="25" customFormat="false" ht="15" hidden="false" customHeight="false" outlineLevel="0" collapsed="false">
      <c r="A25" s="9" t="s">
        <v>32</v>
      </c>
      <c r="B25" s="17" t="str">
        <f aca="false">IF(COUNTIF(連結PL!C25:G25,"&gt;=0.05")=0,"5年内に未達",INDEX({"FY2027","FY2028","FY2029","FY2030","FY2031"},6-COUNTIF(連結PL!C25:G25,"&gt;=0.05")))</f>
        <v>FY2029</v>
      </c>
      <c r="D25" s="2" t="s">
        <v>33</v>
      </c>
    </row>
    <row r="27" customFormat="false" ht="15" hidden="false" customHeight="false" outlineLevel="0" collapsed="false">
      <c r="A27" s="3" t="s">
        <v>34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9" t="s">
        <v>35</v>
      </c>
      <c r="B28" s="10" t="n">
        <f aca="false">投資・キャッシュフロー!H4</f>
        <v>9</v>
      </c>
    </row>
    <row r="29" customFormat="false" ht="15" hidden="false" customHeight="false" outlineLevel="0" collapsed="false">
      <c r="A29" s="9" t="s">
        <v>36</v>
      </c>
      <c r="B29" s="18" t="n">
        <f aca="false">投資・キャッシュフロー!H6</f>
        <v>-2325.25</v>
      </c>
    </row>
    <row r="30" customFormat="false" ht="15" hidden="false" customHeight="false" outlineLevel="0" collapsed="false">
      <c r="A30" s="9" t="s">
        <v>37</v>
      </c>
      <c r="B30" s="18" t="n">
        <f aca="false">投資・キャッシュフロー!H8</f>
        <v>-1075.15</v>
      </c>
    </row>
    <row r="31" customFormat="false" ht="15" hidden="false" customHeight="false" outlineLevel="0" collapsed="false">
      <c r="A31" s="9" t="s">
        <v>38</v>
      </c>
      <c r="B31" s="18" t="n">
        <f aca="false">投資・キャッシュフロー!B18</f>
        <v>534.46849765</v>
      </c>
    </row>
    <row r="32" customFormat="false" ht="15" hidden="false" customHeight="false" outlineLevel="0" collapsed="false">
      <c r="A32" s="9" t="s">
        <v>39</v>
      </c>
      <c r="B32" s="18" t="n">
        <f aca="false">投資・キャッシュフロー!B21</f>
        <v>350</v>
      </c>
    </row>
    <row r="33" customFormat="false" ht="15" hidden="false" customHeight="false" outlineLevel="0" collapsed="false">
      <c r="A33" s="13" t="s">
        <v>40</v>
      </c>
      <c r="B33" s="19" t="n">
        <f aca="false">投資・キャッシュフロー!B22</f>
        <v>-184.46849765</v>
      </c>
    </row>
    <row r="35" customFormat="false" ht="15" hidden="false" customHeight="false" outlineLevel="0" collapsed="false">
      <c r="A35" s="2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21" t="s">
        <v>42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5" t="s">
        <v>45</v>
      </c>
      <c r="B5" s="22" t="n">
        <v>428.63</v>
      </c>
      <c r="H5" s="2" t="s">
        <v>46</v>
      </c>
    </row>
    <row r="6" customFormat="false" ht="15" hidden="false" customHeight="false" outlineLevel="0" collapsed="false">
      <c r="A6" s="5" t="s">
        <v>47</v>
      </c>
      <c r="B6" s="23" t="n">
        <v>0.9</v>
      </c>
      <c r="H6" s="2"/>
    </row>
    <row r="7" customFormat="false" ht="15" hidden="false" customHeight="false" outlineLevel="0" collapsed="false">
      <c r="A7" s="5" t="s">
        <v>48</v>
      </c>
      <c r="B7" s="23" t="n">
        <v>0.98</v>
      </c>
      <c r="H7" s="2"/>
    </row>
    <row r="8" customFormat="false" ht="15" hidden="false" customHeight="false" outlineLevel="0" collapsed="false">
      <c r="A8" s="5" t="s">
        <v>49</v>
      </c>
      <c r="B8" s="23" t="n">
        <v>1</v>
      </c>
      <c r="H8" s="2" t="s">
        <v>50</v>
      </c>
    </row>
    <row r="9" customFormat="false" ht="15" hidden="false" customHeight="false" outlineLevel="0" collapsed="false">
      <c r="A9" s="5" t="s">
        <v>51</v>
      </c>
      <c r="B9" s="22" t="n">
        <v>7.5</v>
      </c>
      <c r="H9" s="2" t="s">
        <v>52</v>
      </c>
    </row>
    <row r="10" customFormat="false" ht="15" hidden="false" customHeight="false" outlineLevel="0" collapsed="false">
      <c r="A10" s="5" t="s">
        <v>53</v>
      </c>
      <c r="B10" s="22" t="n">
        <v>12</v>
      </c>
      <c r="H10" s="24" t="s">
        <v>54</v>
      </c>
    </row>
    <row r="12" customFormat="false" ht="15" hidden="false" customHeight="false" outlineLevel="0" collapsed="false">
      <c r="A12" s="3" t="s">
        <v>55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56</v>
      </c>
      <c r="B13" s="22" t="n">
        <v>26.64</v>
      </c>
      <c r="H13" s="2" t="s">
        <v>57</v>
      </c>
    </row>
    <row r="14" customFormat="false" ht="15" hidden="false" customHeight="false" outlineLevel="0" collapsed="false">
      <c r="A14" s="5" t="s">
        <v>58</v>
      </c>
      <c r="B14" s="23" t="n">
        <v>0.07</v>
      </c>
      <c r="H14" s="2" t="s">
        <v>59</v>
      </c>
    </row>
    <row r="15" customFormat="false" ht="15" hidden="false" customHeight="false" outlineLevel="0" collapsed="false">
      <c r="A15" s="5" t="s">
        <v>60</v>
      </c>
      <c r="B15" s="22" t="n">
        <v>331.4</v>
      </c>
      <c r="H15" s="2" t="s">
        <v>61</v>
      </c>
    </row>
    <row r="17" customFormat="false" ht="15" hidden="false" customHeight="false" outlineLevel="0" collapsed="false">
      <c r="A17" s="3" t="s">
        <v>62</v>
      </c>
      <c r="B17" s="3"/>
      <c r="C17" s="3"/>
      <c r="D17" s="3"/>
      <c r="E17" s="3"/>
      <c r="F17" s="3"/>
    </row>
    <row r="18" customFormat="false" ht="31.5" hidden="false" customHeight="true" outlineLevel="0" collapsed="false">
      <c r="A18" s="25" t="s">
        <v>63</v>
      </c>
      <c r="B18" s="26" t="s">
        <v>64</v>
      </c>
      <c r="C18" s="26" t="s">
        <v>65</v>
      </c>
      <c r="D18" s="26" t="s">
        <v>66</v>
      </c>
      <c r="H18" s="25" t="s">
        <v>67</v>
      </c>
    </row>
    <row r="19" customFormat="false" ht="15" hidden="false" customHeight="false" outlineLevel="0" collapsed="false">
      <c r="A19" s="9" t="s">
        <v>68</v>
      </c>
      <c r="B19" s="23" t="n">
        <v>0.3</v>
      </c>
      <c r="C19" s="23" t="n">
        <v>0.3</v>
      </c>
      <c r="D19" s="23" t="n">
        <v>0.3</v>
      </c>
      <c r="H19" s="2" t="s">
        <v>69</v>
      </c>
    </row>
    <row r="20" customFormat="false" ht="15" hidden="false" customHeight="false" outlineLevel="0" collapsed="false">
      <c r="A20" s="9" t="s">
        <v>70</v>
      </c>
      <c r="B20" s="23" t="n">
        <v>0.345</v>
      </c>
      <c r="C20" s="23" t="n">
        <v>0.335</v>
      </c>
      <c r="D20" s="23" t="n">
        <v>0.325</v>
      </c>
      <c r="H20" s="2" t="s">
        <v>71</v>
      </c>
    </row>
    <row r="21" customFormat="false" ht="15" hidden="false" customHeight="false" outlineLevel="0" collapsed="false">
      <c r="A21" s="9" t="s">
        <v>72</v>
      </c>
      <c r="B21" s="23" t="n">
        <v>0.024</v>
      </c>
      <c r="C21" s="23" t="n">
        <v>0.022</v>
      </c>
      <c r="D21" s="23" t="n">
        <v>0.02</v>
      </c>
      <c r="H21" s="2" t="s">
        <v>73</v>
      </c>
    </row>
    <row r="22" customFormat="false" ht="15" hidden="false" customHeight="false" outlineLevel="0" collapsed="false">
      <c r="A22" s="9" t="s">
        <v>74</v>
      </c>
      <c r="B22" s="23" t="n">
        <v>0.014</v>
      </c>
      <c r="C22" s="23" t="n">
        <v>0.014</v>
      </c>
      <c r="D22" s="23" t="n">
        <v>0.014</v>
      </c>
      <c r="H22" s="2" t="s">
        <v>75</v>
      </c>
    </row>
    <row r="23" customFormat="false" ht="15" hidden="false" customHeight="false" outlineLevel="0" collapsed="false">
      <c r="A23" s="9" t="s">
        <v>76</v>
      </c>
      <c r="B23" s="23" t="n">
        <v>0.005</v>
      </c>
      <c r="C23" s="23" t="n">
        <v>0.005</v>
      </c>
      <c r="D23" s="23" t="n">
        <v>0.005</v>
      </c>
      <c r="H23" s="2" t="s">
        <v>75</v>
      </c>
    </row>
    <row r="24" customFormat="false" ht="15" hidden="false" customHeight="false" outlineLevel="0" collapsed="false">
      <c r="A24" s="9" t="s">
        <v>77</v>
      </c>
      <c r="B24" s="23" t="n">
        <v>0.04</v>
      </c>
      <c r="C24" s="23" t="n">
        <v>0.038</v>
      </c>
      <c r="D24" s="23" t="n">
        <v>0.036</v>
      </c>
      <c r="H24" s="2" t="s">
        <v>78</v>
      </c>
    </row>
    <row r="25" customFormat="false" ht="15" hidden="false" customHeight="false" outlineLevel="0" collapsed="false">
      <c r="A25" s="9" t="s">
        <v>79</v>
      </c>
      <c r="B25" s="23" t="n">
        <v>0.04</v>
      </c>
      <c r="C25" s="23" t="n">
        <v>0.04</v>
      </c>
      <c r="D25" s="23" t="n">
        <v>0.04</v>
      </c>
      <c r="H25" s="2" t="s">
        <v>80</v>
      </c>
    </row>
    <row r="26" customFormat="false" ht="15" hidden="false" customHeight="false" outlineLevel="0" collapsed="false">
      <c r="A26" s="9" t="s">
        <v>81</v>
      </c>
      <c r="B26" s="23" t="n">
        <v>0.007</v>
      </c>
      <c r="C26" s="23" t="n">
        <v>0.007</v>
      </c>
      <c r="D26" s="23" t="n">
        <v>0.007</v>
      </c>
      <c r="H26" s="2" t="s">
        <v>75</v>
      </c>
    </row>
    <row r="27" customFormat="false" ht="15" hidden="false" customHeight="false" outlineLevel="0" collapsed="false">
      <c r="A27" s="9" t="s">
        <v>82</v>
      </c>
      <c r="B27" s="23" t="n">
        <v>0.025</v>
      </c>
      <c r="C27" s="23" t="n">
        <v>0.025</v>
      </c>
      <c r="D27" s="23" t="n">
        <v>0.025</v>
      </c>
      <c r="H27" s="2" t="s">
        <v>75</v>
      </c>
    </row>
    <row r="28" customFormat="false" ht="15" hidden="false" customHeight="false" outlineLevel="0" collapsed="false">
      <c r="A28" s="13" t="s">
        <v>83</v>
      </c>
      <c r="B28" s="27" t="n">
        <f aca="false">SUM(B19:B27)</f>
        <v>0.8</v>
      </c>
      <c r="C28" s="27" t="n">
        <f aca="false">SUM(C19:C27)</f>
        <v>0.786</v>
      </c>
      <c r="D28" s="27" t="n">
        <f aca="false">SUM(D19:D27)</f>
        <v>0.772</v>
      </c>
    </row>
    <row r="30" customFormat="false" ht="15" hidden="false" customHeight="false" outlineLevel="0" collapsed="false">
      <c r="A30" s="3" t="s">
        <v>84</v>
      </c>
      <c r="B30" s="3"/>
      <c r="C30" s="3"/>
      <c r="D30" s="3"/>
      <c r="E30" s="3"/>
      <c r="F30" s="3"/>
    </row>
    <row r="31" customFormat="false" ht="27.75" hidden="false" customHeight="true" outlineLevel="0" collapsed="false">
      <c r="A31" s="7" t="s">
        <v>18</v>
      </c>
      <c r="B31" s="26" t="s">
        <v>85</v>
      </c>
      <c r="C31" s="26" t="s">
        <v>86</v>
      </c>
      <c r="D31" s="26" t="s">
        <v>87</v>
      </c>
    </row>
    <row r="32" customFormat="false" ht="15" hidden="false" customHeight="false" outlineLevel="0" collapsed="false">
      <c r="A32" s="9" t="s">
        <v>88</v>
      </c>
      <c r="B32" s="22" t="n">
        <v>10</v>
      </c>
      <c r="C32" s="22" t="n">
        <v>10</v>
      </c>
      <c r="D32" s="22" t="n">
        <v>5</v>
      </c>
      <c r="H32" s="2" t="s">
        <v>89</v>
      </c>
    </row>
    <row r="33" customFormat="false" ht="15" hidden="false" customHeight="false" outlineLevel="0" collapsed="false">
      <c r="A33" s="9" t="s">
        <v>90</v>
      </c>
      <c r="B33" s="22" t="n">
        <v>194.25</v>
      </c>
      <c r="C33" s="22" t="n">
        <v>194.25</v>
      </c>
      <c r="D33" s="22" t="n">
        <v>194.25</v>
      </c>
      <c r="H33" s="24" t="s">
        <v>91</v>
      </c>
    </row>
    <row r="34" customFormat="false" ht="15" hidden="false" customHeight="false" outlineLevel="0" collapsed="false">
      <c r="A34" s="9" t="s">
        <v>92</v>
      </c>
      <c r="B34" s="22" t="n">
        <v>4</v>
      </c>
      <c r="C34" s="22" t="n">
        <v>4</v>
      </c>
      <c r="D34" s="22" t="n">
        <v>4</v>
      </c>
      <c r="H34" s="2"/>
    </row>
    <row r="35" customFormat="false" ht="15" hidden="false" customHeight="false" outlineLevel="0" collapsed="false">
      <c r="A35" s="9" t="s">
        <v>93</v>
      </c>
      <c r="B35" s="22" t="n">
        <v>39</v>
      </c>
      <c r="C35" s="22" t="n">
        <v>39</v>
      </c>
      <c r="D35" s="22" t="n">
        <v>39</v>
      </c>
      <c r="H35" s="2" t="s">
        <v>94</v>
      </c>
    </row>
    <row r="36" customFormat="false" ht="15" hidden="false" customHeight="false" outlineLevel="0" collapsed="false">
      <c r="A36" s="9" t="s">
        <v>95</v>
      </c>
      <c r="B36" s="22" t="n">
        <v>50</v>
      </c>
      <c r="C36" s="22" t="n">
        <v>10</v>
      </c>
      <c r="D36" s="22" t="n">
        <v>10</v>
      </c>
      <c r="H36" s="24" t="s">
        <v>96</v>
      </c>
    </row>
    <row r="37" customFormat="false" ht="15" hidden="false" customHeight="false" outlineLevel="0" collapsed="false">
      <c r="A37" s="13" t="s">
        <v>97</v>
      </c>
      <c r="B37" s="28" t="n">
        <f aca="false">SUM(B32:B36)</f>
        <v>297.25</v>
      </c>
      <c r="C37" s="28" t="n">
        <f aca="false">SUM(C32:C36)</f>
        <v>257.25</v>
      </c>
      <c r="D37" s="28" t="n">
        <f aca="false">SUM(D32:D36)</f>
        <v>252.25</v>
      </c>
    </row>
    <row r="38" customFormat="false" ht="15" hidden="false" customHeight="false" outlineLevel="0" collapsed="false">
      <c r="A38" s="13" t="s">
        <v>98</v>
      </c>
      <c r="B38" s="29" t="n">
        <f aca="false">B37-B35-B36</f>
        <v>208.25</v>
      </c>
      <c r="C38" s="29" t="n">
        <f aca="false">C37-C35-C36</f>
        <v>208.25</v>
      </c>
      <c r="D38" s="29" t="n">
        <f aca="false">D37-D35-D36</f>
        <v>203.25</v>
      </c>
      <c r="H38" s="30" t="s">
        <v>99</v>
      </c>
    </row>
    <row r="39" customFormat="false" ht="15" hidden="false" customHeight="false" outlineLevel="0" collapsed="false">
      <c r="A39" s="9" t="s">
        <v>100</v>
      </c>
      <c r="B39" s="22" t="n">
        <v>10</v>
      </c>
      <c r="C39" s="22" t="n">
        <v>10</v>
      </c>
      <c r="D39" s="22" t="n">
        <v>10</v>
      </c>
    </row>
    <row r="40" customFormat="false" ht="15" hidden="false" customHeight="false" outlineLevel="0" collapsed="false">
      <c r="A40" s="13" t="s">
        <v>101</v>
      </c>
      <c r="B40" s="29" t="n">
        <f aca="false">B38/B39</f>
        <v>20.825</v>
      </c>
      <c r="C40" s="29" t="n">
        <f aca="false">C38/C39</f>
        <v>20.825</v>
      </c>
      <c r="D40" s="29" t="n">
        <f aca="false">D38/D39</f>
        <v>20.325</v>
      </c>
    </row>
    <row r="42" customFormat="false" ht="15" hidden="false" customHeight="false" outlineLevel="0" collapsed="false">
      <c r="A42" s="3" t="s">
        <v>102</v>
      </c>
      <c r="B42" s="3"/>
      <c r="C42" s="3"/>
      <c r="D42" s="3"/>
      <c r="E42" s="3"/>
      <c r="F42" s="3"/>
    </row>
    <row r="43" customFormat="false" ht="15" hidden="false" customHeight="false" outlineLevel="0" collapsed="false">
      <c r="A43" s="5" t="s">
        <v>103</v>
      </c>
      <c r="B43" s="22" t="n">
        <v>138.9</v>
      </c>
    </row>
    <row r="44" customFormat="false" ht="15" hidden="false" customHeight="false" outlineLevel="0" collapsed="false">
      <c r="A44" s="31" t="s">
        <v>104</v>
      </c>
      <c r="B44" s="29" t="n">
        <f aca="false">B37-$B$43</f>
        <v>158.35</v>
      </c>
      <c r="C44" s="29" t="n">
        <f aca="false">C37-$B$43</f>
        <v>118.35</v>
      </c>
      <c r="D44" s="29" t="n">
        <f aca="false">D37-$B$43</f>
        <v>113.35</v>
      </c>
    </row>
    <row r="45" customFormat="false" ht="15" hidden="false" customHeight="false" outlineLevel="0" collapsed="false">
      <c r="A45" s="5" t="s">
        <v>105</v>
      </c>
      <c r="B45" s="22" t="n">
        <v>15.6</v>
      </c>
    </row>
    <row r="47" customFormat="false" ht="15" hidden="false" customHeight="false" outlineLevel="0" collapsed="false">
      <c r="A47" s="3" t="s">
        <v>106</v>
      </c>
      <c r="B47" s="3"/>
      <c r="C47" s="3"/>
      <c r="D47" s="3"/>
      <c r="E47" s="3"/>
      <c r="F47" s="3"/>
    </row>
    <row r="48" customFormat="false" ht="15" hidden="false" customHeight="false" outlineLevel="0" collapsed="false">
      <c r="A48" s="7" t="s">
        <v>18</v>
      </c>
      <c r="B48" s="8" t="s">
        <v>3</v>
      </c>
      <c r="C48" s="8" t="s">
        <v>6</v>
      </c>
      <c r="D48" s="8" t="s">
        <v>9</v>
      </c>
      <c r="E48" s="8" t="s">
        <v>12</v>
      </c>
      <c r="F48" s="8" t="s">
        <v>15</v>
      </c>
    </row>
    <row r="49" customFormat="false" ht="15" hidden="false" customHeight="false" outlineLevel="0" collapsed="false">
      <c r="A49" s="5" t="s">
        <v>107</v>
      </c>
      <c r="B49" s="32" t="n">
        <v>1</v>
      </c>
      <c r="C49" s="32" t="n">
        <v>2</v>
      </c>
      <c r="D49" s="32" t="n">
        <v>2</v>
      </c>
      <c r="E49" s="32" t="n">
        <v>2</v>
      </c>
      <c r="F49" s="32" t="n">
        <v>2</v>
      </c>
      <c r="H49" s="24" t="s">
        <v>108</v>
      </c>
    </row>
    <row r="50" customFormat="false" ht="15" hidden="false" customHeight="false" outlineLevel="0" collapsed="false">
      <c r="A50" s="31" t="s">
        <v>20</v>
      </c>
      <c r="B50" s="33" t="n">
        <f aca="false">B49</f>
        <v>1</v>
      </c>
      <c r="C50" s="33" t="n">
        <f aca="false">B50+C49</f>
        <v>3</v>
      </c>
      <c r="D50" s="33" t="n">
        <f aca="false">C50+D49</f>
        <v>5</v>
      </c>
      <c r="E50" s="33" t="n">
        <f aca="false">D50+E49</f>
        <v>7</v>
      </c>
      <c r="F50" s="33" t="n">
        <f aca="false">E50+F49</f>
        <v>9</v>
      </c>
    </row>
    <row r="51" customFormat="false" ht="15" hidden="false" customHeight="false" outlineLevel="0" collapsed="false">
      <c r="A51" s="5" t="s">
        <v>109</v>
      </c>
      <c r="B51" s="22" t="n">
        <v>15</v>
      </c>
      <c r="C51" s="22" t="n">
        <v>28</v>
      </c>
      <c r="D51" s="22" t="n">
        <v>40</v>
      </c>
      <c r="E51" s="22" t="n">
        <v>48</v>
      </c>
      <c r="F51" s="22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21" t="s">
        <v>110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111</v>
      </c>
    </row>
    <row r="3" customFormat="false" ht="15" hidden="false" customHeight="false" outlineLevel="0" collapsed="false">
      <c r="A3" s="7" t="s">
        <v>112</v>
      </c>
      <c r="B3" s="34" t="s">
        <v>113</v>
      </c>
      <c r="C3" s="8" t="s">
        <v>3</v>
      </c>
      <c r="D3" s="8" t="s">
        <v>6</v>
      </c>
      <c r="E3" s="8" t="s">
        <v>9</v>
      </c>
      <c r="F3" s="8" t="s">
        <v>12</v>
      </c>
      <c r="G3" s="8" t="s">
        <v>15</v>
      </c>
    </row>
    <row r="5" customFormat="false" ht="15" hidden="false" customHeight="false" outlineLevel="0" collapsed="false">
      <c r="A5" s="3" t="s">
        <v>114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5" t="s">
        <v>115</v>
      </c>
      <c r="B6" s="32" t="n">
        <v>1</v>
      </c>
    </row>
    <row r="7" customFormat="false" ht="15" hidden="false" customHeight="false" outlineLevel="0" collapsed="false">
      <c r="A7" s="35" t="s">
        <v>116</v>
      </c>
      <c r="B7" s="18" t="n">
        <f aca="false">前提条件!$B$10</f>
        <v>12</v>
      </c>
    </row>
    <row r="8" customFormat="false" ht="15" hidden="false" customHeight="false" outlineLevel="0" collapsed="false">
      <c r="A8" s="35" t="s">
        <v>117</v>
      </c>
      <c r="C8" s="32" t="n">
        <v>1</v>
      </c>
      <c r="D8" s="32" t="n">
        <v>2</v>
      </c>
      <c r="E8" s="32" t="n">
        <v>3</v>
      </c>
      <c r="F8" s="32" t="n">
        <v>3</v>
      </c>
      <c r="G8" s="32" t="n">
        <v>3</v>
      </c>
    </row>
    <row r="9" customFormat="false" ht="15" hidden="false" customHeight="false" outlineLevel="0" collapsed="false">
      <c r="A9" s="13" t="s">
        <v>21</v>
      </c>
      <c r="C9" s="36" t="n">
        <f aca="false">IF(C8=0,0,前提条件!$B$5*INDEX(前提条件!$B$6:$B$8,C8)*$B$6*IF(C8=1,$B$7/12,1))</f>
        <v>385.767</v>
      </c>
      <c r="D9" s="36" t="n">
        <f aca="false">IF(D8=0,0,前提条件!$B$5*INDEX(前提条件!$B$6:$B$8,D8)*$B$6*IF(D8=1,$B$7/12,1))</f>
        <v>420.0574</v>
      </c>
      <c r="E9" s="36" t="n">
        <f aca="false">IF(E8=0,0,前提条件!$B$5*INDEX(前提条件!$B$6:$B$8,E8)*$B$6*IF(E8=1,$B$7/12,1))</f>
        <v>428.63</v>
      </c>
      <c r="F9" s="36" t="n">
        <f aca="false">IF(F8=0,0,前提条件!$B$5*INDEX(前提条件!$B$6:$B$8,F8)*$B$6*IF(F8=1,$B$7/12,1))</f>
        <v>428.63</v>
      </c>
      <c r="G9" s="36" t="n">
        <f aca="false">IF(G8=0,0,前提条件!$B$5*INDEX(前提条件!$B$6:$B$8,G8)*$B$6*IF(G8=1,$B$7/12,1))</f>
        <v>428.63</v>
      </c>
    </row>
    <row r="10" customFormat="false" ht="15" hidden="false" customHeight="false" outlineLevel="0" collapsed="false">
      <c r="A10" s="37" t="s">
        <v>68</v>
      </c>
      <c r="C10" s="38" t="n">
        <f aca="false">IF(C$8=0,0,C$9*INDEX(前提条件!$B$19:$D$19,1,C$8))</f>
        <v>115.7301</v>
      </c>
      <c r="D10" s="38" t="n">
        <f aca="false">IF(D$8=0,0,D$9*INDEX(前提条件!$B$19:$D$19,1,D$8))</f>
        <v>126.01722</v>
      </c>
      <c r="E10" s="38" t="n">
        <f aca="false">IF(E$8=0,0,E$9*INDEX(前提条件!$B$19:$D$19,1,E$8))</f>
        <v>128.589</v>
      </c>
      <c r="F10" s="38" t="n">
        <f aca="false">IF(F$8=0,0,F$9*INDEX(前提条件!$B$19:$D$19,1,F$8))</f>
        <v>128.589</v>
      </c>
      <c r="G10" s="38" t="n">
        <f aca="false">IF(G$8=0,0,G$9*INDEX(前提条件!$B$19:$D$19,1,G$8))</f>
        <v>128.589</v>
      </c>
    </row>
    <row r="11" customFormat="false" ht="15" hidden="false" customHeight="false" outlineLevel="0" collapsed="false">
      <c r="A11" s="37" t="s">
        <v>70</v>
      </c>
      <c r="C11" s="38" t="n">
        <f aca="false">IF(C$8=0,0,C$9*INDEX(前提条件!$B$20:$D$20,1,C$8))</f>
        <v>133.089615</v>
      </c>
      <c r="D11" s="38" t="n">
        <f aca="false">IF(D$8=0,0,D$9*INDEX(前提条件!$B$20:$D$20,1,D$8))</f>
        <v>140.719229</v>
      </c>
      <c r="E11" s="38" t="n">
        <f aca="false">IF(E$8=0,0,E$9*INDEX(前提条件!$B$20:$D$20,1,E$8))</f>
        <v>139.30475</v>
      </c>
      <c r="F11" s="38" t="n">
        <f aca="false">IF(F$8=0,0,F$9*INDEX(前提条件!$B$20:$D$20,1,F$8))</f>
        <v>139.30475</v>
      </c>
      <c r="G11" s="38" t="n">
        <f aca="false">IF(G$8=0,0,G$9*INDEX(前提条件!$B$20:$D$20,1,G$8))</f>
        <v>139.30475</v>
      </c>
    </row>
    <row r="12" customFormat="false" ht="15" hidden="false" customHeight="false" outlineLevel="0" collapsed="false">
      <c r="A12" s="37" t="s">
        <v>72</v>
      </c>
      <c r="C12" s="38" t="n">
        <f aca="false">IF(C$8=0,0,C$9*INDEX(前提条件!$B$21:$D$21,1,C$8))</f>
        <v>9.258408</v>
      </c>
      <c r="D12" s="38" t="n">
        <f aca="false">IF(D$8=0,0,D$9*INDEX(前提条件!$B$21:$D$21,1,D$8))</f>
        <v>9.2412628</v>
      </c>
      <c r="E12" s="38" t="n">
        <f aca="false">IF(E$8=0,0,E$9*INDEX(前提条件!$B$21:$D$21,1,E$8))</f>
        <v>8.5726</v>
      </c>
      <c r="F12" s="38" t="n">
        <f aca="false">IF(F$8=0,0,F$9*INDEX(前提条件!$B$21:$D$21,1,F$8))</f>
        <v>8.5726</v>
      </c>
      <c r="G12" s="38" t="n">
        <f aca="false">IF(G$8=0,0,G$9*INDEX(前提条件!$B$21:$D$21,1,G$8))</f>
        <v>8.5726</v>
      </c>
    </row>
    <row r="13" customFormat="false" ht="15" hidden="false" customHeight="false" outlineLevel="0" collapsed="false">
      <c r="A13" s="39" t="s">
        <v>118</v>
      </c>
      <c r="C13" s="40" t="n">
        <f aca="false">C9-SUM(C10:C12)</f>
        <v>127.688877</v>
      </c>
      <c r="D13" s="40" t="n">
        <f aca="false">D9-SUM(D10:D12)</f>
        <v>144.0796882</v>
      </c>
      <c r="E13" s="40" t="n">
        <f aca="false">E9-SUM(E10:E12)</f>
        <v>152.16365</v>
      </c>
      <c r="F13" s="40" t="n">
        <f aca="false">F9-SUM(F10:F12)</f>
        <v>152.16365</v>
      </c>
      <c r="G13" s="40" t="n">
        <f aca="false">G9-SUM(G10:G12)</f>
        <v>152.16365</v>
      </c>
    </row>
    <row r="14" customFormat="false" ht="15" hidden="false" customHeight="false" outlineLevel="0" collapsed="false">
      <c r="A14" s="37" t="s">
        <v>74</v>
      </c>
      <c r="C14" s="38" t="n">
        <f aca="false">IF(C$8=0,0,C$9*INDEX(前提条件!$B$22:$D$22,1,C$8))</f>
        <v>5.400738</v>
      </c>
      <c r="D14" s="38" t="n">
        <f aca="false">IF(D$8=0,0,D$9*INDEX(前提条件!$B$22:$D$22,1,D$8))</f>
        <v>5.8808036</v>
      </c>
      <c r="E14" s="38" t="n">
        <f aca="false">IF(E$8=0,0,E$9*INDEX(前提条件!$B$22:$D$22,1,E$8))</f>
        <v>6.00082</v>
      </c>
      <c r="F14" s="38" t="n">
        <f aca="false">IF(F$8=0,0,F$9*INDEX(前提条件!$B$22:$D$22,1,F$8))</f>
        <v>6.00082</v>
      </c>
      <c r="G14" s="38" t="n">
        <f aca="false">IF(G$8=0,0,G$9*INDEX(前提条件!$B$22:$D$22,1,G$8))</f>
        <v>6.00082</v>
      </c>
    </row>
    <row r="15" customFormat="false" ht="15" hidden="false" customHeight="false" outlineLevel="0" collapsed="false">
      <c r="A15" s="37" t="s">
        <v>76</v>
      </c>
      <c r="C15" s="38" t="n">
        <f aca="false">IF(C$8=0,0,C$9*INDEX(前提条件!$B$23:$D$23,1,C$8))</f>
        <v>1.928835</v>
      </c>
      <c r="D15" s="38" t="n">
        <f aca="false">IF(D$8=0,0,D$9*INDEX(前提条件!$B$23:$D$23,1,D$8))</f>
        <v>2.100287</v>
      </c>
      <c r="E15" s="38" t="n">
        <f aca="false">IF(E$8=0,0,E$9*INDEX(前提条件!$B$23:$D$23,1,E$8))</f>
        <v>2.14315</v>
      </c>
      <c r="F15" s="38" t="n">
        <f aca="false">IF(F$8=0,0,F$9*INDEX(前提条件!$B$23:$D$23,1,F$8))</f>
        <v>2.14315</v>
      </c>
      <c r="G15" s="38" t="n">
        <f aca="false">IF(G$8=0,0,G$9*INDEX(前提条件!$B$23:$D$23,1,G$8))</f>
        <v>2.14315</v>
      </c>
    </row>
    <row r="16" customFormat="false" ht="15" hidden="false" customHeight="false" outlineLevel="0" collapsed="false">
      <c r="A16" s="37" t="s">
        <v>77</v>
      </c>
      <c r="C16" s="38" t="n">
        <f aca="false">IF(C$8=0,0,C$9*INDEX(前提条件!$B$24:$D$24,1,C$8))</f>
        <v>15.43068</v>
      </c>
      <c r="D16" s="38" t="n">
        <f aca="false">IF(D$8=0,0,D$9*INDEX(前提条件!$B$24:$D$24,1,D$8))</f>
        <v>15.9621812</v>
      </c>
      <c r="E16" s="38" t="n">
        <f aca="false">IF(E$8=0,0,E$9*INDEX(前提条件!$B$24:$D$24,1,E$8))</f>
        <v>15.43068</v>
      </c>
      <c r="F16" s="38" t="n">
        <f aca="false">IF(F$8=0,0,F$9*INDEX(前提条件!$B$24:$D$24,1,F$8))</f>
        <v>15.43068</v>
      </c>
      <c r="G16" s="38" t="n">
        <f aca="false">IF(G$8=0,0,G$9*INDEX(前提条件!$B$24:$D$24,1,G$8))</f>
        <v>15.43068</v>
      </c>
    </row>
    <row r="17" customFormat="false" ht="15" hidden="false" customHeight="false" outlineLevel="0" collapsed="false">
      <c r="A17" s="41" t="s">
        <v>119</v>
      </c>
      <c r="C17" s="40" t="n">
        <f aca="false">C13-SUM(C14:C16)</f>
        <v>104.928624</v>
      </c>
      <c r="D17" s="40" t="n">
        <f aca="false">D13-SUM(D14:D16)</f>
        <v>120.1364164</v>
      </c>
      <c r="E17" s="40" t="n">
        <f aca="false">E13-SUM(E14:E16)</f>
        <v>128.589</v>
      </c>
      <c r="F17" s="40" t="n">
        <f aca="false">F13-SUM(F14:F16)</f>
        <v>128.589</v>
      </c>
      <c r="G17" s="40" t="n">
        <f aca="false">G13-SUM(G14:G16)</f>
        <v>128.589</v>
      </c>
    </row>
    <row r="18" customFormat="false" ht="15" hidden="false" customHeight="false" outlineLevel="0" collapsed="false">
      <c r="A18" s="37" t="s">
        <v>79</v>
      </c>
      <c r="C18" s="38" t="n">
        <f aca="false">IF(C$8=0,0,C$9*INDEX(前提条件!$B$25:$D$25,1,C$8))</f>
        <v>15.43068</v>
      </c>
      <c r="D18" s="38" t="n">
        <f aca="false">IF(D$8=0,0,D$9*INDEX(前提条件!$B$25:$D$25,1,D$8))</f>
        <v>16.802296</v>
      </c>
      <c r="E18" s="38" t="n">
        <f aca="false">IF(E$8=0,0,E$9*INDEX(前提条件!$B$25:$D$25,1,E$8))</f>
        <v>17.1452</v>
      </c>
      <c r="F18" s="38" t="n">
        <f aca="false">IF(F$8=0,0,F$9*INDEX(前提条件!$B$25:$D$25,1,F$8))</f>
        <v>17.1452</v>
      </c>
      <c r="G18" s="38" t="n">
        <f aca="false">IF(G$8=0,0,G$9*INDEX(前提条件!$B$25:$D$25,1,G$8))</f>
        <v>17.1452</v>
      </c>
    </row>
    <row r="19" customFormat="false" ht="15" hidden="false" customHeight="false" outlineLevel="0" collapsed="false">
      <c r="A19" s="37" t="s">
        <v>81</v>
      </c>
      <c r="C19" s="38" t="n">
        <f aca="false">IF(C$8=0,0,C$9*INDEX(前提条件!$B$26:$D$26,1,C$8))</f>
        <v>2.700369</v>
      </c>
      <c r="D19" s="38" t="n">
        <f aca="false">IF(D$8=0,0,D$9*INDEX(前提条件!$B$26:$D$26,1,D$8))</f>
        <v>2.9404018</v>
      </c>
      <c r="E19" s="38" t="n">
        <f aca="false">IF(E$8=0,0,E$9*INDEX(前提条件!$B$26:$D$26,1,E$8))</f>
        <v>3.00041</v>
      </c>
      <c r="F19" s="38" t="n">
        <f aca="false">IF(F$8=0,0,F$9*INDEX(前提条件!$B$26:$D$26,1,F$8))</f>
        <v>3.00041</v>
      </c>
      <c r="G19" s="38" t="n">
        <f aca="false">IF(G$8=0,0,G$9*INDEX(前提条件!$B$26:$D$26,1,G$8))</f>
        <v>3.00041</v>
      </c>
    </row>
    <row r="20" customFormat="false" ht="15" hidden="false" customHeight="false" outlineLevel="0" collapsed="false">
      <c r="A20" s="37" t="s">
        <v>120</v>
      </c>
      <c r="C20" s="38" t="n">
        <f aca="false">IF(C8=0,0,前提条件!$B$13*$B$6*IF(C8=1,$B$7/12,1))</f>
        <v>26.64</v>
      </c>
      <c r="D20" s="38" t="n">
        <f aca="false">IF(D8=0,0,前提条件!$B$13*$B$6*IF(D8=1,$B$7/12,1))</f>
        <v>26.64</v>
      </c>
      <c r="E20" s="38" t="n">
        <f aca="false">IF(E8=0,0,前提条件!$B$13*$B$6*IF(E8=1,$B$7/12,1))</f>
        <v>26.64</v>
      </c>
      <c r="F20" s="38" t="n">
        <f aca="false">IF(F8=0,0,前提条件!$B$13*$B$6*IF(F8=1,$B$7/12,1))</f>
        <v>26.64</v>
      </c>
      <c r="G20" s="38" t="n">
        <f aca="false">IF(G8=0,0,前提条件!$B$13*$B$6*IF(G8=1,$B$7/12,1))</f>
        <v>26.64</v>
      </c>
    </row>
    <row r="21" customFormat="false" ht="15" hidden="false" customHeight="false" outlineLevel="0" collapsed="false">
      <c r="A21" s="37" t="s">
        <v>121</v>
      </c>
      <c r="C21" s="38" t="n">
        <f aca="false">IF(C8=0,0,MAX(0,C9/$B$6-前提条件!$B$15*IF(C8=1,$B$7/12,1))*前提条件!$B$14*$B$6)</f>
        <v>3.80569</v>
      </c>
      <c r="D21" s="38" t="n">
        <f aca="false">IF(D8=0,0,MAX(0,D9/$B$6-前提条件!$B$15*IF(D8=1,$B$7/12,1))*前提条件!$B$14*$B$6)</f>
        <v>6.206018</v>
      </c>
      <c r="E21" s="38" t="n">
        <f aca="false">IF(E8=0,0,MAX(0,E9/$B$6-前提条件!$B$15*IF(E8=1,$B$7/12,1))*前提条件!$B$14*$B$6)</f>
        <v>6.8061</v>
      </c>
      <c r="F21" s="38" t="n">
        <f aca="false">IF(F8=0,0,MAX(0,F9/$B$6-前提条件!$B$15*IF(F8=1,$B$7/12,1))*前提条件!$B$14*$B$6)</f>
        <v>6.8061</v>
      </c>
      <c r="G21" s="38" t="n">
        <f aca="false">IF(G8=0,0,MAX(0,G9/$B$6-前提条件!$B$15*IF(G8=1,$B$7/12,1))*前提条件!$B$14*$B$6)</f>
        <v>6.8061</v>
      </c>
    </row>
    <row r="22" customFormat="false" ht="15" hidden="false" customHeight="false" outlineLevel="0" collapsed="false">
      <c r="A22" s="37" t="s">
        <v>122</v>
      </c>
      <c r="C22" s="38" t="n">
        <f aca="false">IF(C$8=0,0,C$9*INDEX(前提条件!$B$27:$D$27,1,C$8))</f>
        <v>9.644175</v>
      </c>
      <c r="D22" s="38" t="n">
        <f aca="false">IF(D$8=0,0,D$9*INDEX(前提条件!$B$27:$D$27,1,D$8))</f>
        <v>10.501435</v>
      </c>
      <c r="E22" s="38" t="n">
        <f aca="false">IF(E$8=0,0,E$9*INDEX(前提条件!$B$27:$D$27,1,E$8))</f>
        <v>10.71575</v>
      </c>
      <c r="F22" s="38" t="n">
        <f aca="false">IF(F$8=0,0,F$9*INDEX(前提条件!$B$27:$D$27,1,F$8))</f>
        <v>10.71575</v>
      </c>
      <c r="G22" s="38" t="n">
        <f aca="false">IF(G$8=0,0,G$9*INDEX(前提条件!$B$27:$D$27,1,G$8))</f>
        <v>10.71575</v>
      </c>
    </row>
    <row r="23" customFormat="false" ht="15" hidden="false" customHeight="false" outlineLevel="0" collapsed="false">
      <c r="A23" s="13" t="s">
        <v>123</v>
      </c>
      <c r="C23" s="40" t="n">
        <f aca="false">C17-SUM(C18:C22)</f>
        <v>46.70771</v>
      </c>
      <c r="D23" s="40" t="n">
        <f aca="false">D17-SUM(D18:D22)</f>
        <v>57.0462656</v>
      </c>
      <c r="E23" s="40" t="n">
        <f aca="false">E17-SUM(E18:E22)</f>
        <v>64.28154</v>
      </c>
      <c r="F23" s="40" t="n">
        <f aca="false">F17-SUM(F18:F22)</f>
        <v>64.28154</v>
      </c>
      <c r="G23" s="40" t="n">
        <f aca="false">G17-SUM(G18:G22)</f>
        <v>64.28154</v>
      </c>
    </row>
    <row r="24" customFormat="false" ht="15" hidden="false" customHeight="false" outlineLevel="0" collapsed="false">
      <c r="A24" s="9" t="s">
        <v>26</v>
      </c>
      <c r="C24" s="38" t="n">
        <f aca="false">IF(C8=0,0,前提条件!$B$40*$B$6*IF(C8=1,$B$7/12,1))</f>
        <v>20.825</v>
      </c>
      <c r="D24" s="38" t="n">
        <f aca="false">IF(D8=0,0,前提条件!$B$40*$B$6*IF(D8=1,$B$7/12,1))</f>
        <v>20.825</v>
      </c>
      <c r="E24" s="38" t="n">
        <f aca="false">IF(E8=0,0,前提条件!$B$40*$B$6*IF(E8=1,$B$7/12,1))</f>
        <v>20.825</v>
      </c>
      <c r="F24" s="38" t="n">
        <f aca="false">IF(F8=0,0,前提条件!$B$40*$B$6*IF(F8=1,$B$7/12,1))</f>
        <v>20.825</v>
      </c>
      <c r="G24" s="38" t="n">
        <f aca="false">IF(G8=0,0,前提条件!$B$40*$B$6*IF(G8=1,$B$7/12,1))</f>
        <v>20.825</v>
      </c>
    </row>
    <row r="25" customFormat="false" ht="15" hidden="false" customHeight="false" outlineLevel="0" collapsed="false">
      <c r="A25" s="13" t="s">
        <v>124</v>
      </c>
      <c r="C25" s="40" t="n">
        <f aca="false">C23-C24</f>
        <v>25.88271</v>
      </c>
      <c r="D25" s="40" t="n">
        <f aca="false">D23-D24</f>
        <v>36.2212656</v>
      </c>
      <c r="E25" s="40" t="n">
        <f aca="false">E23-E24</f>
        <v>43.45654</v>
      </c>
      <c r="F25" s="40" t="n">
        <f aca="false">F23-F24</f>
        <v>43.45654</v>
      </c>
      <c r="G25" s="40" t="n">
        <f aca="false">G23-G24</f>
        <v>43.45654</v>
      </c>
    </row>
    <row r="27" customFormat="false" ht="15" hidden="false" customHeight="false" outlineLevel="0" collapsed="false">
      <c r="A27" s="3" t="s">
        <v>125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5" t="s">
        <v>115</v>
      </c>
      <c r="B28" s="32" t="n">
        <v>2</v>
      </c>
    </row>
    <row r="29" customFormat="false" ht="15" hidden="false" customHeight="false" outlineLevel="0" collapsed="false">
      <c r="A29" s="35" t="s">
        <v>116</v>
      </c>
      <c r="B29" s="18" t="n">
        <f aca="false">前提条件!$B$9</f>
        <v>7.5</v>
      </c>
    </row>
    <row r="30" customFormat="false" ht="15" hidden="false" customHeight="false" outlineLevel="0" collapsed="false">
      <c r="A30" s="35" t="s">
        <v>117</v>
      </c>
      <c r="C30" s="32" t="n">
        <v>0</v>
      </c>
      <c r="D30" s="32" t="n">
        <v>1</v>
      </c>
      <c r="E30" s="32" t="n">
        <v>2</v>
      </c>
      <c r="F30" s="32" t="n">
        <v>3</v>
      </c>
      <c r="G30" s="32" t="n">
        <v>3</v>
      </c>
    </row>
    <row r="31" customFormat="false" ht="15" hidden="false" customHeight="false" outlineLevel="0" collapsed="false">
      <c r="A31" s="13" t="s">
        <v>21</v>
      </c>
      <c r="C31" s="36" t="n">
        <f aca="false">IF(C30=0,0,前提条件!$B$5*INDEX(前提条件!$B$6:$B$8,C30)*$B$28*IF(C30=1,$B$29/12,1))</f>
        <v>0</v>
      </c>
      <c r="D31" s="36" t="n">
        <f aca="false">IF(D30=0,0,前提条件!$B$5*INDEX(前提条件!$B$6:$B$8,D30)*$B$28*IF(D30=1,$B$29/12,1))</f>
        <v>482.20875</v>
      </c>
      <c r="E31" s="36" t="n">
        <f aca="false">IF(E30=0,0,前提条件!$B$5*INDEX(前提条件!$B$6:$B$8,E30)*$B$28*IF(E30=1,$B$29/12,1))</f>
        <v>840.1148</v>
      </c>
      <c r="F31" s="36" t="n">
        <f aca="false">IF(F30=0,0,前提条件!$B$5*INDEX(前提条件!$B$6:$B$8,F30)*$B$28*IF(F30=1,$B$29/12,1))</f>
        <v>857.26</v>
      </c>
      <c r="G31" s="36" t="n">
        <f aca="false">IF(G30=0,0,前提条件!$B$5*INDEX(前提条件!$B$6:$B$8,G30)*$B$28*IF(G30=1,$B$29/12,1))</f>
        <v>857.26</v>
      </c>
    </row>
    <row r="32" customFormat="false" ht="15" hidden="false" customHeight="false" outlineLevel="0" collapsed="false">
      <c r="A32" s="37" t="s">
        <v>68</v>
      </c>
      <c r="C32" s="38" t="n">
        <f aca="false">IF(C$30=0,0,C$31*INDEX(前提条件!$B$19:$D$19,1,C$30))</f>
        <v>0</v>
      </c>
      <c r="D32" s="38" t="n">
        <f aca="false">IF(D$30=0,0,D$31*INDEX(前提条件!$B$19:$D$19,1,D$30))</f>
        <v>144.662625</v>
      </c>
      <c r="E32" s="38" t="n">
        <f aca="false">IF(E$30=0,0,E$31*INDEX(前提条件!$B$19:$D$19,1,E$30))</f>
        <v>252.03444</v>
      </c>
      <c r="F32" s="38" t="n">
        <f aca="false">IF(F$30=0,0,F$31*INDEX(前提条件!$B$19:$D$19,1,F$30))</f>
        <v>257.178</v>
      </c>
      <c r="G32" s="38" t="n">
        <f aca="false">IF(G$30=0,0,G$31*INDEX(前提条件!$B$19:$D$19,1,G$30))</f>
        <v>257.178</v>
      </c>
    </row>
    <row r="33" customFormat="false" ht="15" hidden="false" customHeight="false" outlineLevel="0" collapsed="false">
      <c r="A33" s="37" t="s">
        <v>70</v>
      </c>
      <c r="C33" s="38" t="n">
        <f aca="false">IF(C$30=0,0,C$31*INDEX(前提条件!$B$20:$D$20,1,C$30))</f>
        <v>0</v>
      </c>
      <c r="D33" s="38" t="n">
        <f aca="false">IF(D$30=0,0,D$31*INDEX(前提条件!$B$20:$D$20,1,D$30))</f>
        <v>166.36201875</v>
      </c>
      <c r="E33" s="38" t="n">
        <f aca="false">IF(E$30=0,0,E$31*INDEX(前提条件!$B$20:$D$20,1,E$30))</f>
        <v>281.438458</v>
      </c>
      <c r="F33" s="38" t="n">
        <f aca="false">IF(F$30=0,0,F$31*INDEX(前提条件!$B$20:$D$20,1,F$30))</f>
        <v>278.6095</v>
      </c>
      <c r="G33" s="38" t="n">
        <f aca="false">IF(G$30=0,0,G$31*INDEX(前提条件!$B$20:$D$20,1,G$30))</f>
        <v>278.6095</v>
      </c>
    </row>
    <row r="34" customFormat="false" ht="15" hidden="false" customHeight="false" outlineLevel="0" collapsed="false">
      <c r="A34" s="37" t="s">
        <v>72</v>
      </c>
      <c r="C34" s="38" t="n">
        <f aca="false">IF(C$30=0,0,C$31*INDEX(前提条件!$B$21:$D$21,1,C$30))</f>
        <v>0</v>
      </c>
      <c r="D34" s="38" t="n">
        <f aca="false">IF(D$30=0,0,D$31*INDEX(前提条件!$B$21:$D$21,1,D$30))</f>
        <v>11.57301</v>
      </c>
      <c r="E34" s="38" t="n">
        <f aca="false">IF(E$30=0,0,E$31*INDEX(前提条件!$B$21:$D$21,1,E$30))</f>
        <v>18.4825256</v>
      </c>
      <c r="F34" s="38" t="n">
        <f aca="false">IF(F$30=0,0,F$31*INDEX(前提条件!$B$21:$D$21,1,F$30))</f>
        <v>17.1452</v>
      </c>
      <c r="G34" s="38" t="n">
        <f aca="false">IF(G$30=0,0,G$31*INDEX(前提条件!$B$21:$D$21,1,G$30))</f>
        <v>17.1452</v>
      </c>
    </row>
    <row r="35" customFormat="false" ht="15" hidden="false" customHeight="false" outlineLevel="0" collapsed="false">
      <c r="A35" s="39" t="s">
        <v>118</v>
      </c>
      <c r="C35" s="40" t="n">
        <f aca="false">C31-SUM(C32:C34)</f>
        <v>0</v>
      </c>
      <c r="D35" s="40" t="n">
        <f aca="false">D31-SUM(D32:D34)</f>
        <v>159.61109625</v>
      </c>
      <c r="E35" s="40" t="n">
        <f aca="false">E31-SUM(E32:E34)</f>
        <v>288.1593764</v>
      </c>
      <c r="F35" s="40" t="n">
        <f aca="false">F31-SUM(F32:F34)</f>
        <v>304.3273</v>
      </c>
      <c r="G35" s="40" t="n">
        <f aca="false">G31-SUM(G32:G34)</f>
        <v>304.3273</v>
      </c>
    </row>
    <row r="36" customFormat="false" ht="15" hidden="false" customHeight="false" outlineLevel="0" collapsed="false">
      <c r="A36" s="37" t="s">
        <v>74</v>
      </c>
      <c r="C36" s="38" t="n">
        <f aca="false">IF(C$30=0,0,C$31*INDEX(前提条件!$B$22:$D$22,1,C$30))</f>
        <v>0</v>
      </c>
      <c r="D36" s="38" t="n">
        <f aca="false">IF(D$30=0,0,D$31*INDEX(前提条件!$B$22:$D$22,1,D$30))</f>
        <v>6.7509225</v>
      </c>
      <c r="E36" s="38" t="n">
        <f aca="false">IF(E$30=0,0,E$31*INDEX(前提条件!$B$22:$D$22,1,E$30))</f>
        <v>11.7616072</v>
      </c>
      <c r="F36" s="38" t="n">
        <f aca="false">IF(F$30=0,0,F$31*INDEX(前提条件!$B$22:$D$22,1,F$30))</f>
        <v>12.00164</v>
      </c>
      <c r="G36" s="38" t="n">
        <f aca="false">IF(G$30=0,0,G$31*INDEX(前提条件!$B$22:$D$22,1,G$30))</f>
        <v>12.00164</v>
      </c>
    </row>
    <row r="37" customFormat="false" ht="15" hidden="false" customHeight="false" outlineLevel="0" collapsed="false">
      <c r="A37" s="37" t="s">
        <v>76</v>
      </c>
      <c r="C37" s="38" t="n">
        <f aca="false">IF(C$30=0,0,C$31*INDEX(前提条件!$B$23:$D$23,1,C$30))</f>
        <v>0</v>
      </c>
      <c r="D37" s="38" t="n">
        <f aca="false">IF(D$30=0,0,D$31*INDEX(前提条件!$B$23:$D$23,1,D$30))</f>
        <v>2.41104375</v>
      </c>
      <c r="E37" s="38" t="n">
        <f aca="false">IF(E$30=0,0,E$31*INDEX(前提条件!$B$23:$D$23,1,E$30))</f>
        <v>4.200574</v>
      </c>
      <c r="F37" s="38" t="n">
        <f aca="false">IF(F$30=0,0,F$31*INDEX(前提条件!$B$23:$D$23,1,F$30))</f>
        <v>4.2863</v>
      </c>
      <c r="G37" s="38" t="n">
        <f aca="false">IF(G$30=0,0,G$31*INDEX(前提条件!$B$23:$D$23,1,G$30))</f>
        <v>4.2863</v>
      </c>
    </row>
    <row r="38" customFormat="false" ht="15" hidden="false" customHeight="false" outlineLevel="0" collapsed="false">
      <c r="A38" s="37" t="s">
        <v>77</v>
      </c>
      <c r="C38" s="38" t="n">
        <f aca="false">IF(C$30=0,0,C$31*INDEX(前提条件!$B$24:$D$24,1,C$30))</f>
        <v>0</v>
      </c>
      <c r="D38" s="38" t="n">
        <f aca="false">IF(D$30=0,0,D$31*INDEX(前提条件!$B$24:$D$24,1,D$30))</f>
        <v>19.28835</v>
      </c>
      <c r="E38" s="38" t="n">
        <f aca="false">IF(E$30=0,0,E$31*INDEX(前提条件!$B$24:$D$24,1,E$30))</f>
        <v>31.9243624</v>
      </c>
      <c r="F38" s="38" t="n">
        <f aca="false">IF(F$30=0,0,F$31*INDEX(前提条件!$B$24:$D$24,1,F$30))</f>
        <v>30.86136</v>
      </c>
      <c r="G38" s="38" t="n">
        <f aca="false">IF(G$30=0,0,G$31*INDEX(前提条件!$B$24:$D$24,1,G$30))</f>
        <v>30.86136</v>
      </c>
    </row>
    <row r="39" customFormat="false" ht="15" hidden="false" customHeight="false" outlineLevel="0" collapsed="false">
      <c r="A39" s="41" t="s">
        <v>119</v>
      </c>
      <c r="C39" s="40" t="n">
        <f aca="false">C35-SUM(C36:C38)</f>
        <v>0</v>
      </c>
      <c r="D39" s="40" t="n">
        <f aca="false">D35-SUM(D36:D38)</f>
        <v>131.16078</v>
      </c>
      <c r="E39" s="40" t="n">
        <f aca="false">E35-SUM(E36:E38)</f>
        <v>240.2728328</v>
      </c>
      <c r="F39" s="40" t="n">
        <f aca="false">F35-SUM(F36:F38)</f>
        <v>257.178</v>
      </c>
      <c r="G39" s="40" t="n">
        <f aca="false">G35-SUM(G36:G38)</f>
        <v>257.178</v>
      </c>
    </row>
    <row r="40" customFormat="false" ht="15" hidden="false" customHeight="false" outlineLevel="0" collapsed="false">
      <c r="A40" s="37" t="s">
        <v>79</v>
      </c>
      <c r="C40" s="38" t="n">
        <f aca="false">IF(C$30=0,0,C$31*INDEX(前提条件!$B$25:$D$25,1,C$30))</f>
        <v>0</v>
      </c>
      <c r="D40" s="38" t="n">
        <f aca="false">IF(D$30=0,0,D$31*INDEX(前提条件!$B$25:$D$25,1,D$30))</f>
        <v>19.28835</v>
      </c>
      <c r="E40" s="38" t="n">
        <f aca="false">IF(E$30=0,0,E$31*INDEX(前提条件!$B$25:$D$25,1,E$30))</f>
        <v>33.604592</v>
      </c>
      <c r="F40" s="38" t="n">
        <f aca="false">IF(F$30=0,0,F$31*INDEX(前提条件!$B$25:$D$25,1,F$30))</f>
        <v>34.2904</v>
      </c>
      <c r="G40" s="38" t="n">
        <f aca="false">IF(G$30=0,0,G$31*INDEX(前提条件!$B$25:$D$25,1,G$30))</f>
        <v>34.2904</v>
      </c>
    </row>
    <row r="41" customFormat="false" ht="15" hidden="false" customHeight="false" outlineLevel="0" collapsed="false">
      <c r="A41" s="37" t="s">
        <v>81</v>
      </c>
      <c r="C41" s="38" t="n">
        <f aca="false">IF(C$30=0,0,C$31*INDEX(前提条件!$B$26:$D$26,1,C$30))</f>
        <v>0</v>
      </c>
      <c r="D41" s="38" t="n">
        <f aca="false">IF(D$30=0,0,D$31*INDEX(前提条件!$B$26:$D$26,1,D$30))</f>
        <v>3.37546125</v>
      </c>
      <c r="E41" s="38" t="n">
        <f aca="false">IF(E$30=0,0,E$31*INDEX(前提条件!$B$26:$D$26,1,E$30))</f>
        <v>5.8808036</v>
      </c>
      <c r="F41" s="38" t="n">
        <f aca="false">IF(F$30=0,0,F$31*INDEX(前提条件!$B$26:$D$26,1,F$30))</f>
        <v>6.00082</v>
      </c>
      <c r="G41" s="38" t="n">
        <f aca="false">IF(G$30=0,0,G$31*INDEX(前提条件!$B$26:$D$26,1,G$30))</f>
        <v>6.00082</v>
      </c>
    </row>
    <row r="42" customFormat="false" ht="15" hidden="false" customHeight="false" outlineLevel="0" collapsed="false">
      <c r="A42" s="37" t="s">
        <v>120</v>
      </c>
      <c r="C42" s="38" t="n">
        <f aca="false">IF(C30=0,0,前提条件!$B$13*$B$28*IF(C30=1,$B$29/12,1))</f>
        <v>0</v>
      </c>
      <c r="D42" s="38" t="n">
        <f aca="false">IF(D30=0,0,前提条件!$B$13*$B$28*IF(D30=1,$B$29/12,1))</f>
        <v>33.3</v>
      </c>
      <c r="E42" s="38" t="n">
        <f aca="false">IF(E30=0,0,前提条件!$B$13*$B$28*IF(E30=1,$B$29/12,1))</f>
        <v>53.28</v>
      </c>
      <c r="F42" s="38" t="n">
        <f aca="false">IF(F30=0,0,前提条件!$B$13*$B$28*IF(F30=1,$B$29/12,1))</f>
        <v>53.28</v>
      </c>
      <c r="G42" s="38" t="n">
        <f aca="false">IF(G30=0,0,前提条件!$B$13*$B$28*IF(G30=1,$B$29/12,1))</f>
        <v>53.28</v>
      </c>
    </row>
    <row r="43" customFormat="false" ht="15" hidden="false" customHeight="false" outlineLevel="0" collapsed="false">
      <c r="A43" s="37" t="s">
        <v>121</v>
      </c>
      <c r="C43" s="38" t="n">
        <f aca="false">IF(C30=0,0,MAX(0,C31/$B$28-前提条件!$B$15*IF(C30=1,$B$29/12,1))*前提条件!$B$14*$B$28)</f>
        <v>0</v>
      </c>
      <c r="D43" s="38" t="n">
        <f aca="false">IF(D30=0,0,MAX(0,D31/$B$28-前提条件!$B$15*IF(D30=1,$B$29/12,1))*前提条件!$B$14*$B$28)</f>
        <v>4.7571125</v>
      </c>
      <c r="E43" s="38" t="n">
        <f aca="false">IF(E30=0,0,MAX(0,E31/$B$28-前提条件!$B$15*IF(E30=1,$B$29/12,1))*前提条件!$B$14*$B$28)</f>
        <v>12.412036</v>
      </c>
      <c r="F43" s="38" t="n">
        <f aca="false">IF(F30=0,0,MAX(0,F31/$B$28-前提条件!$B$15*IF(F30=1,$B$29/12,1))*前提条件!$B$14*$B$28)</f>
        <v>13.6122</v>
      </c>
      <c r="G43" s="38" t="n">
        <f aca="false">IF(G30=0,0,MAX(0,G31/$B$28-前提条件!$B$15*IF(G30=1,$B$29/12,1))*前提条件!$B$14*$B$28)</f>
        <v>13.6122</v>
      </c>
    </row>
    <row r="44" customFormat="false" ht="15" hidden="false" customHeight="false" outlineLevel="0" collapsed="false">
      <c r="A44" s="37" t="s">
        <v>122</v>
      </c>
      <c r="C44" s="38" t="n">
        <f aca="false">IF(C$30=0,0,C$31*INDEX(前提条件!$B$27:$D$27,1,C$30))</f>
        <v>0</v>
      </c>
      <c r="D44" s="38" t="n">
        <f aca="false">IF(D$30=0,0,D$31*INDEX(前提条件!$B$27:$D$27,1,D$30))</f>
        <v>12.05521875</v>
      </c>
      <c r="E44" s="38" t="n">
        <f aca="false">IF(E$30=0,0,E$31*INDEX(前提条件!$B$27:$D$27,1,E$30))</f>
        <v>21.00287</v>
      </c>
      <c r="F44" s="38" t="n">
        <f aca="false">IF(F$30=0,0,F$31*INDEX(前提条件!$B$27:$D$27,1,F$30))</f>
        <v>21.4315</v>
      </c>
      <c r="G44" s="38" t="n">
        <f aca="false">IF(G$30=0,0,G$31*INDEX(前提条件!$B$27:$D$27,1,G$30))</f>
        <v>21.4315</v>
      </c>
    </row>
    <row r="45" customFormat="false" ht="15" hidden="false" customHeight="false" outlineLevel="0" collapsed="false">
      <c r="A45" s="13" t="s">
        <v>123</v>
      </c>
      <c r="C45" s="40" t="n">
        <f aca="false">C39-SUM(C40:C44)</f>
        <v>0</v>
      </c>
      <c r="D45" s="40" t="n">
        <f aca="false">D39-SUM(D40:D44)</f>
        <v>58.3846375</v>
      </c>
      <c r="E45" s="40" t="n">
        <f aca="false">E39-SUM(E40:E44)</f>
        <v>114.0925312</v>
      </c>
      <c r="F45" s="40" t="n">
        <f aca="false">F39-SUM(F40:F44)</f>
        <v>128.56308</v>
      </c>
      <c r="G45" s="40" t="n">
        <f aca="false">G39-SUM(G40:G44)</f>
        <v>128.56308</v>
      </c>
    </row>
    <row r="46" customFormat="false" ht="15" hidden="false" customHeight="false" outlineLevel="0" collapsed="false">
      <c r="A46" s="9" t="s">
        <v>26</v>
      </c>
      <c r="C46" s="38" t="n">
        <f aca="false">IF(C30=0,0,前提条件!$C$40*$B$28*IF(C30=1,$B$29/12,1))</f>
        <v>0</v>
      </c>
      <c r="D46" s="38" t="n">
        <f aca="false">IF(D30=0,0,前提条件!$C$40*$B$28*IF(D30=1,$B$29/12,1))</f>
        <v>26.03125</v>
      </c>
      <c r="E46" s="38" t="n">
        <f aca="false">IF(E30=0,0,前提条件!$C$40*$B$28*IF(E30=1,$B$29/12,1))</f>
        <v>41.65</v>
      </c>
      <c r="F46" s="38" t="n">
        <f aca="false">IF(F30=0,0,前提条件!$C$40*$B$28*IF(F30=1,$B$29/12,1))</f>
        <v>41.65</v>
      </c>
      <c r="G46" s="38" t="n">
        <f aca="false">IF(G30=0,0,前提条件!$C$40*$B$28*IF(G30=1,$B$29/12,1))</f>
        <v>41.65</v>
      </c>
    </row>
    <row r="47" customFormat="false" ht="15" hidden="false" customHeight="false" outlineLevel="0" collapsed="false">
      <c r="A47" s="13" t="s">
        <v>124</v>
      </c>
      <c r="C47" s="40" t="n">
        <f aca="false">C45-C46</f>
        <v>0</v>
      </c>
      <c r="D47" s="40" t="n">
        <f aca="false">D45-D46</f>
        <v>32.3533875</v>
      </c>
      <c r="E47" s="40" t="n">
        <f aca="false">E45-E46</f>
        <v>72.4425311999999</v>
      </c>
      <c r="F47" s="40" t="n">
        <f aca="false">F45-F46</f>
        <v>86.91308</v>
      </c>
      <c r="G47" s="40" t="n">
        <f aca="false">G45-G46</f>
        <v>86.91308</v>
      </c>
    </row>
    <row r="49" customFormat="false" ht="15" hidden="false" customHeight="false" outlineLevel="0" collapsed="false">
      <c r="A49" s="3" t="s">
        <v>126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5" t="s">
        <v>115</v>
      </c>
      <c r="B50" s="32" t="n">
        <v>2</v>
      </c>
    </row>
    <row r="51" customFormat="false" ht="15" hidden="false" customHeight="false" outlineLevel="0" collapsed="false">
      <c r="A51" s="35" t="s">
        <v>116</v>
      </c>
      <c r="B51" s="18" t="n">
        <f aca="false">前提条件!$B$9</f>
        <v>7.5</v>
      </c>
    </row>
    <row r="52" customFormat="false" ht="15" hidden="false" customHeight="false" outlineLevel="0" collapsed="false">
      <c r="A52" s="35" t="s">
        <v>117</v>
      </c>
      <c r="C52" s="32" t="n">
        <v>0</v>
      </c>
      <c r="D52" s="32" t="n">
        <v>0</v>
      </c>
      <c r="E52" s="32" t="n">
        <v>1</v>
      </c>
      <c r="F52" s="32" t="n">
        <v>2</v>
      </c>
      <c r="G52" s="32" t="n">
        <v>3</v>
      </c>
    </row>
    <row r="53" customFormat="false" ht="15" hidden="false" customHeight="false" outlineLevel="0" collapsed="false">
      <c r="A53" s="13" t="s">
        <v>21</v>
      </c>
      <c r="C53" s="36" t="n">
        <f aca="false">IF(C52=0,0,前提条件!$B$5*INDEX(前提条件!$B$6:$B$8,C52)*$B$50*IF(C52=1,$B$51/12,1))</f>
        <v>0</v>
      </c>
      <c r="D53" s="36" t="n">
        <f aca="false">IF(D52=0,0,前提条件!$B$5*INDEX(前提条件!$B$6:$B$8,D52)*$B$50*IF(D52=1,$B$51/12,1))</f>
        <v>0</v>
      </c>
      <c r="E53" s="36" t="n">
        <f aca="false">IF(E52=0,0,前提条件!$B$5*INDEX(前提条件!$B$6:$B$8,E52)*$B$50*IF(E52=1,$B$51/12,1))</f>
        <v>482.20875</v>
      </c>
      <c r="F53" s="36" t="n">
        <f aca="false">IF(F52=0,0,前提条件!$B$5*INDEX(前提条件!$B$6:$B$8,F52)*$B$50*IF(F52=1,$B$51/12,1))</f>
        <v>840.1148</v>
      </c>
      <c r="G53" s="36" t="n">
        <f aca="false">IF(G52=0,0,前提条件!$B$5*INDEX(前提条件!$B$6:$B$8,G52)*$B$50*IF(G52=1,$B$51/12,1))</f>
        <v>857.26</v>
      </c>
    </row>
    <row r="54" customFormat="false" ht="15" hidden="false" customHeight="false" outlineLevel="0" collapsed="false">
      <c r="A54" s="37" t="s">
        <v>68</v>
      </c>
      <c r="C54" s="38" t="n">
        <f aca="false">IF(C$52=0,0,C$53*INDEX(前提条件!$B$19:$D$19,1,C$52))</f>
        <v>0</v>
      </c>
      <c r="D54" s="38" t="n">
        <f aca="false">IF(D$52=0,0,D$53*INDEX(前提条件!$B$19:$D$19,1,D$52))</f>
        <v>0</v>
      </c>
      <c r="E54" s="38" t="n">
        <f aca="false">IF(E$52=0,0,E$53*INDEX(前提条件!$B$19:$D$19,1,E$52))</f>
        <v>144.662625</v>
      </c>
      <c r="F54" s="38" t="n">
        <f aca="false">IF(F$52=0,0,F$53*INDEX(前提条件!$B$19:$D$19,1,F$52))</f>
        <v>252.03444</v>
      </c>
      <c r="G54" s="38" t="n">
        <f aca="false">IF(G$52=0,0,G$53*INDEX(前提条件!$B$19:$D$19,1,G$52))</f>
        <v>257.178</v>
      </c>
    </row>
    <row r="55" customFormat="false" ht="15" hidden="false" customHeight="false" outlineLevel="0" collapsed="false">
      <c r="A55" s="37" t="s">
        <v>70</v>
      </c>
      <c r="C55" s="38" t="n">
        <f aca="false">IF(C$52=0,0,C$53*INDEX(前提条件!$B$20:$D$20,1,C$52))</f>
        <v>0</v>
      </c>
      <c r="D55" s="38" t="n">
        <f aca="false">IF(D$52=0,0,D$53*INDEX(前提条件!$B$20:$D$20,1,D$52))</f>
        <v>0</v>
      </c>
      <c r="E55" s="38" t="n">
        <f aca="false">IF(E$52=0,0,E$53*INDEX(前提条件!$B$20:$D$20,1,E$52))</f>
        <v>166.36201875</v>
      </c>
      <c r="F55" s="38" t="n">
        <f aca="false">IF(F$52=0,0,F$53*INDEX(前提条件!$B$20:$D$20,1,F$52))</f>
        <v>281.438458</v>
      </c>
      <c r="G55" s="38" t="n">
        <f aca="false">IF(G$52=0,0,G$53*INDEX(前提条件!$B$20:$D$20,1,G$52))</f>
        <v>278.6095</v>
      </c>
    </row>
    <row r="56" customFormat="false" ht="15" hidden="false" customHeight="false" outlineLevel="0" collapsed="false">
      <c r="A56" s="37" t="s">
        <v>72</v>
      </c>
      <c r="C56" s="38" t="n">
        <f aca="false">IF(C$52=0,0,C$53*INDEX(前提条件!$B$21:$D$21,1,C$52))</f>
        <v>0</v>
      </c>
      <c r="D56" s="38" t="n">
        <f aca="false">IF(D$52=0,0,D$53*INDEX(前提条件!$B$21:$D$21,1,D$52))</f>
        <v>0</v>
      </c>
      <c r="E56" s="38" t="n">
        <f aca="false">IF(E$52=0,0,E$53*INDEX(前提条件!$B$21:$D$21,1,E$52))</f>
        <v>11.57301</v>
      </c>
      <c r="F56" s="38" t="n">
        <f aca="false">IF(F$52=0,0,F$53*INDEX(前提条件!$B$21:$D$21,1,F$52))</f>
        <v>18.4825256</v>
      </c>
      <c r="G56" s="38" t="n">
        <f aca="false">IF(G$52=0,0,G$53*INDEX(前提条件!$B$21:$D$21,1,G$52))</f>
        <v>17.1452</v>
      </c>
    </row>
    <row r="57" customFormat="false" ht="15" hidden="false" customHeight="false" outlineLevel="0" collapsed="false">
      <c r="A57" s="39" t="s">
        <v>118</v>
      </c>
      <c r="C57" s="40" t="n">
        <f aca="false">C53-SUM(C54:C56)</f>
        <v>0</v>
      </c>
      <c r="D57" s="40" t="n">
        <f aca="false">D53-SUM(D54:D56)</f>
        <v>0</v>
      </c>
      <c r="E57" s="40" t="n">
        <f aca="false">E53-SUM(E54:E56)</f>
        <v>159.61109625</v>
      </c>
      <c r="F57" s="40" t="n">
        <f aca="false">F53-SUM(F54:F56)</f>
        <v>288.1593764</v>
      </c>
      <c r="G57" s="40" t="n">
        <f aca="false">G53-SUM(G54:G56)</f>
        <v>304.3273</v>
      </c>
    </row>
    <row r="58" customFormat="false" ht="15" hidden="false" customHeight="false" outlineLevel="0" collapsed="false">
      <c r="A58" s="37" t="s">
        <v>74</v>
      </c>
      <c r="C58" s="38" t="n">
        <f aca="false">IF(C$52=0,0,C$53*INDEX(前提条件!$B$22:$D$22,1,C$52))</f>
        <v>0</v>
      </c>
      <c r="D58" s="38" t="n">
        <f aca="false">IF(D$52=0,0,D$53*INDEX(前提条件!$B$22:$D$22,1,D$52))</f>
        <v>0</v>
      </c>
      <c r="E58" s="38" t="n">
        <f aca="false">IF(E$52=0,0,E$53*INDEX(前提条件!$B$22:$D$22,1,E$52))</f>
        <v>6.7509225</v>
      </c>
      <c r="F58" s="38" t="n">
        <f aca="false">IF(F$52=0,0,F$53*INDEX(前提条件!$B$22:$D$22,1,F$52))</f>
        <v>11.7616072</v>
      </c>
      <c r="G58" s="38" t="n">
        <f aca="false">IF(G$52=0,0,G$53*INDEX(前提条件!$B$22:$D$22,1,G$52))</f>
        <v>12.00164</v>
      </c>
    </row>
    <row r="59" customFormat="false" ht="15" hidden="false" customHeight="false" outlineLevel="0" collapsed="false">
      <c r="A59" s="37" t="s">
        <v>76</v>
      </c>
      <c r="C59" s="38" t="n">
        <f aca="false">IF(C$52=0,0,C$53*INDEX(前提条件!$B$23:$D$23,1,C$52))</f>
        <v>0</v>
      </c>
      <c r="D59" s="38" t="n">
        <f aca="false">IF(D$52=0,0,D$53*INDEX(前提条件!$B$23:$D$23,1,D$52))</f>
        <v>0</v>
      </c>
      <c r="E59" s="38" t="n">
        <f aca="false">IF(E$52=0,0,E$53*INDEX(前提条件!$B$23:$D$23,1,E$52))</f>
        <v>2.41104375</v>
      </c>
      <c r="F59" s="38" t="n">
        <f aca="false">IF(F$52=0,0,F$53*INDEX(前提条件!$B$23:$D$23,1,F$52))</f>
        <v>4.200574</v>
      </c>
      <c r="G59" s="38" t="n">
        <f aca="false">IF(G$52=0,0,G$53*INDEX(前提条件!$B$23:$D$23,1,G$52))</f>
        <v>4.2863</v>
      </c>
    </row>
    <row r="60" customFormat="false" ht="15" hidden="false" customHeight="false" outlineLevel="0" collapsed="false">
      <c r="A60" s="37" t="s">
        <v>77</v>
      </c>
      <c r="C60" s="38" t="n">
        <f aca="false">IF(C$52=0,0,C$53*INDEX(前提条件!$B$24:$D$24,1,C$52))</f>
        <v>0</v>
      </c>
      <c r="D60" s="38" t="n">
        <f aca="false">IF(D$52=0,0,D$53*INDEX(前提条件!$B$24:$D$24,1,D$52))</f>
        <v>0</v>
      </c>
      <c r="E60" s="38" t="n">
        <f aca="false">IF(E$52=0,0,E$53*INDEX(前提条件!$B$24:$D$24,1,E$52))</f>
        <v>19.28835</v>
      </c>
      <c r="F60" s="38" t="n">
        <f aca="false">IF(F$52=0,0,F$53*INDEX(前提条件!$B$24:$D$24,1,F$52))</f>
        <v>31.9243624</v>
      </c>
      <c r="G60" s="38" t="n">
        <f aca="false">IF(G$52=0,0,G$53*INDEX(前提条件!$B$24:$D$24,1,G$52))</f>
        <v>30.86136</v>
      </c>
    </row>
    <row r="61" customFormat="false" ht="15" hidden="false" customHeight="false" outlineLevel="0" collapsed="false">
      <c r="A61" s="41" t="s">
        <v>119</v>
      </c>
      <c r="C61" s="40" t="n">
        <f aca="false">C57-SUM(C58:C60)</f>
        <v>0</v>
      </c>
      <c r="D61" s="40" t="n">
        <f aca="false">D57-SUM(D58:D60)</f>
        <v>0</v>
      </c>
      <c r="E61" s="40" t="n">
        <f aca="false">E57-SUM(E58:E60)</f>
        <v>131.16078</v>
      </c>
      <c r="F61" s="40" t="n">
        <f aca="false">F57-SUM(F58:F60)</f>
        <v>240.2728328</v>
      </c>
      <c r="G61" s="40" t="n">
        <f aca="false">G57-SUM(G58:G60)</f>
        <v>257.178</v>
      </c>
    </row>
    <row r="62" customFormat="false" ht="15" hidden="false" customHeight="false" outlineLevel="0" collapsed="false">
      <c r="A62" s="37" t="s">
        <v>79</v>
      </c>
      <c r="C62" s="38" t="n">
        <f aca="false">IF(C$52=0,0,C$53*INDEX(前提条件!$B$25:$D$25,1,C$52))</f>
        <v>0</v>
      </c>
      <c r="D62" s="38" t="n">
        <f aca="false">IF(D$52=0,0,D$53*INDEX(前提条件!$B$25:$D$25,1,D$52))</f>
        <v>0</v>
      </c>
      <c r="E62" s="38" t="n">
        <f aca="false">IF(E$52=0,0,E$53*INDEX(前提条件!$B$25:$D$25,1,E$52))</f>
        <v>19.28835</v>
      </c>
      <c r="F62" s="38" t="n">
        <f aca="false">IF(F$52=0,0,F$53*INDEX(前提条件!$B$25:$D$25,1,F$52))</f>
        <v>33.604592</v>
      </c>
      <c r="G62" s="38" t="n">
        <f aca="false">IF(G$52=0,0,G$53*INDEX(前提条件!$B$25:$D$25,1,G$52))</f>
        <v>34.2904</v>
      </c>
    </row>
    <row r="63" customFormat="false" ht="15" hidden="false" customHeight="false" outlineLevel="0" collapsed="false">
      <c r="A63" s="37" t="s">
        <v>81</v>
      </c>
      <c r="C63" s="38" t="n">
        <f aca="false">IF(C$52=0,0,C$53*INDEX(前提条件!$B$26:$D$26,1,C$52))</f>
        <v>0</v>
      </c>
      <c r="D63" s="38" t="n">
        <f aca="false">IF(D$52=0,0,D$53*INDEX(前提条件!$B$26:$D$26,1,D$52))</f>
        <v>0</v>
      </c>
      <c r="E63" s="38" t="n">
        <f aca="false">IF(E$52=0,0,E$53*INDEX(前提条件!$B$26:$D$26,1,E$52))</f>
        <v>3.37546125</v>
      </c>
      <c r="F63" s="38" t="n">
        <f aca="false">IF(F$52=0,0,F$53*INDEX(前提条件!$B$26:$D$26,1,F$52))</f>
        <v>5.8808036</v>
      </c>
      <c r="G63" s="38" t="n">
        <f aca="false">IF(G$52=0,0,G$53*INDEX(前提条件!$B$26:$D$26,1,G$52))</f>
        <v>6.00082</v>
      </c>
    </row>
    <row r="64" customFormat="false" ht="15" hidden="false" customHeight="false" outlineLevel="0" collapsed="false">
      <c r="A64" s="37" t="s">
        <v>120</v>
      </c>
      <c r="C64" s="38" t="n">
        <f aca="false">IF(C52=0,0,前提条件!$B$13*$B$50*IF(C52=1,$B$51/12,1))</f>
        <v>0</v>
      </c>
      <c r="D64" s="38" t="n">
        <f aca="false">IF(D52=0,0,前提条件!$B$13*$B$50*IF(D52=1,$B$51/12,1))</f>
        <v>0</v>
      </c>
      <c r="E64" s="38" t="n">
        <f aca="false">IF(E52=0,0,前提条件!$B$13*$B$50*IF(E52=1,$B$51/12,1))</f>
        <v>33.3</v>
      </c>
      <c r="F64" s="38" t="n">
        <f aca="false">IF(F52=0,0,前提条件!$B$13*$B$50*IF(F52=1,$B$51/12,1))</f>
        <v>53.28</v>
      </c>
      <c r="G64" s="38" t="n">
        <f aca="false">IF(G52=0,0,前提条件!$B$13*$B$50*IF(G52=1,$B$51/12,1))</f>
        <v>53.28</v>
      </c>
    </row>
    <row r="65" customFormat="false" ht="15" hidden="false" customHeight="false" outlineLevel="0" collapsed="false">
      <c r="A65" s="37" t="s">
        <v>121</v>
      </c>
      <c r="C65" s="38" t="n">
        <f aca="false">IF(C52=0,0,MAX(0,C53/$B$50-前提条件!$B$15*IF(C52=1,$B$51/12,1))*前提条件!$B$14*$B$50)</f>
        <v>0</v>
      </c>
      <c r="D65" s="38" t="n">
        <f aca="false">IF(D52=0,0,MAX(0,D53/$B$50-前提条件!$B$15*IF(D52=1,$B$51/12,1))*前提条件!$B$14*$B$50)</f>
        <v>0</v>
      </c>
      <c r="E65" s="38" t="n">
        <f aca="false">IF(E52=0,0,MAX(0,E53/$B$50-前提条件!$B$15*IF(E52=1,$B$51/12,1))*前提条件!$B$14*$B$50)</f>
        <v>4.7571125</v>
      </c>
      <c r="F65" s="38" t="n">
        <f aca="false">IF(F52=0,0,MAX(0,F53/$B$50-前提条件!$B$15*IF(F52=1,$B$51/12,1))*前提条件!$B$14*$B$50)</f>
        <v>12.412036</v>
      </c>
      <c r="G65" s="38" t="n">
        <f aca="false">IF(G52=0,0,MAX(0,G53/$B$50-前提条件!$B$15*IF(G52=1,$B$51/12,1))*前提条件!$B$14*$B$50)</f>
        <v>13.6122</v>
      </c>
    </row>
    <row r="66" customFormat="false" ht="15" hidden="false" customHeight="false" outlineLevel="0" collapsed="false">
      <c r="A66" s="37" t="s">
        <v>122</v>
      </c>
      <c r="C66" s="38" t="n">
        <f aca="false">IF(C$52=0,0,C$53*INDEX(前提条件!$B$27:$D$27,1,C$52))</f>
        <v>0</v>
      </c>
      <c r="D66" s="38" t="n">
        <f aca="false">IF(D$52=0,0,D$53*INDEX(前提条件!$B$27:$D$27,1,D$52))</f>
        <v>0</v>
      </c>
      <c r="E66" s="38" t="n">
        <f aca="false">IF(E$52=0,0,E$53*INDEX(前提条件!$B$27:$D$27,1,E$52))</f>
        <v>12.05521875</v>
      </c>
      <c r="F66" s="38" t="n">
        <f aca="false">IF(F$52=0,0,F$53*INDEX(前提条件!$B$27:$D$27,1,F$52))</f>
        <v>21.00287</v>
      </c>
      <c r="G66" s="38" t="n">
        <f aca="false">IF(G$52=0,0,G$53*INDEX(前提条件!$B$27:$D$27,1,G$52))</f>
        <v>21.4315</v>
      </c>
    </row>
    <row r="67" customFormat="false" ht="15" hidden="false" customHeight="false" outlineLevel="0" collapsed="false">
      <c r="A67" s="13" t="s">
        <v>123</v>
      </c>
      <c r="C67" s="40" t="n">
        <f aca="false">C61-SUM(C62:C66)</f>
        <v>0</v>
      </c>
      <c r="D67" s="40" t="n">
        <f aca="false">D61-SUM(D62:D66)</f>
        <v>0</v>
      </c>
      <c r="E67" s="40" t="n">
        <f aca="false">E61-SUM(E62:E66)</f>
        <v>58.3846375</v>
      </c>
      <c r="F67" s="40" t="n">
        <f aca="false">F61-SUM(F62:F66)</f>
        <v>114.0925312</v>
      </c>
      <c r="G67" s="40" t="n">
        <f aca="false">G61-SUM(G62:G66)</f>
        <v>128.56308</v>
      </c>
    </row>
    <row r="68" customFormat="false" ht="15" hidden="false" customHeight="false" outlineLevel="0" collapsed="false">
      <c r="A68" s="9" t="s">
        <v>26</v>
      </c>
      <c r="C68" s="38" t="n">
        <f aca="false">IF(C52=0,0,前提条件!$D$40*$B$50*IF(C52=1,$B$51/12,1))</f>
        <v>0</v>
      </c>
      <c r="D68" s="38" t="n">
        <f aca="false">IF(D52=0,0,前提条件!$D$40*$B$50*IF(D52=1,$B$51/12,1))</f>
        <v>0</v>
      </c>
      <c r="E68" s="38" t="n">
        <f aca="false">IF(E52=0,0,前提条件!$D$40*$B$50*IF(E52=1,$B$51/12,1))</f>
        <v>25.40625</v>
      </c>
      <c r="F68" s="38" t="n">
        <f aca="false">IF(F52=0,0,前提条件!$D$40*$B$50*IF(F52=1,$B$51/12,1))</f>
        <v>40.65</v>
      </c>
      <c r="G68" s="38" t="n">
        <f aca="false">IF(G52=0,0,前提条件!$D$40*$B$50*IF(G52=1,$B$51/12,1))</f>
        <v>40.65</v>
      </c>
    </row>
    <row r="69" customFormat="false" ht="15" hidden="false" customHeight="false" outlineLevel="0" collapsed="false">
      <c r="A69" s="13" t="s">
        <v>124</v>
      </c>
      <c r="C69" s="40" t="n">
        <f aca="false">C67-C68</f>
        <v>0</v>
      </c>
      <c r="D69" s="40" t="n">
        <f aca="false">D67-D68</f>
        <v>0</v>
      </c>
      <c r="E69" s="40" t="n">
        <f aca="false">E67-E68</f>
        <v>32.9783875</v>
      </c>
      <c r="F69" s="40" t="n">
        <f aca="false">F67-F68</f>
        <v>73.4425311999999</v>
      </c>
      <c r="G69" s="40" t="n">
        <f aca="false">G67-G68</f>
        <v>87.91308</v>
      </c>
    </row>
    <row r="71" customFormat="false" ht="15" hidden="false" customHeight="false" outlineLevel="0" collapsed="false">
      <c r="A71" s="3" t="s">
        <v>127</v>
      </c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5" t="s">
        <v>115</v>
      </c>
      <c r="B72" s="32" t="n">
        <v>2</v>
      </c>
    </row>
    <row r="73" customFormat="false" ht="15" hidden="false" customHeight="false" outlineLevel="0" collapsed="false">
      <c r="A73" s="35" t="s">
        <v>116</v>
      </c>
      <c r="B73" s="18" t="n">
        <f aca="false">前提条件!$B$9</f>
        <v>7.5</v>
      </c>
    </row>
    <row r="74" customFormat="false" ht="15" hidden="false" customHeight="false" outlineLevel="0" collapsed="false">
      <c r="A74" s="35" t="s">
        <v>117</v>
      </c>
      <c r="C74" s="32" t="n">
        <v>0</v>
      </c>
      <c r="D74" s="32" t="n">
        <v>0</v>
      </c>
      <c r="E74" s="32" t="n">
        <v>0</v>
      </c>
      <c r="F74" s="32" t="n">
        <v>1</v>
      </c>
      <c r="G74" s="32" t="n">
        <v>2</v>
      </c>
    </row>
    <row r="75" customFormat="false" ht="15" hidden="false" customHeight="false" outlineLevel="0" collapsed="false">
      <c r="A75" s="13" t="s">
        <v>21</v>
      </c>
      <c r="C75" s="36" t="n">
        <f aca="false">IF(C74=0,0,前提条件!$B$5*INDEX(前提条件!$B$6:$B$8,C74)*$B$72*IF(C74=1,$B$73/12,1))</f>
        <v>0</v>
      </c>
      <c r="D75" s="36" t="n">
        <f aca="false">IF(D74=0,0,前提条件!$B$5*INDEX(前提条件!$B$6:$B$8,D74)*$B$72*IF(D74=1,$B$73/12,1))</f>
        <v>0</v>
      </c>
      <c r="E75" s="36" t="n">
        <f aca="false">IF(E74=0,0,前提条件!$B$5*INDEX(前提条件!$B$6:$B$8,E74)*$B$72*IF(E74=1,$B$73/12,1))</f>
        <v>0</v>
      </c>
      <c r="F75" s="36" t="n">
        <f aca="false">IF(F74=0,0,前提条件!$B$5*INDEX(前提条件!$B$6:$B$8,F74)*$B$72*IF(F74=1,$B$73/12,1))</f>
        <v>482.20875</v>
      </c>
      <c r="G75" s="36" t="n">
        <f aca="false">IF(G74=0,0,前提条件!$B$5*INDEX(前提条件!$B$6:$B$8,G74)*$B$72*IF(G74=1,$B$73/12,1))</f>
        <v>840.1148</v>
      </c>
    </row>
    <row r="76" customFormat="false" ht="15" hidden="false" customHeight="false" outlineLevel="0" collapsed="false">
      <c r="A76" s="37" t="s">
        <v>68</v>
      </c>
      <c r="C76" s="38" t="n">
        <f aca="false">IF(C$74=0,0,C$75*INDEX(前提条件!$B$19:$D$19,1,C$74))</f>
        <v>0</v>
      </c>
      <c r="D76" s="38" t="n">
        <f aca="false">IF(D$74=0,0,D$75*INDEX(前提条件!$B$19:$D$19,1,D$74))</f>
        <v>0</v>
      </c>
      <c r="E76" s="38" t="n">
        <f aca="false">IF(E$74=0,0,E$75*INDEX(前提条件!$B$19:$D$19,1,E$74))</f>
        <v>0</v>
      </c>
      <c r="F76" s="38" t="n">
        <f aca="false">IF(F$74=0,0,F$75*INDEX(前提条件!$B$19:$D$19,1,F$74))</f>
        <v>144.662625</v>
      </c>
      <c r="G76" s="38" t="n">
        <f aca="false">IF(G$74=0,0,G$75*INDEX(前提条件!$B$19:$D$19,1,G$74))</f>
        <v>252.03444</v>
      </c>
    </row>
    <row r="77" customFormat="false" ht="15" hidden="false" customHeight="false" outlineLevel="0" collapsed="false">
      <c r="A77" s="37" t="s">
        <v>70</v>
      </c>
      <c r="C77" s="38" t="n">
        <f aca="false">IF(C$74=0,0,C$75*INDEX(前提条件!$B$20:$D$20,1,C$74))</f>
        <v>0</v>
      </c>
      <c r="D77" s="38" t="n">
        <f aca="false">IF(D$74=0,0,D$75*INDEX(前提条件!$B$20:$D$20,1,D$74))</f>
        <v>0</v>
      </c>
      <c r="E77" s="38" t="n">
        <f aca="false">IF(E$74=0,0,E$75*INDEX(前提条件!$B$20:$D$20,1,E$74))</f>
        <v>0</v>
      </c>
      <c r="F77" s="38" t="n">
        <f aca="false">IF(F$74=0,0,F$75*INDEX(前提条件!$B$20:$D$20,1,F$74))</f>
        <v>166.36201875</v>
      </c>
      <c r="G77" s="38" t="n">
        <f aca="false">IF(G$74=0,0,G$75*INDEX(前提条件!$B$20:$D$20,1,G$74))</f>
        <v>281.438458</v>
      </c>
    </row>
    <row r="78" customFormat="false" ht="15" hidden="false" customHeight="false" outlineLevel="0" collapsed="false">
      <c r="A78" s="37" t="s">
        <v>72</v>
      </c>
      <c r="C78" s="38" t="n">
        <f aca="false">IF(C$74=0,0,C$75*INDEX(前提条件!$B$21:$D$21,1,C$74))</f>
        <v>0</v>
      </c>
      <c r="D78" s="38" t="n">
        <f aca="false">IF(D$74=0,0,D$75*INDEX(前提条件!$B$21:$D$21,1,D$74))</f>
        <v>0</v>
      </c>
      <c r="E78" s="38" t="n">
        <f aca="false">IF(E$74=0,0,E$75*INDEX(前提条件!$B$21:$D$21,1,E$74))</f>
        <v>0</v>
      </c>
      <c r="F78" s="38" t="n">
        <f aca="false">IF(F$74=0,0,F$75*INDEX(前提条件!$B$21:$D$21,1,F$74))</f>
        <v>11.57301</v>
      </c>
      <c r="G78" s="38" t="n">
        <f aca="false">IF(G$74=0,0,G$75*INDEX(前提条件!$B$21:$D$21,1,G$74))</f>
        <v>18.4825256</v>
      </c>
    </row>
    <row r="79" customFormat="false" ht="15" hidden="false" customHeight="false" outlineLevel="0" collapsed="false">
      <c r="A79" s="39" t="s">
        <v>118</v>
      </c>
      <c r="C79" s="40" t="n">
        <f aca="false">C75-SUM(C76:C78)</f>
        <v>0</v>
      </c>
      <c r="D79" s="40" t="n">
        <f aca="false">D75-SUM(D76:D78)</f>
        <v>0</v>
      </c>
      <c r="E79" s="40" t="n">
        <f aca="false">E75-SUM(E76:E78)</f>
        <v>0</v>
      </c>
      <c r="F79" s="40" t="n">
        <f aca="false">F75-SUM(F76:F78)</f>
        <v>159.61109625</v>
      </c>
      <c r="G79" s="40" t="n">
        <f aca="false">G75-SUM(G76:G78)</f>
        <v>288.1593764</v>
      </c>
    </row>
    <row r="80" customFormat="false" ht="15" hidden="false" customHeight="false" outlineLevel="0" collapsed="false">
      <c r="A80" s="37" t="s">
        <v>74</v>
      </c>
      <c r="C80" s="38" t="n">
        <f aca="false">IF(C$74=0,0,C$75*INDEX(前提条件!$B$22:$D$22,1,C$74))</f>
        <v>0</v>
      </c>
      <c r="D80" s="38" t="n">
        <f aca="false">IF(D$74=0,0,D$75*INDEX(前提条件!$B$22:$D$22,1,D$74))</f>
        <v>0</v>
      </c>
      <c r="E80" s="38" t="n">
        <f aca="false">IF(E$74=0,0,E$75*INDEX(前提条件!$B$22:$D$22,1,E$74))</f>
        <v>0</v>
      </c>
      <c r="F80" s="38" t="n">
        <f aca="false">IF(F$74=0,0,F$75*INDEX(前提条件!$B$22:$D$22,1,F$74))</f>
        <v>6.7509225</v>
      </c>
      <c r="G80" s="38" t="n">
        <f aca="false">IF(G$74=0,0,G$75*INDEX(前提条件!$B$22:$D$22,1,G$74))</f>
        <v>11.7616072</v>
      </c>
    </row>
    <row r="81" customFormat="false" ht="15" hidden="false" customHeight="false" outlineLevel="0" collapsed="false">
      <c r="A81" s="37" t="s">
        <v>76</v>
      </c>
      <c r="C81" s="38" t="n">
        <f aca="false">IF(C$74=0,0,C$75*INDEX(前提条件!$B$23:$D$23,1,C$74))</f>
        <v>0</v>
      </c>
      <c r="D81" s="38" t="n">
        <f aca="false">IF(D$74=0,0,D$75*INDEX(前提条件!$B$23:$D$23,1,D$74))</f>
        <v>0</v>
      </c>
      <c r="E81" s="38" t="n">
        <f aca="false">IF(E$74=0,0,E$75*INDEX(前提条件!$B$23:$D$23,1,E$74))</f>
        <v>0</v>
      </c>
      <c r="F81" s="38" t="n">
        <f aca="false">IF(F$74=0,0,F$75*INDEX(前提条件!$B$23:$D$23,1,F$74))</f>
        <v>2.41104375</v>
      </c>
      <c r="G81" s="38" t="n">
        <f aca="false">IF(G$74=0,0,G$75*INDEX(前提条件!$B$23:$D$23,1,G$74))</f>
        <v>4.200574</v>
      </c>
    </row>
    <row r="82" customFormat="false" ht="15" hidden="false" customHeight="false" outlineLevel="0" collapsed="false">
      <c r="A82" s="37" t="s">
        <v>77</v>
      </c>
      <c r="C82" s="38" t="n">
        <f aca="false">IF(C$74=0,0,C$75*INDEX(前提条件!$B$24:$D$24,1,C$74))</f>
        <v>0</v>
      </c>
      <c r="D82" s="38" t="n">
        <f aca="false">IF(D$74=0,0,D$75*INDEX(前提条件!$B$24:$D$24,1,D$74))</f>
        <v>0</v>
      </c>
      <c r="E82" s="38" t="n">
        <f aca="false">IF(E$74=0,0,E$75*INDEX(前提条件!$B$24:$D$24,1,E$74))</f>
        <v>0</v>
      </c>
      <c r="F82" s="38" t="n">
        <f aca="false">IF(F$74=0,0,F$75*INDEX(前提条件!$B$24:$D$24,1,F$74))</f>
        <v>19.28835</v>
      </c>
      <c r="G82" s="38" t="n">
        <f aca="false">IF(G$74=0,0,G$75*INDEX(前提条件!$B$24:$D$24,1,G$74))</f>
        <v>31.9243624</v>
      </c>
    </row>
    <row r="83" customFormat="false" ht="15" hidden="false" customHeight="false" outlineLevel="0" collapsed="false">
      <c r="A83" s="41" t="s">
        <v>119</v>
      </c>
      <c r="C83" s="40" t="n">
        <f aca="false">C79-SUM(C80:C82)</f>
        <v>0</v>
      </c>
      <c r="D83" s="40" t="n">
        <f aca="false">D79-SUM(D80:D82)</f>
        <v>0</v>
      </c>
      <c r="E83" s="40" t="n">
        <f aca="false">E79-SUM(E80:E82)</f>
        <v>0</v>
      </c>
      <c r="F83" s="40" t="n">
        <f aca="false">F79-SUM(F80:F82)</f>
        <v>131.16078</v>
      </c>
      <c r="G83" s="40" t="n">
        <f aca="false">G79-SUM(G80:G82)</f>
        <v>240.2728328</v>
      </c>
    </row>
    <row r="84" customFormat="false" ht="15" hidden="false" customHeight="false" outlineLevel="0" collapsed="false">
      <c r="A84" s="37" t="s">
        <v>79</v>
      </c>
      <c r="C84" s="38" t="n">
        <f aca="false">IF(C$74=0,0,C$75*INDEX(前提条件!$B$25:$D$25,1,C$74))</f>
        <v>0</v>
      </c>
      <c r="D84" s="38" t="n">
        <f aca="false">IF(D$74=0,0,D$75*INDEX(前提条件!$B$25:$D$25,1,D$74))</f>
        <v>0</v>
      </c>
      <c r="E84" s="38" t="n">
        <f aca="false">IF(E$74=0,0,E$75*INDEX(前提条件!$B$25:$D$25,1,E$74))</f>
        <v>0</v>
      </c>
      <c r="F84" s="38" t="n">
        <f aca="false">IF(F$74=0,0,F$75*INDEX(前提条件!$B$25:$D$25,1,F$74))</f>
        <v>19.28835</v>
      </c>
      <c r="G84" s="38" t="n">
        <f aca="false">IF(G$74=0,0,G$75*INDEX(前提条件!$B$25:$D$25,1,G$74))</f>
        <v>33.604592</v>
      </c>
    </row>
    <row r="85" customFormat="false" ht="15" hidden="false" customHeight="false" outlineLevel="0" collapsed="false">
      <c r="A85" s="37" t="s">
        <v>81</v>
      </c>
      <c r="C85" s="38" t="n">
        <f aca="false">IF(C$74=0,0,C$75*INDEX(前提条件!$B$26:$D$26,1,C$74))</f>
        <v>0</v>
      </c>
      <c r="D85" s="38" t="n">
        <f aca="false">IF(D$74=0,0,D$75*INDEX(前提条件!$B$26:$D$26,1,D$74))</f>
        <v>0</v>
      </c>
      <c r="E85" s="38" t="n">
        <f aca="false">IF(E$74=0,0,E$75*INDEX(前提条件!$B$26:$D$26,1,E$74))</f>
        <v>0</v>
      </c>
      <c r="F85" s="38" t="n">
        <f aca="false">IF(F$74=0,0,F$75*INDEX(前提条件!$B$26:$D$26,1,F$74))</f>
        <v>3.37546125</v>
      </c>
      <c r="G85" s="38" t="n">
        <f aca="false">IF(G$74=0,0,G$75*INDEX(前提条件!$B$26:$D$26,1,G$74))</f>
        <v>5.8808036</v>
      </c>
    </row>
    <row r="86" customFormat="false" ht="15" hidden="false" customHeight="false" outlineLevel="0" collapsed="false">
      <c r="A86" s="37" t="s">
        <v>120</v>
      </c>
      <c r="C86" s="38" t="n">
        <f aca="false">IF(C74=0,0,前提条件!$B$13*$B$72*IF(C74=1,$B$73/12,1))</f>
        <v>0</v>
      </c>
      <c r="D86" s="38" t="n">
        <f aca="false">IF(D74=0,0,前提条件!$B$13*$B$72*IF(D74=1,$B$73/12,1))</f>
        <v>0</v>
      </c>
      <c r="E86" s="38" t="n">
        <f aca="false">IF(E74=0,0,前提条件!$B$13*$B$72*IF(E74=1,$B$73/12,1))</f>
        <v>0</v>
      </c>
      <c r="F86" s="38" t="n">
        <f aca="false">IF(F74=0,0,前提条件!$B$13*$B$72*IF(F74=1,$B$73/12,1))</f>
        <v>33.3</v>
      </c>
      <c r="G86" s="38" t="n">
        <f aca="false">IF(G74=0,0,前提条件!$B$13*$B$72*IF(G74=1,$B$73/12,1))</f>
        <v>53.28</v>
      </c>
    </row>
    <row r="87" customFormat="false" ht="15" hidden="false" customHeight="false" outlineLevel="0" collapsed="false">
      <c r="A87" s="37" t="s">
        <v>121</v>
      </c>
      <c r="C87" s="38" t="n">
        <f aca="false">IF(C74=0,0,MAX(0,C75/$B$72-前提条件!$B$15*IF(C74=1,$B$73/12,1))*前提条件!$B$14*$B$72)</f>
        <v>0</v>
      </c>
      <c r="D87" s="38" t="n">
        <f aca="false">IF(D74=0,0,MAX(0,D75/$B$72-前提条件!$B$15*IF(D74=1,$B$73/12,1))*前提条件!$B$14*$B$72)</f>
        <v>0</v>
      </c>
      <c r="E87" s="38" t="n">
        <f aca="false">IF(E74=0,0,MAX(0,E75/$B$72-前提条件!$B$15*IF(E74=1,$B$73/12,1))*前提条件!$B$14*$B$72)</f>
        <v>0</v>
      </c>
      <c r="F87" s="38" t="n">
        <f aca="false">IF(F74=0,0,MAX(0,F75/$B$72-前提条件!$B$15*IF(F74=1,$B$73/12,1))*前提条件!$B$14*$B$72)</f>
        <v>4.7571125</v>
      </c>
      <c r="G87" s="38" t="n">
        <f aca="false">IF(G74=0,0,MAX(0,G75/$B$72-前提条件!$B$15*IF(G74=1,$B$73/12,1))*前提条件!$B$14*$B$72)</f>
        <v>12.412036</v>
      </c>
    </row>
    <row r="88" customFormat="false" ht="15" hidden="false" customHeight="false" outlineLevel="0" collapsed="false">
      <c r="A88" s="37" t="s">
        <v>122</v>
      </c>
      <c r="C88" s="38" t="n">
        <f aca="false">IF(C$74=0,0,C$75*INDEX(前提条件!$B$27:$D$27,1,C$74))</f>
        <v>0</v>
      </c>
      <c r="D88" s="38" t="n">
        <f aca="false">IF(D$74=0,0,D$75*INDEX(前提条件!$B$27:$D$27,1,D$74))</f>
        <v>0</v>
      </c>
      <c r="E88" s="38" t="n">
        <f aca="false">IF(E$74=0,0,E$75*INDEX(前提条件!$B$27:$D$27,1,E$74))</f>
        <v>0</v>
      </c>
      <c r="F88" s="38" t="n">
        <f aca="false">IF(F$74=0,0,F$75*INDEX(前提条件!$B$27:$D$27,1,F$74))</f>
        <v>12.05521875</v>
      </c>
      <c r="G88" s="38" t="n">
        <f aca="false">IF(G$74=0,0,G$75*INDEX(前提条件!$B$27:$D$27,1,G$74))</f>
        <v>21.00287</v>
      </c>
    </row>
    <row r="89" customFormat="false" ht="15" hidden="false" customHeight="false" outlineLevel="0" collapsed="false">
      <c r="A89" s="13" t="s">
        <v>123</v>
      </c>
      <c r="C89" s="40" t="n">
        <f aca="false">C83-SUM(C84:C88)</f>
        <v>0</v>
      </c>
      <c r="D89" s="40" t="n">
        <f aca="false">D83-SUM(D84:D88)</f>
        <v>0</v>
      </c>
      <c r="E89" s="40" t="n">
        <f aca="false">E83-SUM(E84:E88)</f>
        <v>0</v>
      </c>
      <c r="F89" s="40" t="n">
        <f aca="false">F83-SUM(F84:F88)</f>
        <v>58.3846375</v>
      </c>
      <c r="G89" s="40" t="n">
        <f aca="false">G83-SUM(G84:G88)</f>
        <v>114.0925312</v>
      </c>
    </row>
    <row r="90" customFormat="false" ht="15" hidden="false" customHeight="false" outlineLevel="0" collapsed="false">
      <c r="A90" s="9" t="s">
        <v>26</v>
      </c>
      <c r="C90" s="38" t="n">
        <f aca="false">IF(C74=0,0,前提条件!$D$40*$B$72*IF(C74=1,$B$73/12,1))</f>
        <v>0</v>
      </c>
      <c r="D90" s="38" t="n">
        <f aca="false">IF(D74=0,0,前提条件!$D$40*$B$72*IF(D74=1,$B$73/12,1))</f>
        <v>0</v>
      </c>
      <c r="E90" s="38" t="n">
        <f aca="false">IF(E74=0,0,前提条件!$D$40*$B$72*IF(E74=1,$B$73/12,1))</f>
        <v>0</v>
      </c>
      <c r="F90" s="38" t="n">
        <f aca="false">IF(F74=0,0,前提条件!$D$40*$B$72*IF(F74=1,$B$73/12,1))</f>
        <v>25.40625</v>
      </c>
      <c r="G90" s="38" t="n">
        <f aca="false">IF(G74=0,0,前提条件!$D$40*$B$72*IF(G74=1,$B$73/12,1))</f>
        <v>40.65</v>
      </c>
    </row>
    <row r="91" customFormat="false" ht="15" hidden="false" customHeight="false" outlineLevel="0" collapsed="false">
      <c r="A91" s="13" t="s">
        <v>124</v>
      </c>
      <c r="C91" s="40" t="n">
        <f aca="false">C89-C90</f>
        <v>0</v>
      </c>
      <c r="D91" s="40" t="n">
        <f aca="false">D89-D90</f>
        <v>0</v>
      </c>
      <c r="E91" s="40" t="n">
        <f aca="false">E89-E90</f>
        <v>0</v>
      </c>
      <c r="F91" s="40" t="n">
        <f aca="false">F89-F90</f>
        <v>32.9783875</v>
      </c>
      <c r="G91" s="40" t="n">
        <f aca="false">G89-G90</f>
        <v>73.4425311999999</v>
      </c>
    </row>
    <row r="93" customFormat="false" ht="15" hidden="false" customHeight="false" outlineLevel="0" collapsed="false">
      <c r="A93" s="3" t="s">
        <v>128</v>
      </c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5" t="s">
        <v>115</v>
      </c>
      <c r="B94" s="32" t="n">
        <v>2</v>
      </c>
    </row>
    <row r="95" customFormat="false" ht="15" hidden="false" customHeight="false" outlineLevel="0" collapsed="false">
      <c r="A95" s="35" t="s">
        <v>116</v>
      </c>
      <c r="B95" s="18" t="n">
        <f aca="false">前提条件!$B$9</f>
        <v>7.5</v>
      </c>
    </row>
    <row r="96" customFormat="false" ht="15" hidden="false" customHeight="false" outlineLevel="0" collapsed="false">
      <c r="A96" s="35" t="s">
        <v>117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1</v>
      </c>
    </row>
    <row r="97" customFormat="false" ht="15" hidden="false" customHeight="false" outlineLevel="0" collapsed="false">
      <c r="A97" s="13" t="s">
        <v>21</v>
      </c>
      <c r="C97" s="36" t="n">
        <f aca="false">IF(C96=0,0,前提条件!$B$5*INDEX(前提条件!$B$6:$B$8,C96)*$B$94*IF(C96=1,$B$95/12,1))</f>
        <v>0</v>
      </c>
      <c r="D97" s="36" t="n">
        <f aca="false">IF(D96=0,0,前提条件!$B$5*INDEX(前提条件!$B$6:$B$8,D96)*$B$94*IF(D96=1,$B$95/12,1))</f>
        <v>0</v>
      </c>
      <c r="E97" s="36" t="n">
        <f aca="false">IF(E96=0,0,前提条件!$B$5*INDEX(前提条件!$B$6:$B$8,E96)*$B$94*IF(E96=1,$B$95/12,1))</f>
        <v>0</v>
      </c>
      <c r="F97" s="36" t="n">
        <f aca="false">IF(F96=0,0,前提条件!$B$5*INDEX(前提条件!$B$6:$B$8,F96)*$B$94*IF(F96=1,$B$95/12,1))</f>
        <v>0</v>
      </c>
      <c r="G97" s="36" t="n">
        <f aca="false">IF(G96=0,0,前提条件!$B$5*INDEX(前提条件!$B$6:$B$8,G96)*$B$94*IF(G96=1,$B$95/12,1))</f>
        <v>482.20875</v>
      </c>
    </row>
    <row r="98" customFormat="false" ht="15" hidden="false" customHeight="false" outlineLevel="0" collapsed="false">
      <c r="A98" s="37" t="s">
        <v>68</v>
      </c>
      <c r="C98" s="38" t="n">
        <f aca="false">IF(C$96=0,0,C$97*INDEX(前提条件!$B$19:$D$19,1,C$96))</f>
        <v>0</v>
      </c>
      <c r="D98" s="38" t="n">
        <f aca="false">IF(D$96=0,0,D$97*INDEX(前提条件!$B$19:$D$19,1,D$96))</f>
        <v>0</v>
      </c>
      <c r="E98" s="38" t="n">
        <f aca="false">IF(E$96=0,0,E$97*INDEX(前提条件!$B$19:$D$19,1,E$96))</f>
        <v>0</v>
      </c>
      <c r="F98" s="38" t="n">
        <f aca="false">IF(F$96=0,0,F$97*INDEX(前提条件!$B$19:$D$19,1,F$96))</f>
        <v>0</v>
      </c>
      <c r="G98" s="38" t="n">
        <f aca="false">IF(G$96=0,0,G$97*INDEX(前提条件!$B$19:$D$19,1,G$96))</f>
        <v>144.662625</v>
      </c>
    </row>
    <row r="99" customFormat="false" ht="15" hidden="false" customHeight="false" outlineLevel="0" collapsed="false">
      <c r="A99" s="37" t="s">
        <v>70</v>
      </c>
      <c r="C99" s="38" t="n">
        <f aca="false">IF(C$96=0,0,C$97*INDEX(前提条件!$B$20:$D$20,1,C$96))</f>
        <v>0</v>
      </c>
      <c r="D99" s="38" t="n">
        <f aca="false">IF(D$96=0,0,D$97*INDEX(前提条件!$B$20:$D$20,1,D$96))</f>
        <v>0</v>
      </c>
      <c r="E99" s="38" t="n">
        <f aca="false">IF(E$96=0,0,E$97*INDEX(前提条件!$B$20:$D$20,1,E$96))</f>
        <v>0</v>
      </c>
      <c r="F99" s="38" t="n">
        <f aca="false">IF(F$96=0,0,F$97*INDEX(前提条件!$B$20:$D$20,1,F$96))</f>
        <v>0</v>
      </c>
      <c r="G99" s="38" t="n">
        <f aca="false">IF(G$96=0,0,G$97*INDEX(前提条件!$B$20:$D$20,1,G$96))</f>
        <v>166.36201875</v>
      </c>
    </row>
    <row r="100" customFormat="false" ht="15" hidden="false" customHeight="false" outlineLevel="0" collapsed="false">
      <c r="A100" s="37" t="s">
        <v>72</v>
      </c>
      <c r="C100" s="38" t="n">
        <f aca="false">IF(C$96=0,0,C$97*INDEX(前提条件!$B$21:$D$21,1,C$96))</f>
        <v>0</v>
      </c>
      <c r="D100" s="38" t="n">
        <f aca="false">IF(D$96=0,0,D$97*INDEX(前提条件!$B$21:$D$21,1,D$96))</f>
        <v>0</v>
      </c>
      <c r="E100" s="38" t="n">
        <f aca="false">IF(E$96=0,0,E$97*INDEX(前提条件!$B$21:$D$21,1,E$96))</f>
        <v>0</v>
      </c>
      <c r="F100" s="38" t="n">
        <f aca="false">IF(F$96=0,0,F$97*INDEX(前提条件!$B$21:$D$21,1,F$96))</f>
        <v>0</v>
      </c>
      <c r="G100" s="38" t="n">
        <f aca="false">IF(G$96=0,0,G$97*INDEX(前提条件!$B$21:$D$21,1,G$96))</f>
        <v>11.57301</v>
      </c>
    </row>
    <row r="101" customFormat="false" ht="15" hidden="false" customHeight="false" outlineLevel="0" collapsed="false">
      <c r="A101" s="39" t="s">
        <v>118</v>
      </c>
      <c r="C101" s="40" t="n">
        <f aca="false">C97-SUM(C98:C100)</f>
        <v>0</v>
      </c>
      <c r="D101" s="40" t="n">
        <f aca="false">D97-SUM(D98:D100)</f>
        <v>0</v>
      </c>
      <c r="E101" s="40" t="n">
        <f aca="false">E97-SUM(E98:E100)</f>
        <v>0</v>
      </c>
      <c r="F101" s="40" t="n">
        <f aca="false">F97-SUM(F98:F100)</f>
        <v>0</v>
      </c>
      <c r="G101" s="40" t="n">
        <f aca="false">G97-SUM(G98:G100)</f>
        <v>159.61109625</v>
      </c>
    </row>
    <row r="102" customFormat="false" ht="15" hidden="false" customHeight="false" outlineLevel="0" collapsed="false">
      <c r="A102" s="37" t="s">
        <v>74</v>
      </c>
      <c r="C102" s="38" t="n">
        <f aca="false">IF(C$96=0,0,C$97*INDEX(前提条件!$B$22:$D$22,1,C$96))</f>
        <v>0</v>
      </c>
      <c r="D102" s="38" t="n">
        <f aca="false">IF(D$96=0,0,D$97*INDEX(前提条件!$B$22:$D$22,1,D$96))</f>
        <v>0</v>
      </c>
      <c r="E102" s="38" t="n">
        <f aca="false">IF(E$96=0,0,E$97*INDEX(前提条件!$B$22:$D$22,1,E$96))</f>
        <v>0</v>
      </c>
      <c r="F102" s="38" t="n">
        <f aca="false">IF(F$96=0,0,F$97*INDEX(前提条件!$B$22:$D$22,1,F$96))</f>
        <v>0</v>
      </c>
      <c r="G102" s="38" t="n">
        <f aca="false">IF(G$96=0,0,G$97*INDEX(前提条件!$B$22:$D$22,1,G$96))</f>
        <v>6.7509225</v>
      </c>
    </row>
    <row r="103" customFormat="false" ht="15" hidden="false" customHeight="false" outlineLevel="0" collapsed="false">
      <c r="A103" s="37" t="s">
        <v>76</v>
      </c>
      <c r="C103" s="38" t="n">
        <f aca="false">IF(C$96=0,0,C$97*INDEX(前提条件!$B$23:$D$23,1,C$96))</f>
        <v>0</v>
      </c>
      <c r="D103" s="38" t="n">
        <f aca="false">IF(D$96=0,0,D$97*INDEX(前提条件!$B$23:$D$23,1,D$96))</f>
        <v>0</v>
      </c>
      <c r="E103" s="38" t="n">
        <f aca="false">IF(E$96=0,0,E$97*INDEX(前提条件!$B$23:$D$23,1,E$96))</f>
        <v>0</v>
      </c>
      <c r="F103" s="38" t="n">
        <f aca="false">IF(F$96=0,0,F$97*INDEX(前提条件!$B$23:$D$23,1,F$96))</f>
        <v>0</v>
      </c>
      <c r="G103" s="38" t="n">
        <f aca="false">IF(G$96=0,0,G$97*INDEX(前提条件!$B$23:$D$23,1,G$96))</f>
        <v>2.41104375</v>
      </c>
    </row>
    <row r="104" customFormat="false" ht="15" hidden="false" customHeight="false" outlineLevel="0" collapsed="false">
      <c r="A104" s="37" t="s">
        <v>77</v>
      </c>
      <c r="C104" s="38" t="n">
        <f aca="false">IF(C$96=0,0,C$97*INDEX(前提条件!$B$24:$D$24,1,C$96))</f>
        <v>0</v>
      </c>
      <c r="D104" s="38" t="n">
        <f aca="false">IF(D$96=0,0,D$97*INDEX(前提条件!$B$24:$D$24,1,D$96))</f>
        <v>0</v>
      </c>
      <c r="E104" s="38" t="n">
        <f aca="false">IF(E$96=0,0,E$97*INDEX(前提条件!$B$24:$D$24,1,E$96))</f>
        <v>0</v>
      </c>
      <c r="F104" s="38" t="n">
        <f aca="false">IF(F$96=0,0,F$97*INDEX(前提条件!$B$24:$D$24,1,F$96))</f>
        <v>0</v>
      </c>
      <c r="G104" s="38" t="n">
        <f aca="false">IF(G$96=0,0,G$97*INDEX(前提条件!$B$24:$D$24,1,G$96))</f>
        <v>19.28835</v>
      </c>
    </row>
    <row r="105" customFormat="false" ht="15" hidden="false" customHeight="false" outlineLevel="0" collapsed="false">
      <c r="A105" s="41" t="s">
        <v>119</v>
      </c>
      <c r="C105" s="40" t="n">
        <f aca="false">C101-SUM(C102:C104)</f>
        <v>0</v>
      </c>
      <c r="D105" s="40" t="n">
        <f aca="false">D101-SUM(D102:D104)</f>
        <v>0</v>
      </c>
      <c r="E105" s="40" t="n">
        <f aca="false">E101-SUM(E102:E104)</f>
        <v>0</v>
      </c>
      <c r="F105" s="40" t="n">
        <f aca="false">F101-SUM(F102:F104)</f>
        <v>0</v>
      </c>
      <c r="G105" s="40" t="n">
        <f aca="false">G101-SUM(G102:G104)</f>
        <v>131.16078</v>
      </c>
    </row>
    <row r="106" customFormat="false" ht="15" hidden="false" customHeight="false" outlineLevel="0" collapsed="false">
      <c r="A106" s="37" t="s">
        <v>79</v>
      </c>
      <c r="C106" s="38" t="n">
        <f aca="false">IF(C$96=0,0,C$97*INDEX(前提条件!$B$25:$D$25,1,C$96))</f>
        <v>0</v>
      </c>
      <c r="D106" s="38" t="n">
        <f aca="false">IF(D$96=0,0,D$97*INDEX(前提条件!$B$25:$D$25,1,D$96))</f>
        <v>0</v>
      </c>
      <c r="E106" s="38" t="n">
        <f aca="false">IF(E$96=0,0,E$97*INDEX(前提条件!$B$25:$D$25,1,E$96))</f>
        <v>0</v>
      </c>
      <c r="F106" s="38" t="n">
        <f aca="false">IF(F$96=0,0,F$97*INDEX(前提条件!$B$25:$D$25,1,F$96))</f>
        <v>0</v>
      </c>
      <c r="G106" s="38" t="n">
        <f aca="false">IF(G$96=0,0,G$97*INDEX(前提条件!$B$25:$D$25,1,G$96))</f>
        <v>19.28835</v>
      </c>
    </row>
    <row r="107" customFormat="false" ht="15" hidden="false" customHeight="false" outlineLevel="0" collapsed="false">
      <c r="A107" s="37" t="s">
        <v>81</v>
      </c>
      <c r="C107" s="38" t="n">
        <f aca="false">IF(C$96=0,0,C$97*INDEX(前提条件!$B$26:$D$26,1,C$96))</f>
        <v>0</v>
      </c>
      <c r="D107" s="38" t="n">
        <f aca="false">IF(D$96=0,0,D$97*INDEX(前提条件!$B$26:$D$26,1,D$96))</f>
        <v>0</v>
      </c>
      <c r="E107" s="38" t="n">
        <f aca="false">IF(E$96=0,0,E$97*INDEX(前提条件!$B$26:$D$26,1,E$96))</f>
        <v>0</v>
      </c>
      <c r="F107" s="38" t="n">
        <f aca="false">IF(F$96=0,0,F$97*INDEX(前提条件!$B$26:$D$26,1,F$96))</f>
        <v>0</v>
      </c>
      <c r="G107" s="38" t="n">
        <f aca="false">IF(G$96=0,0,G$97*INDEX(前提条件!$B$26:$D$26,1,G$96))</f>
        <v>3.37546125</v>
      </c>
    </row>
    <row r="108" customFormat="false" ht="15" hidden="false" customHeight="false" outlineLevel="0" collapsed="false">
      <c r="A108" s="37" t="s">
        <v>120</v>
      </c>
      <c r="C108" s="38" t="n">
        <f aca="false">IF(C96=0,0,前提条件!$B$13*$B$94*IF(C96=1,$B$95/12,1))</f>
        <v>0</v>
      </c>
      <c r="D108" s="38" t="n">
        <f aca="false">IF(D96=0,0,前提条件!$B$13*$B$94*IF(D96=1,$B$95/12,1))</f>
        <v>0</v>
      </c>
      <c r="E108" s="38" t="n">
        <f aca="false">IF(E96=0,0,前提条件!$B$13*$B$94*IF(E96=1,$B$95/12,1))</f>
        <v>0</v>
      </c>
      <c r="F108" s="38" t="n">
        <f aca="false">IF(F96=0,0,前提条件!$B$13*$B$94*IF(F96=1,$B$95/12,1))</f>
        <v>0</v>
      </c>
      <c r="G108" s="38" t="n">
        <f aca="false">IF(G96=0,0,前提条件!$B$13*$B$94*IF(G96=1,$B$95/12,1))</f>
        <v>33.3</v>
      </c>
    </row>
    <row r="109" customFormat="false" ht="15" hidden="false" customHeight="false" outlineLevel="0" collapsed="false">
      <c r="A109" s="37" t="s">
        <v>121</v>
      </c>
      <c r="C109" s="38" t="n">
        <f aca="false">IF(C96=0,0,MAX(0,C97/$B$94-前提条件!$B$15*IF(C96=1,$B$95/12,1))*前提条件!$B$14*$B$94)</f>
        <v>0</v>
      </c>
      <c r="D109" s="38" t="n">
        <f aca="false">IF(D96=0,0,MAX(0,D97/$B$94-前提条件!$B$15*IF(D96=1,$B$95/12,1))*前提条件!$B$14*$B$94)</f>
        <v>0</v>
      </c>
      <c r="E109" s="38" t="n">
        <f aca="false">IF(E96=0,0,MAX(0,E97/$B$94-前提条件!$B$15*IF(E96=1,$B$95/12,1))*前提条件!$B$14*$B$94)</f>
        <v>0</v>
      </c>
      <c r="F109" s="38" t="n">
        <f aca="false">IF(F96=0,0,MAX(0,F97/$B$94-前提条件!$B$15*IF(F96=1,$B$95/12,1))*前提条件!$B$14*$B$94)</f>
        <v>0</v>
      </c>
      <c r="G109" s="38" t="n">
        <f aca="false">IF(G96=0,0,MAX(0,G97/$B$94-前提条件!$B$15*IF(G96=1,$B$95/12,1))*前提条件!$B$14*$B$94)</f>
        <v>4.7571125</v>
      </c>
    </row>
    <row r="110" customFormat="false" ht="15" hidden="false" customHeight="false" outlineLevel="0" collapsed="false">
      <c r="A110" s="37" t="s">
        <v>122</v>
      </c>
      <c r="C110" s="38" t="n">
        <f aca="false">IF(C$96=0,0,C$97*INDEX(前提条件!$B$27:$D$27,1,C$96))</f>
        <v>0</v>
      </c>
      <c r="D110" s="38" t="n">
        <f aca="false">IF(D$96=0,0,D$97*INDEX(前提条件!$B$27:$D$27,1,D$96))</f>
        <v>0</v>
      </c>
      <c r="E110" s="38" t="n">
        <f aca="false">IF(E$96=0,0,E$97*INDEX(前提条件!$B$27:$D$27,1,E$96))</f>
        <v>0</v>
      </c>
      <c r="F110" s="38" t="n">
        <f aca="false">IF(F$96=0,0,F$97*INDEX(前提条件!$B$27:$D$27,1,F$96))</f>
        <v>0</v>
      </c>
      <c r="G110" s="38" t="n">
        <f aca="false">IF(G$96=0,0,G$97*INDEX(前提条件!$B$27:$D$27,1,G$96))</f>
        <v>12.05521875</v>
      </c>
    </row>
    <row r="111" customFormat="false" ht="15" hidden="false" customHeight="false" outlineLevel="0" collapsed="false">
      <c r="A111" s="13" t="s">
        <v>123</v>
      </c>
      <c r="C111" s="40" t="n">
        <f aca="false">C105-SUM(C106:C110)</f>
        <v>0</v>
      </c>
      <c r="D111" s="40" t="n">
        <f aca="false">D105-SUM(D106:D110)</f>
        <v>0</v>
      </c>
      <c r="E111" s="40" t="n">
        <f aca="false">E105-SUM(E106:E110)</f>
        <v>0</v>
      </c>
      <c r="F111" s="40" t="n">
        <f aca="false">F105-SUM(F106:F110)</f>
        <v>0</v>
      </c>
      <c r="G111" s="40" t="n">
        <f aca="false">G105-SUM(G106:G110)</f>
        <v>58.3846375</v>
      </c>
    </row>
    <row r="112" customFormat="false" ht="15" hidden="false" customHeight="false" outlineLevel="0" collapsed="false">
      <c r="A112" s="9" t="s">
        <v>26</v>
      </c>
      <c r="C112" s="38" t="n">
        <f aca="false">IF(C96=0,0,前提条件!$D$40*$B$94*IF(C96=1,$B$95/12,1))</f>
        <v>0</v>
      </c>
      <c r="D112" s="38" t="n">
        <f aca="false">IF(D96=0,0,前提条件!$D$40*$B$94*IF(D96=1,$B$95/12,1))</f>
        <v>0</v>
      </c>
      <c r="E112" s="38" t="n">
        <f aca="false">IF(E96=0,0,前提条件!$D$40*$B$94*IF(E96=1,$B$95/12,1))</f>
        <v>0</v>
      </c>
      <c r="F112" s="38" t="n">
        <f aca="false">IF(F96=0,0,前提条件!$D$40*$B$94*IF(F96=1,$B$95/12,1))</f>
        <v>0</v>
      </c>
      <c r="G112" s="38" t="n">
        <f aca="false">IF(G96=0,0,前提条件!$D$40*$B$94*IF(G96=1,$B$95/12,1))</f>
        <v>25.40625</v>
      </c>
    </row>
    <row r="113" customFormat="false" ht="15" hidden="false" customHeight="false" outlineLevel="0" collapsed="false">
      <c r="A113" s="13" t="s">
        <v>124</v>
      </c>
      <c r="C113" s="40" t="n">
        <f aca="false">C111-C112</f>
        <v>0</v>
      </c>
      <c r="D113" s="40" t="n">
        <f aca="false">D111-D112</f>
        <v>0</v>
      </c>
      <c r="E113" s="40" t="n">
        <f aca="false">E111-E112</f>
        <v>0</v>
      </c>
      <c r="F113" s="40" t="n">
        <f aca="false">F111-F112</f>
        <v>0</v>
      </c>
      <c r="G113" s="40" t="n">
        <f aca="false">G111-G112</f>
        <v>32.9783875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4" t="s">
        <v>130</v>
      </c>
    </row>
    <row r="3" customFormat="false" ht="25.35" hidden="false" customHeight="false" outlineLevel="0" collapsed="false">
      <c r="A3" s="7" t="s">
        <v>131</v>
      </c>
      <c r="B3" s="42" t="s">
        <v>132</v>
      </c>
      <c r="C3" s="8" t="s">
        <v>3</v>
      </c>
      <c r="D3" s="8" t="s">
        <v>6</v>
      </c>
      <c r="E3" s="8" t="s">
        <v>9</v>
      </c>
      <c r="F3" s="8" t="s">
        <v>12</v>
      </c>
      <c r="G3" s="8" t="s">
        <v>15</v>
      </c>
      <c r="H3" s="8" t="s">
        <v>19</v>
      </c>
    </row>
    <row r="4" customFormat="false" ht="15" hidden="false" customHeight="false" outlineLevel="0" collapsed="false">
      <c r="A4" s="13" t="s">
        <v>20</v>
      </c>
      <c r="C4" s="43" t="n">
        <f aca="false">前提条件!B50</f>
        <v>1</v>
      </c>
      <c r="D4" s="43" t="n">
        <f aca="false">前提条件!C50</f>
        <v>3</v>
      </c>
      <c r="E4" s="43" t="n">
        <f aca="false">前提条件!D50</f>
        <v>5</v>
      </c>
      <c r="F4" s="43" t="n">
        <f aca="false">前提条件!E50</f>
        <v>7</v>
      </c>
      <c r="G4" s="43" t="n">
        <f aca="false">前提条件!F50</f>
        <v>9</v>
      </c>
    </row>
    <row r="5" customFormat="false" ht="15" hidden="false" customHeight="false" outlineLevel="0" collapsed="false">
      <c r="A5" s="13" t="s">
        <v>21</v>
      </c>
      <c r="B5" s="44" t="n">
        <f aca="false">IF($G$5=0,0,G5/$G$5)</f>
        <v>1</v>
      </c>
      <c r="C5" s="45" t="n">
        <f aca="false">店舗群別PL!C9+店舗群別PL!C31+店舗群別PL!C53+店舗群別PL!C75+店舗群別PL!C97</f>
        <v>385.767</v>
      </c>
      <c r="D5" s="45" t="n">
        <f aca="false">店舗群別PL!D9+店舗群別PL!D31+店舗群別PL!D53+店舗群別PL!D75+店舗群別PL!D97</f>
        <v>902.26615</v>
      </c>
      <c r="E5" s="45" t="n">
        <f aca="false">店舗群別PL!E9+店舗群別PL!E31+店舗群別PL!E53+店舗群別PL!E75+店舗群別PL!E97</f>
        <v>1750.95355</v>
      </c>
      <c r="F5" s="45" t="n">
        <f aca="false">店舗群別PL!F9+店舗群別PL!F31+店舗群別PL!F53+店舗群別PL!F75+店舗群別PL!F97</f>
        <v>2608.21355</v>
      </c>
      <c r="G5" s="45" t="n">
        <f aca="false">店舗群別PL!G9+店舗群別PL!G31+店舗群別PL!G53+店舗群別PL!G75+店舗群別PL!G97</f>
        <v>3465.47355</v>
      </c>
      <c r="H5" s="40" t="n">
        <f aca="false">SUM(C5:G5)</f>
        <v>9112.6738</v>
      </c>
    </row>
    <row r="6" customFormat="false" ht="15" hidden="false" customHeight="false" outlineLevel="0" collapsed="false">
      <c r="A6" s="37" t="s">
        <v>68</v>
      </c>
      <c r="B6" s="44" t="n">
        <f aca="false">IF($G$5=0,0,G6/$G$5)</f>
        <v>0.3</v>
      </c>
      <c r="C6" s="11" t="n">
        <f aca="false">店舗群別PL!C10+店舗群別PL!C32+店舗群別PL!C54+店舗群別PL!C76+店舗群別PL!C98</f>
        <v>115.7301</v>
      </c>
      <c r="D6" s="11" t="n">
        <f aca="false">店舗群別PL!D10+店舗群別PL!D32+店舗群別PL!D54+店舗群別PL!D76+店舗群別PL!D98</f>
        <v>270.679845</v>
      </c>
      <c r="E6" s="11" t="n">
        <f aca="false">店舗群別PL!E10+店舗群別PL!E32+店舗群別PL!E54+店舗群別PL!E76+店舗群別PL!E98</f>
        <v>525.286065</v>
      </c>
      <c r="F6" s="11" t="n">
        <f aca="false">店舗群別PL!F10+店舗群別PL!F32+店舗群別PL!F54+店舗群別PL!F76+店舗群別PL!F98</f>
        <v>782.464065</v>
      </c>
      <c r="G6" s="11" t="n">
        <f aca="false">店舗群別PL!G10+店舗群別PL!G32+店舗群別PL!G54+店舗群別PL!G76+店舗群別PL!G98</f>
        <v>1039.642065</v>
      </c>
      <c r="H6" s="40" t="n">
        <f aca="false">SUM(C6:G6)</f>
        <v>2733.80214</v>
      </c>
    </row>
    <row r="7" customFormat="false" ht="15" hidden="false" customHeight="false" outlineLevel="0" collapsed="false">
      <c r="A7" s="37" t="s">
        <v>70</v>
      </c>
      <c r="B7" s="44" t="n">
        <f aca="false">IF($G$5=0,0,G7/$G$5)</f>
        <v>0.330207173778602</v>
      </c>
      <c r="C7" s="11" t="n">
        <f aca="false">店舗群別PL!C11+店舗群別PL!C33+店舗群別PL!C55+店舗群別PL!C77+店舗群別PL!C99</f>
        <v>133.089615</v>
      </c>
      <c r="D7" s="11" t="n">
        <f aca="false">店舗群別PL!D11+店舗群別PL!D33+店舗群別PL!D55+店舗群別PL!D77+店舗群別PL!D99</f>
        <v>307.08124775</v>
      </c>
      <c r="E7" s="11" t="n">
        <f aca="false">店舗群別PL!E11+店舗群別PL!E33+店舗群別PL!E55+店舗群別PL!E77+店舗群別PL!E99</f>
        <v>587.10522675</v>
      </c>
      <c r="F7" s="11" t="n">
        <f aca="false">店舗群別PL!F11+店舗群別PL!F33+店舗群別PL!F55+店舗群別PL!F77+店舗群別PL!F99</f>
        <v>865.71472675</v>
      </c>
      <c r="G7" s="11" t="n">
        <f aca="false">店舗群別PL!G11+店舗群別PL!G33+店舗群別PL!G55+店舗群別PL!G77+店舗群別PL!G99</f>
        <v>1144.32422675</v>
      </c>
      <c r="H7" s="40" t="n">
        <f aca="false">SUM(C7:G7)</f>
        <v>3037.315043</v>
      </c>
    </row>
    <row r="8" customFormat="false" ht="15" hidden="false" customHeight="false" outlineLevel="0" collapsed="false">
      <c r="A8" s="37" t="s">
        <v>72</v>
      </c>
      <c r="B8" s="44" t="n">
        <f aca="false">IF($G$5=0,0,G8/$G$5)</f>
        <v>0.0210414347557205</v>
      </c>
      <c r="C8" s="11" t="n">
        <f aca="false">店舗群別PL!C12+店舗群別PL!C34+店舗群別PL!C56+店舗群別PL!C78+店舗群別PL!C100</f>
        <v>9.258408</v>
      </c>
      <c r="D8" s="11" t="n">
        <f aca="false">店舗群別PL!D12+店舗群別PL!D34+店舗群別PL!D56+店舗群別PL!D78+店舗群別PL!D100</f>
        <v>20.8142728</v>
      </c>
      <c r="E8" s="11" t="n">
        <f aca="false">店舗群別PL!E12+店舗群別PL!E34+店舗群別PL!E56+店舗群別PL!E78+店舗群別PL!E100</f>
        <v>38.6281356</v>
      </c>
      <c r="F8" s="11" t="n">
        <f aca="false">店舗群別PL!F12+店舗群別PL!F34+店舗群別PL!F56+店舗群別PL!F78+店舗群別PL!F100</f>
        <v>55.7733356</v>
      </c>
      <c r="G8" s="11" t="n">
        <f aca="false">店舗群別PL!G12+店舗群別PL!G34+店舗群別PL!G56+店舗群別PL!G78+店舗群別PL!G100</f>
        <v>72.9185356</v>
      </c>
      <c r="H8" s="40" t="n">
        <f aca="false">SUM(C8:G8)</f>
        <v>197.3926876</v>
      </c>
    </row>
    <row r="9" customFormat="false" ht="15" hidden="false" customHeight="false" outlineLevel="0" collapsed="false">
      <c r="A9" s="39" t="s">
        <v>118</v>
      </c>
      <c r="B9" s="44" t="n">
        <f aca="false">IF($G$5=0,0,G9/$G$5)</f>
        <v>0.348751391465677</v>
      </c>
      <c r="C9" s="12" t="n">
        <f aca="false">店舗群別PL!C13+店舗群別PL!C35+店舗群別PL!C57+店舗群別PL!C79+店舗群別PL!C101</f>
        <v>127.688877</v>
      </c>
      <c r="D9" s="12" t="n">
        <f aca="false">店舗群別PL!D13+店舗群別PL!D35+店舗群別PL!D57+店舗群別PL!D79+店舗群別PL!D101</f>
        <v>303.69078445</v>
      </c>
      <c r="E9" s="12" t="n">
        <f aca="false">店舗群別PL!E13+店舗群別PL!E35+店舗群別PL!E57+店舗群別PL!E79+店舗群別PL!E101</f>
        <v>599.93412265</v>
      </c>
      <c r="F9" s="12" t="n">
        <f aca="false">店舗群別PL!F13+店舗群別PL!F35+店舗群別PL!F57+店舗群別PL!F79+店舗群別PL!F101</f>
        <v>904.26142265</v>
      </c>
      <c r="G9" s="12" t="n">
        <f aca="false">店舗群別PL!G13+店舗群別PL!G35+店舗群別PL!G57+店舗群別PL!G79+店舗群別PL!G101</f>
        <v>1208.58872265</v>
      </c>
      <c r="H9" s="40" t="n">
        <f aca="false">SUM(C9:G9)</f>
        <v>3144.1639294</v>
      </c>
    </row>
    <row r="10" customFormat="false" ht="15" hidden="false" customHeight="false" outlineLevel="0" collapsed="false">
      <c r="A10" s="37" t="s">
        <v>74</v>
      </c>
      <c r="B10" s="44" t="n">
        <f aca="false">IF($G$5=0,0,G10/$G$5)</f>
        <v>0.014</v>
      </c>
      <c r="C10" s="11" t="n">
        <f aca="false">店舗群別PL!C14+店舗群別PL!C36+店舗群別PL!C58+店舗群別PL!C80+店舗群別PL!C102</f>
        <v>5.400738</v>
      </c>
      <c r="D10" s="11" t="n">
        <f aca="false">店舗群別PL!D14+店舗群別PL!D36+店舗群別PL!D58+店舗群別PL!D80+店舗群別PL!D102</f>
        <v>12.6317261</v>
      </c>
      <c r="E10" s="11" t="n">
        <f aca="false">店舗群別PL!E14+店舗群別PL!E36+店舗群別PL!E58+店舗群別PL!E80+店舗群別PL!E102</f>
        <v>24.5133497</v>
      </c>
      <c r="F10" s="11" t="n">
        <f aca="false">店舗群別PL!F14+店舗群別PL!F36+店舗群別PL!F58+店舗群別PL!F80+店舗群別PL!F102</f>
        <v>36.5149897</v>
      </c>
      <c r="G10" s="11" t="n">
        <f aca="false">店舗群別PL!G14+店舗群別PL!G36+店舗群別PL!G58+店舗群別PL!G80+店舗群別PL!G102</f>
        <v>48.5166297</v>
      </c>
      <c r="H10" s="40" t="n">
        <f aca="false">SUM(C10:G10)</f>
        <v>127.5774332</v>
      </c>
    </row>
    <row r="11" customFormat="false" ht="15" hidden="false" customHeight="false" outlineLevel="0" collapsed="false">
      <c r="A11" s="37" t="s">
        <v>76</v>
      </c>
      <c r="B11" s="44" t="n">
        <f aca="false">IF($G$5=0,0,G11/$G$5)</f>
        <v>0.005</v>
      </c>
      <c r="C11" s="11" t="n">
        <f aca="false">店舗群別PL!C15+店舗群別PL!C37+店舗群別PL!C59+店舗群別PL!C81+店舗群別PL!C103</f>
        <v>1.928835</v>
      </c>
      <c r="D11" s="11" t="n">
        <f aca="false">店舗群別PL!D15+店舗群別PL!D37+店舗群別PL!D59+店舗群別PL!D81+店舗群別PL!D103</f>
        <v>4.51133075</v>
      </c>
      <c r="E11" s="11" t="n">
        <f aca="false">店舗群別PL!E15+店舗群別PL!E37+店舗群別PL!E59+店舗群別PL!E81+店舗群別PL!E103</f>
        <v>8.75476775</v>
      </c>
      <c r="F11" s="11" t="n">
        <f aca="false">店舗群別PL!F15+店舗群別PL!F37+店舗群別PL!F59+店舗群別PL!F81+店舗群別PL!F103</f>
        <v>13.04106775</v>
      </c>
      <c r="G11" s="11" t="n">
        <f aca="false">店舗群別PL!G15+店舗群別PL!G37+店舗群別PL!G59+店舗群別PL!G81+店舗群別PL!G103</f>
        <v>17.32736775</v>
      </c>
      <c r="H11" s="40" t="n">
        <f aca="false">SUM(C11:G11)</f>
        <v>45.563369</v>
      </c>
    </row>
    <row r="12" customFormat="false" ht="15" hidden="false" customHeight="false" outlineLevel="0" collapsed="false">
      <c r="A12" s="37" t="s">
        <v>77</v>
      </c>
      <c r="B12" s="44" t="n">
        <f aca="false">IF($G$5=0,0,G12/$G$5)</f>
        <v>0.0370414347557205</v>
      </c>
      <c r="C12" s="11" t="n">
        <f aca="false">店舗群別PL!C16+店舗群別PL!C38+店舗群別PL!C60+店舗群別PL!C82+店舗群別PL!C104</f>
        <v>15.43068</v>
      </c>
      <c r="D12" s="11" t="n">
        <f aca="false">店舗群別PL!D16+店舗群別PL!D38+店舗群別PL!D60+店舗群別PL!D82+店舗群別PL!D104</f>
        <v>35.2505312</v>
      </c>
      <c r="E12" s="11" t="n">
        <f aca="false">店舗群別PL!E16+店舗群別PL!E38+店舗群別PL!E60+店舗群別PL!E82+店舗群別PL!E104</f>
        <v>66.6433924</v>
      </c>
      <c r="F12" s="11" t="n">
        <f aca="false">店舗群別PL!F16+店舗群別PL!F38+店舗群別PL!F60+店舗群別PL!F82+店舗群別PL!F104</f>
        <v>97.5047524</v>
      </c>
      <c r="G12" s="11" t="n">
        <f aca="false">店舗群別PL!G16+店舗群別PL!G38+店舗群別PL!G60+店舗群別PL!G82+店舗群別PL!G104</f>
        <v>128.3661124</v>
      </c>
      <c r="H12" s="40" t="n">
        <f aca="false">SUM(C12:G12)</f>
        <v>343.1954684</v>
      </c>
    </row>
    <row r="13" customFormat="false" ht="15" hidden="false" customHeight="false" outlineLevel="0" collapsed="false">
      <c r="A13" s="41" t="s">
        <v>119</v>
      </c>
      <c r="B13" s="44" t="n">
        <f aca="false">IF($G$5=0,0,G13/$G$5)</f>
        <v>0.292709956709957</v>
      </c>
      <c r="C13" s="12" t="n">
        <f aca="false">店舗群別PL!C17+店舗群別PL!C39+店舗群別PL!C61+店舗群別PL!C83+店舗群別PL!C105</f>
        <v>104.928624</v>
      </c>
      <c r="D13" s="12" t="n">
        <f aca="false">店舗群別PL!D17+店舗群別PL!D39+店舗群別PL!D61+店舗群別PL!D83+店舗群別PL!D105</f>
        <v>251.2971964</v>
      </c>
      <c r="E13" s="12" t="n">
        <f aca="false">店舗群別PL!E17+店舗群別PL!E39+店舗群別PL!E61+店舗群別PL!E83+店舗群別PL!E105</f>
        <v>500.0226128</v>
      </c>
      <c r="F13" s="12" t="n">
        <f aca="false">店舗群別PL!F17+店舗群別PL!F39+店舗群別PL!F61+店舗群別PL!F83+店舗群別PL!F105</f>
        <v>757.2006128</v>
      </c>
      <c r="G13" s="12" t="n">
        <f aca="false">店舗群別PL!G17+店舗群別PL!G39+店舗群別PL!G61+店舗群別PL!G83+店舗群別PL!G105</f>
        <v>1014.3786128</v>
      </c>
      <c r="H13" s="40" t="n">
        <f aca="false">SUM(C13:G13)</f>
        <v>2627.8276588</v>
      </c>
    </row>
    <row r="14" customFormat="false" ht="15" hidden="false" customHeight="false" outlineLevel="0" collapsed="false">
      <c r="A14" s="37" t="s">
        <v>79</v>
      </c>
      <c r="B14" s="44" t="n">
        <f aca="false">IF($G$5=0,0,G14/$G$5)</f>
        <v>0.04</v>
      </c>
      <c r="C14" s="11" t="n">
        <f aca="false">店舗群別PL!C18+店舗群別PL!C40+店舗群別PL!C62+店舗群別PL!C84+店舗群別PL!C106</f>
        <v>15.43068</v>
      </c>
      <c r="D14" s="11" t="n">
        <f aca="false">店舗群別PL!D18+店舗群別PL!D40+店舗群別PL!D62+店舗群別PL!D84+店舗群別PL!D106</f>
        <v>36.090646</v>
      </c>
      <c r="E14" s="11" t="n">
        <f aca="false">店舗群別PL!E18+店舗群別PL!E40+店舗群別PL!E62+店舗群別PL!E84+店舗群別PL!E106</f>
        <v>70.038142</v>
      </c>
      <c r="F14" s="11" t="n">
        <f aca="false">店舗群別PL!F18+店舗群別PL!F40+店舗群別PL!F62+店舗群別PL!F84+店舗群別PL!F106</f>
        <v>104.328542</v>
      </c>
      <c r="G14" s="11" t="n">
        <f aca="false">店舗群別PL!G18+店舗群別PL!G40+店舗群別PL!G62+店舗群別PL!G84+店舗群別PL!G106</f>
        <v>138.618942</v>
      </c>
      <c r="H14" s="40" t="n">
        <f aca="false">SUM(C14:G14)</f>
        <v>364.506952</v>
      </c>
    </row>
    <row r="15" customFormat="false" ht="15" hidden="false" customHeight="false" outlineLevel="0" collapsed="false">
      <c r="A15" s="37" t="s">
        <v>81</v>
      </c>
      <c r="B15" s="44" t="n">
        <f aca="false">IF($G$5=0,0,G15/$G$5)</f>
        <v>0.007</v>
      </c>
      <c r="C15" s="11" t="n">
        <f aca="false">店舗群別PL!C19+店舗群別PL!C41+店舗群別PL!C63+店舗群別PL!C85+店舗群別PL!C107</f>
        <v>2.700369</v>
      </c>
      <c r="D15" s="11" t="n">
        <f aca="false">店舗群別PL!D19+店舗群別PL!D41+店舗群別PL!D63+店舗群別PL!D85+店舗群別PL!D107</f>
        <v>6.31586305</v>
      </c>
      <c r="E15" s="11" t="n">
        <f aca="false">店舗群別PL!E19+店舗群別PL!E41+店舗群別PL!E63+店舗群別PL!E85+店舗群別PL!E107</f>
        <v>12.25667485</v>
      </c>
      <c r="F15" s="11" t="n">
        <f aca="false">店舗群別PL!F19+店舗群別PL!F41+店舗群別PL!F63+店舗群別PL!F85+店舗群別PL!F107</f>
        <v>18.25749485</v>
      </c>
      <c r="G15" s="11" t="n">
        <f aca="false">店舗群別PL!G19+店舗群別PL!G41+店舗群別PL!G63+店舗群別PL!G85+店舗群別PL!G107</f>
        <v>24.25831485</v>
      </c>
      <c r="H15" s="40" t="n">
        <f aca="false">SUM(C15:G15)</f>
        <v>63.7887166</v>
      </c>
    </row>
    <row r="16" customFormat="false" ht="15" hidden="false" customHeight="false" outlineLevel="0" collapsed="false">
      <c r="A16" s="37" t="s">
        <v>120</v>
      </c>
      <c r="B16" s="44" t="n">
        <f aca="false">IF($G$5=0,0,G16/$G$5)</f>
        <v>0.0634199040416857</v>
      </c>
      <c r="C16" s="11" t="n">
        <f aca="false">店舗群別PL!C20+店舗群別PL!C42+店舗群別PL!C64+店舗群別PL!C86+店舗群別PL!C108</f>
        <v>26.64</v>
      </c>
      <c r="D16" s="11" t="n">
        <f aca="false">店舗群別PL!D20+店舗群別PL!D42+店舗群別PL!D64+店舗群別PL!D86+店舗群別PL!D108</f>
        <v>59.94</v>
      </c>
      <c r="E16" s="11" t="n">
        <f aca="false">店舗群別PL!E20+店舗群別PL!E42+店舗群別PL!E64+店舗群別PL!E86+店舗群別PL!E108</f>
        <v>113.22</v>
      </c>
      <c r="F16" s="11" t="n">
        <f aca="false">店舗群別PL!F20+店舗群別PL!F42+店舗群別PL!F64+店舗群別PL!F86+店舗群別PL!F108</f>
        <v>166.5</v>
      </c>
      <c r="G16" s="11" t="n">
        <f aca="false">店舗群別PL!G20+店舗群別PL!G42+店舗群別PL!G64+店舗群別PL!G86+店舗群別PL!G108</f>
        <v>219.78</v>
      </c>
      <c r="H16" s="40" t="n">
        <f aca="false">SUM(C16:G16)</f>
        <v>586.08</v>
      </c>
    </row>
    <row r="17" customFormat="false" ht="15" hidden="false" customHeight="false" outlineLevel="0" collapsed="false">
      <c r="A17" s="37" t="s">
        <v>121</v>
      </c>
      <c r="B17" s="44" t="n">
        <f aca="false">IF($G$5=0,0,G17/$G$5)</f>
        <v>0.0147742141907273</v>
      </c>
      <c r="C17" s="11" t="n">
        <f aca="false">店舗群別PL!C21+店舗群別PL!C43+店舗群別PL!C65+店舗群別PL!C87+店舗群別PL!C109</f>
        <v>3.80569</v>
      </c>
      <c r="D17" s="11" t="n">
        <f aca="false">店舗群別PL!D21+店舗群別PL!D43+店舗群別PL!D65+店舗群別PL!D87+店舗群別PL!D109</f>
        <v>10.9631305</v>
      </c>
      <c r="E17" s="11" t="n">
        <f aca="false">店舗群別PL!E21+店舗群別PL!E43+店舗群別PL!E65+店舗群別PL!E87+店舗群別PL!E109</f>
        <v>23.9752485</v>
      </c>
      <c r="F17" s="11" t="n">
        <f aca="false">店舗群別PL!F21+店舗群別PL!F43+店舗群別PL!F65+店舗群別PL!F87+店舗群別PL!F109</f>
        <v>37.5874485</v>
      </c>
      <c r="G17" s="11" t="n">
        <f aca="false">店舗群別PL!G21+店舗群別PL!G43+店舗群別PL!G65+店舗群別PL!G87+店舗群別PL!G109</f>
        <v>51.1996485</v>
      </c>
      <c r="H17" s="40" t="n">
        <f aca="false">SUM(C17:G17)</f>
        <v>127.531166</v>
      </c>
    </row>
    <row r="18" customFormat="false" ht="15" hidden="false" customHeight="false" outlineLevel="0" collapsed="false">
      <c r="A18" s="37" t="s">
        <v>122</v>
      </c>
      <c r="B18" s="44" t="n">
        <f aca="false">IF($G$5=0,0,G18/$G$5)</f>
        <v>0.025</v>
      </c>
      <c r="C18" s="11" t="n">
        <f aca="false">店舗群別PL!C22+店舗群別PL!C44+店舗群別PL!C66+店舗群別PL!C88+店舗群別PL!C110</f>
        <v>9.644175</v>
      </c>
      <c r="D18" s="11" t="n">
        <f aca="false">店舗群別PL!D22+店舗群別PL!D44+店舗群別PL!D66+店舗群別PL!D88+店舗群別PL!D110</f>
        <v>22.55665375</v>
      </c>
      <c r="E18" s="11" t="n">
        <f aca="false">店舗群別PL!E22+店舗群別PL!E44+店舗群別PL!E66+店舗群別PL!E88+店舗群別PL!E110</f>
        <v>43.77383875</v>
      </c>
      <c r="F18" s="11" t="n">
        <f aca="false">店舗群別PL!F22+店舗群別PL!F44+店舗群別PL!F66+店舗群別PL!F88+店舗群別PL!F110</f>
        <v>65.20533875</v>
      </c>
      <c r="G18" s="11" t="n">
        <f aca="false">店舗群別PL!G22+店舗群別PL!G44+店舗群別PL!G66+店舗群別PL!G88+店舗群別PL!G110</f>
        <v>86.63683875</v>
      </c>
      <c r="H18" s="40" t="n">
        <f aca="false">SUM(C18:G18)</f>
        <v>227.816845</v>
      </c>
    </row>
    <row r="19" customFormat="false" ht="15" hidden="false" customHeight="false" outlineLevel="0" collapsed="false">
      <c r="A19" s="13" t="s">
        <v>133</v>
      </c>
      <c r="B19" s="44" t="n">
        <f aca="false">IF($G$5=0,0,G19/$G$5)</f>
        <v>0.142515838477544</v>
      </c>
      <c r="C19" s="12" t="n">
        <f aca="false">店舗群別PL!C23+店舗群別PL!C45+店舗群別PL!C67+店舗群別PL!C89+店舗群別PL!C111</f>
        <v>46.70771</v>
      </c>
      <c r="D19" s="12" t="n">
        <f aca="false">店舗群別PL!D23+店舗群別PL!D45+店舗群別PL!D67+店舗群別PL!D89+店舗群別PL!D111</f>
        <v>115.4309031</v>
      </c>
      <c r="E19" s="12" t="n">
        <f aca="false">店舗群別PL!E23+店舗群別PL!E45+店舗群別PL!E67+店舗群別PL!E89+店舗群別PL!E111</f>
        <v>236.7587087</v>
      </c>
      <c r="F19" s="12" t="n">
        <f aca="false">店舗群別PL!F23+店舗群別PL!F45+店舗群別PL!F67+店舗群別PL!F89+店舗群別PL!F111</f>
        <v>365.3217887</v>
      </c>
      <c r="G19" s="12" t="n">
        <f aca="false">店舗群別PL!G23+店舗群別PL!G45+店舗群別PL!G67+店舗群別PL!G89+店舗群別PL!G111</f>
        <v>493.8848687</v>
      </c>
      <c r="H19" s="40" t="n">
        <f aca="false">SUM(C19:G19)</f>
        <v>1258.1039792</v>
      </c>
    </row>
    <row r="20" customFormat="false" ht="15" hidden="false" customHeight="false" outlineLevel="0" collapsed="false">
      <c r="A20" s="9" t="s">
        <v>23</v>
      </c>
      <c r="B20" s="44" t="n">
        <f aca="false">IF($G$5=0,0,G20/$G$5)</f>
        <v>0.0158708468572787</v>
      </c>
      <c r="C20" s="11" t="n">
        <f aca="false">前提条件!B51</f>
        <v>15</v>
      </c>
      <c r="D20" s="11" t="n">
        <f aca="false">前提条件!C51</f>
        <v>28</v>
      </c>
      <c r="E20" s="11" t="n">
        <f aca="false">前提条件!D51</f>
        <v>40</v>
      </c>
      <c r="F20" s="11" t="n">
        <f aca="false">前提条件!E51</f>
        <v>48</v>
      </c>
      <c r="G20" s="11" t="n">
        <f aca="false">前提条件!F51</f>
        <v>55</v>
      </c>
      <c r="H20" s="40" t="n">
        <f aca="false">SUM(C20:G20)</f>
        <v>186</v>
      </c>
    </row>
    <row r="21" customFormat="false" ht="15" hidden="false" customHeight="false" outlineLevel="0" collapsed="false">
      <c r="A21" s="13" t="s">
        <v>24</v>
      </c>
      <c r="B21" s="44" t="n">
        <f aca="false">IF($G$5=0,0,G21/$G$5)</f>
        <v>0.126644991620265</v>
      </c>
      <c r="C21" s="46" t="n">
        <f aca="false">C19-C20</f>
        <v>31.70771</v>
      </c>
      <c r="D21" s="46" t="n">
        <f aca="false">D19-D20</f>
        <v>87.4309031</v>
      </c>
      <c r="E21" s="46" t="n">
        <f aca="false">E19-E20</f>
        <v>196.7587087</v>
      </c>
      <c r="F21" s="46" t="n">
        <f aca="false">F19-F20</f>
        <v>317.3217887</v>
      </c>
      <c r="G21" s="46" t="n">
        <f aca="false">G19-G20</f>
        <v>438.8848687</v>
      </c>
      <c r="H21" s="40" t="n">
        <f aca="false">SUM(C21:G21)</f>
        <v>1072.1039792</v>
      </c>
    </row>
    <row r="22" customFormat="false" ht="15" hidden="false" customHeight="false" outlineLevel="0" collapsed="false">
      <c r="A22" s="13" t="s">
        <v>25</v>
      </c>
      <c r="C22" s="47" t="n">
        <f aca="false">IF(C5=0,0,C21/C5)</f>
        <v>0.0821939409021509</v>
      </c>
      <c r="D22" s="47" t="n">
        <f aca="false">IF(D5=0,0,D21/D5)</f>
        <v>0.0969014554075867</v>
      </c>
      <c r="E22" s="47" t="n">
        <f aca="false">IF(E5=0,0,E21/E5)</f>
        <v>0.112372317757944</v>
      </c>
      <c r="F22" s="47" t="n">
        <f aca="false">IF(F5=0,0,F21/F5)</f>
        <v>0.121662502941908</v>
      </c>
      <c r="G22" s="47" t="n">
        <f aca="false">IF(G5=0,0,G21/G5)</f>
        <v>0.126644991620265</v>
      </c>
      <c r="H22" s="27" t="n">
        <f aca="false">H21/H5</f>
        <v>0.117649770279279</v>
      </c>
    </row>
    <row r="23" customFormat="false" ht="15" hidden="false" customHeight="false" outlineLevel="0" collapsed="false">
      <c r="A23" s="9" t="s">
        <v>26</v>
      </c>
      <c r="B23" s="44" t="n">
        <f aca="false">IF($G$5=0,0,G23/$G$5)</f>
        <v>0.0488190856340543</v>
      </c>
      <c r="C23" s="11" t="n">
        <f aca="false">店舗群別PL!C24+店舗群別PL!C46+店舗群別PL!C68+店舗群別PL!C90+店舗群別PL!C112</f>
        <v>20.825</v>
      </c>
      <c r="D23" s="11" t="n">
        <f aca="false">店舗群別PL!D24+店舗群別PL!D46+店舗群別PL!D68+店舗群別PL!D90+店舗群別PL!D112</f>
        <v>46.85625</v>
      </c>
      <c r="E23" s="11" t="n">
        <f aca="false">店舗群別PL!E24+店舗群別PL!E46+店舗群別PL!E68+店舗群別PL!E90+店舗群別PL!E112</f>
        <v>87.88125</v>
      </c>
      <c r="F23" s="11" t="n">
        <f aca="false">店舗群別PL!F24+店舗群別PL!F46+店舗群別PL!F68+店舗群別PL!F90+店舗群別PL!F112</f>
        <v>128.53125</v>
      </c>
      <c r="G23" s="11" t="n">
        <f aca="false">店舗群別PL!G24+店舗群別PL!G46+店舗群別PL!G68+店舗群別PL!G90+店舗群別PL!G112</f>
        <v>169.18125</v>
      </c>
      <c r="H23" s="40" t="n">
        <f aca="false">SUM(C23:G23)</f>
        <v>453.275</v>
      </c>
    </row>
    <row r="24" customFormat="false" ht="15" hidden="false" customHeight="false" outlineLevel="0" collapsed="false">
      <c r="A24" s="13" t="s">
        <v>27</v>
      </c>
      <c r="B24" s="44" t="n">
        <f aca="false">IF($G$5=0,0,G24/$G$5)</f>
        <v>0.0778259059862107</v>
      </c>
      <c r="C24" s="46" t="n">
        <f aca="false">C21-C23</f>
        <v>10.88271</v>
      </c>
      <c r="D24" s="46" t="n">
        <f aca="false">D21-D23</f>
        <v>40.5746531</v>
      </c>
      <c r="E24" s="46" t="n">
        <f aca="false">E21-E23</f>
        <v>108.8774587</v>
      </c>
      <c r="F24" s="46" t="n">
        <f aca="false">F21-F23</f>
        <v>188.7905387</v>
      </c>
      <c r="G24" s="46" t="n">
        <f aca="false">G21-G23</f>
        <v>269.7036187</v>
      </c>
      <c r="H24" s="40" t="n">
        <f aca="false">SUM(C24:G24)</f>
        <v>618.8289792</v>
      </c>
    </row>
    <row r="25" customFormat="false" ht="15" hidden="false" customHeight="false" outlineLevel="0" collapsed="false">
      <c r="A25" s="13" t="s">
        <v>28</v>
      </c>
      <c r="C25" s="47" t="n">
        <f aca="false">IF(C5=0,0,C24/C5)</f>
        <v>0.0282105778876888</v>
      </c>
      <c r="D25" s="47" t="n">
        <f aca="false">IF(D5=0,0,D24/D5)</f>
        <v>0.0449697166407052</v>
      </c>
      <c r="E25" s="47" t="n">
        <f aca="false">IF(E5=0,0,E24/E5)</f>
        <v>0.0621818087064616</v>
      </c>
      <c r="F25" s="47" t="n">
        <f aca="false">IF(F5=0,0,F24/F5)</f>
        <v>0.0723830833176984</v>
      </c>
      <c r="G25" s="47" t="n">
        <f aca="false">IF(G5=0,0,G24/G5)</f>
        <v>0.0778259059862107</v>
      </c>
      <c r="H25" s="27" t="n">
        <f aca="false">H24/H5</f>
        <v>0.0679086064948358</v>
      </c>
    </row>
    <row r="27" customFormat="false" ht="15" hidden="false" customHeight="false" outlineLevel="0" collapsed="false">
      <c r="A27" s="6" t="s">
        <v>134</v>
      </c>
    </row>
    <row r="28" customFormat="false" ht="15" hidden="false" customHeight="false" outlineLevel="0" collapsed="false">
      <c r="A28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3" style="0" width="14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15" hidden="false" customHeight="false" outlineLevel="0" collapsed="false">
      <c r="A1" s="1" t="s">
        <v>136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7" t="s">
        <v>18</v>
      </c>
      <c r="C3" s="8" t="s">
        <v>3</v>
      </c>
      <c r="D3" s="8" t="s">
        <v>6</v>
      </c>
      <c r="E3" s="8" t="s">
        <v>9</v>
      </c>
      <c r="F3" s="8" t="s">
        <v>12</v>
      </c>
      <c r="G3" s="8" t="s">
        <v>15</v>
      </c>
      <c r="H3" s="8" t="s">
        <v>19</v>
      </c>
    </row>
    <row r="4" customFormat="false" ht="15" hidden="false" customHeight="false" outlineLevel="0" collapsed="false">
      <c r="A4" s="9" t="s">
        <v>35</v>
      </c>
      <c r="C4" s="10" t="n">
        <f aca="false">前提条件!B49</f>
        <v>1</v>
      </c>
      <c r="D4" s="10" t="n">
        <f aca="false">前提条件!C49</f>
        <v>2</v>
      </c>
      <c r="E4" s="10" t="n">
        <f aca="false">前提条件!D49</f>
        <v>2</v>
      </c>
      <c r="F4" s="10" t="n">
        <f aca="false">前提条件!E49</f>
        <v>2</v>
      </c>
      <c r="G4" s="10" t="n">
        <f aca="false">前提条件!F49</f>
        <v>2</v>
      </c>
      <c r="H4" s="48" t="n">
        <f aca="false">SUM(C4:G4)</f>
        <v>9</v>
      </c>
    </row>
    <row r="5" customFormat="false" ht="15" hidden="false" customHeight="false" outlineLevel="0" collapsed="false">
      <c r="A5" s="9" t="s">
        <v>20</v>
      </c>
      <c r="C5" s="10" t="n">
        <f aca="false">前提条件!B50</f>
        <v>1</v>
      </c>
      <c r="D5" s="10" t="n">
        <f aca="false">前提条件!C50</f>
        <v>3</v>
      </c>
      <c r="E5" s="10" t="n">
        <f aca="false">前提条件!D50</f>
        <v>5</v>
      </c>
      <c r="F5" s="10" t="n">
        <f aca="false">前提条件!E50</f>
        <v>7</v>
      </c>
      <c r="G5" s="10" t="n">
        <f aca="false">前提条件!F50</f>
        <v>9</v>
      </c>
    </row>
    <row r="6" customFormat="false" ht="15" hidden="false" customHeight="false" outlineLevel="0" collapsed="false">
      <c r="A6" s="9" t="s">
        <v>138</v>
      </c>
      <c r="C6" s="38" t="n">
        <f aca="false">-C4*前提条件!$B$37</f>
        <v>-297.25</v>
      </c>
      <c r="D6" s="38" t="n">
        <f aca="false">-D4*前提条件!$C$37</f>
        <v>-514.5</v>
      </c>
      <c r="E6" s="38" t="n">
        <f aca="false">-E4*前提条件!$D$37</f>
        <v>-504.5</v>
      </c>
      <c r="F6" s="38" t="n">
        <f aca="false">-F4*前提条件!$D$37</f>
        <v>-504.5</v>
      </c>
      <c r="G6" s="38" t="n">
        <f aca="false">-G4*前提条件!$D$37</f>
        <v>-504.5</v>
      </c>
      <c r="H6" s="40" t="n">
        <f aca="false">SUM(C6:G6)</f>
        <v>-2325.25</v>
      </c>
    </row>
    <row r="7" customFormat="false" ht="15" hidden="false" customHeight="false" outlineLevel="0" collapsed="false">
      <c r="A7" s="9" t="s">
        <v>139</v>
      </c>
      <c r="C7" s="38" t="n">
        <f aca="false">C4*前提条件!$B$43</f>
        <v>138.9</v>
      </c>
      <c r="D7" s="38" t="n">
        <f aca="false">D4*前提条件!$B$43</f>
        <v>277.8</v>
      </c>
      <c r="E7" s="38" t="n">
        <f aca="false">E4*前提条件!$B$43</f>
        <v>277.8</v>
      </c>
      <c r="F7" s="38" t="n">
        <f aca="false">F4*前提条件!$B$43</f>
        <v>277.8</v>
      </c>
      <c r="G7" s="38" t="n">
        <f aca="false">G4*前提条件!$B$43</f>
        <v>277.8</v>
      </c>
      <c r="H7" s="40" t="n">
        <f aca="false">SUM(C7:G7)</f>
        <v>1250.1</v>
      </c>
    </row>
    <row r="8" customFormat="false" ht="15" hidden="false" customHeight="false" outlineLevel="0" collapsed="false">
      <c r="A8" s="13" t="s">
        <v>140</v>
      </c>
      <c r="C8" s="40" t="n">
        <f aca="false">C6+C7</f>
        <v>-158.35</v>
      </c>
      <c r="D8" s="40" t="n">
        <f aca="false">D6+D7</f>
        <v>-236.7</v>
      </c>
      <c r="E8" s="40" t="n">
        <f aca="false">E6+E7</f>
        <v>-226.7</v>
      </c>
      <c r="F8" s="40" t="n">
        <f aca="false">F6+F7</f>
        <v>-226.7</v>
      </c>
      <c r="G8" s="40" t="n">
        <f aca="false">G6+G7</f>
        <v>-226.7</v>
      </c>
      <c r="H8" s="40" t="n">
        <f aca="false">SUM(C8:G8)</f>
        <v>-1075.15</v>
      </c>
    </row>
    <row r="9" customFormat="false" ht="15" hidden="false" customHeight="false" outlineLevel="0" collapsed="false">
      <c r="A9" s="9" t="s">
        <v>141</v>
      </c>
      <c r="C9" s="38" t="n">
        <f aca="false">-(IF(店舗群別PL!C8=0,0,前提条件!$B$45*店舗群別PL!$B$6*IF(店舗群別PL!C8=1,店舗群別PL!$B$7/12,1))+IF(店舗群別PL!C30=0,0,前提条件!$B$45*店舗群別PL!$B$28*IF(店舗群別PL!C30=1,店舗群別PL!$B$29/12,1))+IF(店舗群別PL!C52=0,0,前提条件!$B$45*店舗群別PL!$B$50*IF(店舗群別PL!C52=1,店舗群別PL!$B$51/12,1))+IF(店舗群別PL!C74=0,0,前提条件!$B$45*店舗群別PL!$B$72*IF(店舗群別PL!C74=1,店舗群別PL!$B$73/12,1))+IF(店舗群別PL!C96=0,0,前提条件!$B$45*店舗群別PL!$B$94*IF(店舗群別PL!C96=1,店舗群別PL!$B$95/12,1)))</f>
        <v>-15.6</v>
      </c>
      <c r="D9" s="38" t="n">
        <f aca="false">-(IF(店舗群別PL!D8=0,0,前提条件!$B$45*店舗群別PL!$B$6*IF(店舗群別PL!D8=1,店舗群別PL!$B$7/12,1))+IF(店舗群別PL!D30=0,0,前提条件!$B$45*店舗群別PL!$B$28*IF(店舗群別PL!D30=1,店舗群別PL!$B$29/12,1))+IF(店舗群別PL!D52=0,0,前提条件!$B$45*店舗群別PL!$B$50*IF(店舗群別PL!D52=1,店舗群別PL!$B$51/12,1))+IF(店舗群別PL!D74=0,0,前提条件!$B$45*店舗群別PL!$B$72*IF(店舗群別PL!D74=1,店舗群別PL!$B$73/12,1))+IF(店舗群別PL!D96=0,0,前提条件!$B$45*店舗群別PL!$B$94*IF(店舗群別PL!D96=1,店舗群別PL!$B$95/12,1)))</f>
        <v>-35.1</v>
      </c>
      <c r="E9" s="38" t="n">
        <f aca="false">-(IF(店舗群別PL!E8=0,0,前提条件!$B$45*店舗群別PL!$B$6*IF(店舗群別PL!E8=1,店舗群別PL!$B$7/12,1))+IF(店舗群別PL!E30=0,0,前提条件!$B$45*店舗群別PL!$B$28*IF(店舗群別PL!E30=1,店舗群別PL!$B$29/12,1))+IF(店舗群別PL!E52=0,0,前提条件!$B$45*店舗群別PL!$B$50*IF(店舗群別PL!E52=1,店舗群別PL!$B$51/12,1))+IF(店舗群別PL!E74=0,0,前提条件!$B$45*店舗群別PL!$B$72*IF(店舗群別PL!E74=1,店舗群別PL!$B$73/12,1))+IF(店舗群別PL!E96=0,0,前提条件!$B$45*店舗群別PL!$B$94*IF(店舗群別PL!E96=1,店舗群別PL!$B$95/12,1)))</f>
        <v>-66.3</v>
      </c>
      <c r="F9" s="38" t="n">
        <f aca="false">-(IF(店舗群別PL!F8=0,0,前提条件!$B$45*店舗群別PL!$B$6*IF(店舗群別PL!F8=1,店舗群別PL!$B$7/12,1))+IF(店舗群別PL!F30=0,0,前提条件!$B$45*店舗群別PL!$B$28*IF(店舗群別PL!F30=1,店舗群別PL!$B$29/12,1))+IF(店舗群別PL!F52=0,0,前提条件!$B$45*店舗群別PL!$B$50*IF(店舗群別PL!F52=1,店舗群別PL!$B$51/12,1))+IF(店舗群別PL!F74=0,0,前提条件!$B$45*店舗群別PL!$B$72*IF(店舗群別PL!F74=1,店舗群別PL!$B$73/12,1))+IF(店舗群別PL!F96=0,0,前提条件!$B$45*店舗群別PL!$B$94*IF(店舗群別PL!F96=1,店舗群別PL!$B$95/12,1)))</f>
        <v>-97.5</v>
      </c>
      <c r="G9" s="38" t="n">
        <f aca="false">-(IF(店舗群別PL!G8=0,0,前提条件!$B$45*店舗群別PL!$B$6*IF(店舗群別PL!G8=1,店舗群別PL!$B$7/12,1))+IF(店舗群別PL!G30=0,0,前提条件!$B$45*店舗群別PL!$B$28*IF(店舗群別PL!G30=1,店舗群別PL!$B$29/12,1))+IF(店舗群別PL!G52=0,0,前提条件!$B$45*店舗群別PL!$B$50*IF(店舗群別PL!G52=1,店舗群別PL!$B$51/12,1))+IF(店舗群別PL!G74=0,0,前提条件!$B$45*店舗群別PL!$B$72*IF(店舗群別PL!G74=1,店舗群別PL!$B$73/12,1))+IF(店舗群別PL!G96=0,0,前提条件!$B$45*店舗群別PL!$B$94*IF(店舗群別PL!G96=1,店舗群別PL!$B$95/12,1)))</f>
        <v>-128.7</v>
      </c>
      <c r="H9" s="40" t="n">
        <f aca="false">SUM(C9:G9)</f>
        <v>-343.2</v>
      </c>
    </row>
    <row r="10" customFormat="false" ht="15" hidden="false" customHeight="false" outlineLevel="0" collapsed="false">
      <c r="A10" s="13" t="s">
        <v>142</v>
      </c>
      <c r="C10" s="40" t="n">
        <f aca="false">C8+C9</f>
        <v>-173.95</v>
      </c>
      <c r="D10" s="40" t="n">
        <f aca="false">D8+D9</f>
        <v>-271.8</v>
      </c>
      <c r="E10" s="40" t="n">
        <f aca="false">E8+E9</f>
        <v>-293</v>
      </c>
      <c r="F10" s="40" t="n">
        <f aca="false">F8+F9</f>
        <v>-324.2</v>
      </c>
      <c r="G10" s="40" t="n">
        <f aca="false">G8+G9</f>
        <v>-355.4</v>
      </c>
      <c r="H10" s="40" t="n">
        <f aca="false">SUM(C10:G10)</f>
        <v>-1418.35</v>
      </c>
    </row>
    <row r="11" customFormat="false" ht="15" hidden="false" customHeight="false" outlineLevel="0" collapsed="false">
      <c r="A11" s="13" t="s">
        <v>24</v>
      </c>
      <c r="C11" s="45" t="n">
        <f aca="false">連結PL!C21</f>
        <v>31.70771</v>
      </c>
      <c r="D11" s="45" t="n">
        <f aca="false">連結PL!D21</f>
        <v>87.4309031</v>
      </c>
      <c r="E11" s="45" t="n">
        <f aca="false">連結PL!E21</f>
        <v>196.7587087</v>
      </c>
      <c r="F11" s="45" t="n">
        <f aca="false">連結PL!F21</f>
        <v>317.3217887</v>
      </c>
      <c r="G11" s="45" t="n">
        <f aca="false">連結PL!G21</f>
        <v>438.8848687</v>
      </c>
      <c r="H11" s="40" t="n">
        <f aca="false">SUM(C11:G11)</f>
        <v>1072.1039792</v>
      </c>
    </row>
    <row r="12" customFormat="false" ht="15" hidden="false" customHeight="false" outlineLevel="0" collapsed="false">
      <c r="A12" s="9" t="s">
        <v>143</v>
      </c>
      <c r="C12" s="38" t="n">
        <f aca="false">-MAX(0,連結PL!C24)*$B$17</f>
        <v>-3.26481300000001</v>
      </c>
      <c r="D12" s="38" t="n">
        <f aca="false">-MAX(0,連結PL!D24)*$B$17</f>
        <v>-12.17239593</v>
      </c>
      <c r="E12" s="38" t="n">
        <f aca="false">-MAX(0,連結PL!E24)*$B$17</f>
        <v>-32.66323761</v>
      </c>
      <c r="F12" s="38" t="n">
        <f aca="false">-MAX(0,連結PL!F24)*$B$17</f>
        <v>-56.63716161</v>
      </c>
      <c r="G12" s="38" t="n">
        <f aca="false">-MAX(0,連結PL!G24)*$B$17</f>
        <v>-80.9110856099999</v>
      </c>
      <c r="H12" s="40" t="n">
        <f aca="false">SUM(C12:G12)</f>
        <v>-185.64869376</v>
      </c>
    </row>
    <row r="13" customFormat="false" ht="15" hidden="false" customHeight="false" outlineLevel="0" collapsed="false">
      <c r="A13" s="13" t="s">
        <v>144</v>
      </c>
      <c r="C13" s="46" t="n">
        <f aca="false">C11+C12+C10</f>
        <v>-145.507103</v>
      </c>
      <c r="D13" s="46" t="n">
        <f aca="false">D11+D12+D10</f>
        <v>-196.54149283</v>
      </c>
      <c r="E13" s="46" t="n">
        <f aca="false">E11+E12+E10</f>
        <v>-128.90452891</v>
      </c>
      <c r="F13" s="46" t="n">
        <f aca="false">F11+F12+F10</f>
        <v>-63.5153729100001</v>
      </c>
      <c r="G13" s="46" t="n">
        <f aca="false">G11+G12+G10</f>
        <v>2.57378308999989</v>
      </c>
      <c r="H13" s="40" t="n">
        <f aca="false">SUM(C13:G13)</f>
        <v>-531.89471456</v>
      </c>
    </row>
    <row r="14" customFormat="false" ht="15" hidden="false" customHeight="false" outlineLevel="0" collapsed="false">
      <c r="A14" s="13" t="s">
        <v>145</v>
      </c>
      <c r="C14" s="46" t="n">
        <f aca="false">C13</f>
        <v>-145.507103</v>
      </c>
      <c r="D14" s="46" t="n">
        <f aca="false">C14+D13</f>
        <v>-342.04859583</v>
      </c>
      <c r="E14" s="46" t="n">
        <f aca="false">D14+E13</f>
        <v>-470.95312474</v>
      </c>
      <c r="F14" s="46" t="n">
        <f aca="false">E14+F13</f>
        <v>-534.46849765</v>
      </c>
      <c r="G14" s="46" t="n">
        <f aca="false">F14+G13</f>
        <v>-531.89471456</v>
      </c>
    </row>
    <row r="16" customFormat="false" ht="15" hidden="false" customHeight="false" outlineLevel="0" collapsed="false">
      <c r="A16" s="3" t="s">
        <v>146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9" t="s">
        <v>147</v>
      </c>
      <c r="B17" s="23" t="n">
        <v>0.3</v>
      </c>
      <c r="J17" s="2" t="s">
        <v>148</v>
      </c>
    </row>
    <row r="18" customFormat="false" ht="15" hidden="false" customHeight="false" outlineLevel="0" collapsed="false">
      <c r="A18" s="9" t="s">
        <v>149</v>
      </c>
      <c r="B18" s="49" t="n">
        <f aca="false">-MIN(C14:G14)</f>
        <v>534.46849765</v>
      </c>
      <c r="J18" s="2" t="s">
        <v>150</v>
      </c>
    </row>
    <row r="19" customFormat="false" ht="15" hidden="false" customHeight="false" outlineLevel="0" collapsed="false">
      <c r="A19" s="9" t="s">
        <v>151</v>
      </c>
      <c r="B19" s="22" t="n">
        <v>200</v>
      </c>
      <c r="J19" s="2" t="s">
        <v>152</v>
      </c>
    </row>
    <row r="20" customFormat="false" ht="15" hidden="false" customHeight="false" outlineLevel="0" collapsed="false">
      <c r="A20" s="9" t="s">
        <v>153</v>
      </c>
      <c r="B20" s="22" t="n">
        <v>150</v>
      </c>
      <c r="J20" s="24" t="s">
        <v>154</v>
      </c>
    </row>
    <row r="21" customFormat="false" ht="15" hidden="false" customHeight="false" outlineLevel="0" collapsed="false">
      <c r="A21" s="13" t="s">
        <v>155</v>
      </c>
      <c r="B21" s="29" t="n">
        <f aca="false">B19+B20</f>
        <v>350</v>
      </c>
      <c r="J21" s="2"/>
    </row>
    <row r="22" customFormat="false" ht="15" hidden="false" customHeight="false" outlineLevel="0" collapsed="false">
      <c r="A22" s="13" t="s">
        <v>40</v>
      </c>
      <c r="B22" s="28" t="n">
        <f aca="false">B21-B18</f>
        <v>-184.46849765</v>
      </c>
      <c r="J22" s="2" t="s">
        <v>156</v>
      </c>
    </row>
    <row r="24" customFormat="false" ht="15" hidden="false" customHeight="false" outlineLevel="0" collapsed="false">
      <c r="A24" s="2" t="s">
        <v>157</v>
      </c>
    </row>
    <row r="25" customFormat="false" ht="15" hidden="false" customHeight="false" outlineLevel="0" collapsed="false">
      <c r="A25" s="3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2026-10-07T05:29:49Z</dcterms:created>
  <dc:creator>openpyxl</dc:creator>
  <dc:description/>
  <dc:language>en-US</dc:language>
  <cp:lastModifiedBy/>
  <dcterms:modified xsi:type="dcterms:W3CDTF">2026-10-07T05:29:49Z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