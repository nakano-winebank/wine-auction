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店舗群別PL" sheetId="5" state="visible" r:id="rId7"/>
    <sheet name="連結PL" sheetId="6" state="visible" r:id="rId8"/>
    <sheet name="投資・CF" sheetId="7" state="visible" r:id="rId9"/>
    <sheet name="感応度分析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<sst xmlns="http://schemas.openxmlformats.org/spreadsheetml/2006/main" count="529" uniqueCount="311">
  <si>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事業収支 統合モデル（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</si>
  <si>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sz val="9"/>
        <color rgb="FF7F7F7F"/>
        <rFont val="WenQuanYi Zen Hei"/>
        <family val="2"/>
      </rPr>
      <t xml:space="preserve">単位：百万円。「売上前提」の席数・席効率・回転率・客単価を変えると、単店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から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か年連結・資金計画まで一気に再計算されます。</t>
    </r>
  </si>
  <si>
    <t xml:space="preserve">■ よく変える前提（編集は「売上前提」シートで）</t>
  </si>
  <si>
    <t xml:space="preserve">総席数（店内＋テラス）</t>
  </si>
  <si>
    <t xml:space="preserve">　店内</t>
  </si>
  <si>
    <t xml:space="preserve">　テラス</t>
  </si>
  <si>
    <t xml:space="preserve">店内 席効率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</si>
  <si>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</si>
  <si>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</si>
  <si>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</si>
  <si>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ディナー（店内）</t>
  </si>
  <si>
    <t xml:space="preserve">客単価 ディナー（テラス）</t>
  </si>
  <si>
    <t xml:space="preserve">営業日数（日／年）</t>
  </si>
  <si>
    <t xml:space="preserve">標準店 満年度 年商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</si>
  <si>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号店）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</si>
  <si>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</si>
  <si>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</si>
  <si>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</si>
  <si>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</si>
  <si>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</si>
  <si>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</si>
  <si>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</si>
  <si>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</si>
  <si>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減価償却費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</si>
  <si>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</si>
  <si>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</si>
  <si>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</si>
  <si>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r>
      <rPr>
        <b val="true"/>
        <sz val="10"/>
        <color rgb="FF000000"/>
        <rFont val="Meiryo"/>
        <family val="0"/>
        <charset val="1"/>
      </rPr>
      <t xml:space="preserve">■ 5</t>
    </r>
    <r>
      <rPr>
        <b val="true"/>
        <sz val="10"/>
        <color rgb="FF000000"/>
        <rFont val="WenQuanYi Zen Hei"/>
        <family val="2"/>
      </rPr>
      <t xml:space="preserve">か年連結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</si>
  <si>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</si>
  <si>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</si>
  <si>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</si>
  <si>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</si>
  <si>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</si>
  <si>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</si>
  <si>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t xml:space="preserve">期末店舗数（店）</t>
  </si>
  <si>
    <r>
      <rPr>
        <b val="true"/>
        <sz val="10"/>
        <color rgb="FF000000"/>
        <rFont val="WenQuanYi Zen Hei"/>
        <family val="2"/>
      </rPr>
      <t xml:space="preserve">連結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</si>
  <si>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■ 目標到達時期（自動判定）</t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</si>
  <si>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率 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</si>
  <si>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FY2028</t>
    </r>
  </si>
  <si>
    <r>
      <rPr>
        <sz val="10"/>
        <color rgb="FF000000"/>
        <rFont val="WenQuanYi Zen Hei"/>
        <family val="2"/>
      </rPr>
      <t xml:space="preserve">営業利益率 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</si>
  <si>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FY2029</t>
    </r>
  </si>
  <si>
    <t xml:space="preserve">■ 投資回収・資金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</si>
  <si>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初期投資 合計</t>
    </r>
  </si>
  <si>
    <t xml:space="preserve">　うち 開業時に支払う現金</t>
  </si>
  <si>
    <r>
      <rPr>
        <sz val="10"/>
        <color rgb="FF000000"/>
        <rFont val="WenQuanYi Zen Hei"/>
        <family val="2"/>
      </rPr>
      <t xml:space="preserve">　うち 分割払い（内装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＋保証金</t>
    </r>
    <r>
      <rPr>
        <sz val="10"/>
        <color rgb="FF000000"/>
        <rFont val="Meiryo"/>
        <family val="0"/>
        <charset val="1"/>
      </rPr>
      <t xml:space="preserve">38.9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</si>
  <si>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</si>
  <si>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投資回収年数（年）</t>
    </r>
  </si>
  <si>
    <r>
      <rPr>
        <sz val="10"/>
        <color rgb="FF000000"/>
        <rFont val="WenQuanYi Zen Hei"/>
        <family val="2"/>
      </rPr>
      <t xml:space="preserve">初期投資（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</si>
  <si>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開業時 現金支出（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</si>
  <si>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t xml:space="preserve">最大資金需要（税引後）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</si>
  <si>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開業時に必要な現金</t>
    </r>
  </si>
  <si>
    <t xml:space="preserve">調達済（アピシウス＋エニーカラー）</t>
  </si>
  <si>
    <r>
      <rPr>
        <sz val="10"/>
        <color rgb="FF000000"/>
        <rFont val="WenQuanYi Zen Hei"/>
        <family val="2"/>
      </rPr>
      <t xml:space="preserve">調達額 計（今回ラウンド</t>
    </r>
    <r>
      <rPr>
        <sz val="10"/>
        <color rgb="FF000000"/>
        <rFont val="Meiryo"/>
        <family val="0"/>
        <charset val="1"/>
      </rPr>
      <t xml:space="preserve">1.8</t>
    </r>
    <r>
      <rPr>
        <sz val="10"/>
        <color rgb="FF000000"/>
        <rFont val="WenQuanYi Zen Hei"/>
        <family val="2"/>
      </rPr>
      <t xml:space="preserve">億）</t>
    </r>
  </si>
  <si>
    <t xml:space="preserve">過不足 開業時（調達済のみ）</t>
  </si>
  <si>
    <t xml:space="preserve">過不足 開業時（ラウンド完了後）</t>
  </si>
  <si>
    <r>
      <rPr>
        <b val="true"/>
        <sz val="10"/>
        <color rgb="FF000000"/>
        <rFont val="WenQuanYi Zen Hei"/>
        <family val="2"/>
      </rPr>
      <t xml:space="preserve">過不足 </t>
    </r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末（ラウンド完了後）</t>
    </r>
  </si>
  <si>
    <r>
      <rPr>
        <b val="true"/>
        <sz val="10"/>
        <color rgb="FF000000"/>
        <rFont val="WenQuanYi Zen Hei"/>
        <family val="2"/>
      </rPr>
      <t xml:space="preserve">過不足 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年・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店舗</t>
    </r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</si>
  <si>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</si>
  <si>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r>
      <rPr>
        <sz val="9"/>
        <color rgb="FF7F7F7F"/>
        <rFont val="WenQuanYi Zen Hei"/>
        <family val="2"/>
      </rPr>
      <t xml:space="preserve">水色セル＝入力値。ここを変えると単店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だけでなく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か年連結・資金計画まで全て再計算されます。</t>
    </r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</si>
  <si>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</si>
  <si>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</si>
  <si>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</si>
  <si>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</si>
  <si>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</si>
  <si>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</si>
  <si>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</si>
  <si>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新店の開業年度 稼働月数</t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</si>
  <si>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号店以降。年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店を上期・下期に分散する前提の平均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</si>
  <si>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号店の稼働月数（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</si>
  <si>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月開業＝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は通年稼働</t>
    </r>
  </si>
  <si>
    <t xml:space="preserve">■ 席数（席）</t>
  </si>
  <si>
    <t xml:space="preserve">カウンター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</si>
  <si>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月時点：店内</t>
    </r>
    <r>
      <rPr>
        <sz val="9"/>
        <color rgb="FF7F7F7F"/>
        <rFont val="Meiryo"/>
        <family val="0"/>
        <charset val="1"/>
      </rPr>
      <t xml:space="preserve">62</t>
    </r>
    <r>
      <rPr>
        <sz val="9"/>
        <color rgb="FF7F7F7F"/>
        <rFont val="WenQuanYi Zen Hei"/>
        <family val="2"/>
      </rPr>
      <t xml:space="preserve">席＋テラス</t>
    </r>
    <r>
      <rPr>
        <sz val="9"/>
        <color rgb="FF7F7F7F"/>
        <rFont val="Meiryo"/>
        <family val="0"/>
        <charset val="1"/>
      </rPr>
      <t xml:space="preserve">52</t>
    </r>
    <r>
      <rPr>
        <sz val="9"/>
        <color rgb="FF7F7F7F"/>
        <rFont val="WenQuanYi Zen Hei"/>
        <family val="2"/>
      </rPr>
      <t xml:space="preserve">席＝</t>
    </r>
    <r>
      <rPr>
        <sz val="9"/>
        <color rgb="FF7F7F7F"/>
        <rFont val="Meiryo"/>
        <family val="0"/>
        <charset val="1"/>
      </rPr>
      <t xml:space="preserve">114</t>
    </r>
    <r>
      <rPr>
        <sz val="9"/>
        <color rgb="FF7F7F7F"/>
        <rFont val="WenQuanYi Zen Hei"/>
        <family val="2"/>
      </rPr>
      <t xml:space="preserve">席。面積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</si>
  <si>
    <t xml:space="preserve">ダイニング</t>
  </si>
  <si>
    <t xml:space="preserve">個室</t>
  </si>
  <si>
    <t xml:space="preserve">店内　小計</t>
  </si>
  <si>
    <t xml:space="preserve">テラス</t>
  </si>
  <si>
    <t xml:space="preserve">合　計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</si>
  <si>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</si>
  <si>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</si>
  <si>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</si>
  <si>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</si>
  <si>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</si>
  <si>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</si>
  <si>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</si>
  <si>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</si>
  <si>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</si>
  <si>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</si>
  <si>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</si>
  <si>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</si>
  <si>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構成比</t>
  </si>
  <si>
    <t xml:space="preserve">ランチ</t>
  </si>
  <si>
    <t xml:space="preserve">店内</t>
  </si>
  <si>
    <r>
      <rPr>
        <sz val="9"/>
        <color rgb="FFC00000"/>
        <rFont val="WenQuanYi Zen Hei"/>
        <family val="2"/>
      </rPr>
      <t xml:space="preserve">★ この表の年間売上合計が、</t>
    </r>
    <r>
      <rPr>
        <sz val="9"/>
        <color rgb="FFC00000"/>
        <rFont val="Meiryo"/>
        <family val="0"/>
        <charset val="1"/>
      </rPr>
      <t xml:space="preserve">5</t>
    </r>
    <r>
      <rPr>
        <sz val="9"/>
        <color rgb="FFC00000"/>
        <rFont val="WenQuanYi Zen Hei"/>
        <family val="2"/>
      </rPr>
      <t xml:space="preserve">か年計画の『標準店 満年度売上』になります</t>
    </r>
  </si>
  <si>
    <t xml:space="preserve">カフェ（アイドルタイム）</t>
  </si>
  <si>
    <t xml:space="preserve">ディナー</t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</si>
  <si>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</si>
  <si>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</si>
  <si>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</si>
  <si>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</si>
  <si>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</si>
  <si>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</si>
  <si>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</si>
  <si>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</si>
  <si>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</si>
  <si>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t xml:space="preserve">＝標準店 満年度売上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</si>
  <si>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</si>
  <si>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</si>
  <si>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</si>
  <si>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</si>
  <si>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</si>
  <si>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</si>
  <si>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席あたり年間売上（百万円）</t>
    </r>
  </si>
  <si>
    <t xml:space="preserve">席数変更の効果</t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</si>
  <si>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</si>
  <si>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</si>
  <si>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</si>
  <si>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経費前提・投資前提（水色セル＝入力値）</t>
  </si>
  <si>
    <r>
      <rPr>
        <sz val="9"/>
        <color rgb="FF7F7F7F"/>
        <rFont val="WenQuanYi Zen Hei"/>
        <family val="2"/>
      </rPr>
      <t xml:space="preserve">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と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か年連結の両方がこのシートを参照します。経費率は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</si>
  <si>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</si>
  <si>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</si>
  <si>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を選ぶと料理・飲料それぞれの原価率で計算（直輸入ワインの効果を分けて見る場合）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</si>
  <si>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</si>
  <si>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</si>
  <si>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</si>
  <si>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</si>
  <si>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</si>
  <si>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</si>
  <si>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</si>
  <si>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</si>
  <si>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</si>
  <si>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</si>
  <si>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t xml:space="preserve">同上。直輸入ワインで下げる余地あり</t>
  </si>
  <si>
    <t xml:space="preserve">実効売上原価率（方法に連動）</t>
  </si>
  <si>
    <r>
      <rPr>
        <sz val="9"/>
        <color rgb="FFC00000"/>
        <rFont val="WenQuanYi Zen Hei"/>
        <family val="2"/>
      </rPr>
      <t xml:space="preserve">計算結果。以降の</t>
    </r>
    <r>
      <rPr>
        <sz val="9"/>
        <color rgb="FFC00000"/>
        <rFont val="Meiryo"/>
        <family val="0"/>
        <charset val="1"/>
      </rPr>
      <t xml:space="preserve">PL</t>
    </r>
    <r>
      <rPr>
        <sz val="9"/>
        <color rgb="FFC00000"/>
        <rFont val="WenQuanYi Zen Hei"/>
        <family val="2"/>
      </rPr>
      <t xml:space="preserve">はこの率を使用</t>
    </r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</si>
  <si>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</si>
  <si>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</si>
  <si>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</si>
  <si>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</si>
  <si>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</si>
  <si>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</si>
  <si>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</si>
  <si>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</si>
  <si>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</si>
  <si>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</si>
  <si>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</si>
  <si>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</si>
  <si>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</si>
  <si>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　計（対売上）</t>
  </si>
  <si>
    <t xml:space="preserve">■ 固定費・家賃条件（全店共通）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</si>
  <si>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</si>
  <si>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万円。席数を変えても面積は同じため不変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</si>
  <si>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</si>
  <si>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</si>
  <si>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</si>
  <si>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</si>
  <si>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</si>
  <si>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時点の水準から逆算</t>
    </r>
  </si>
  <si>
    <t xml:space="preserve">人員数（名・参考）</t>
  </si>
  <si>
    <t xml:space="preserve">人件費は売上比で計算</t>
  </si>
  <si>
    <r>
      <rPr>
        <b val="true"/>
        <sz val="10"/>
        <color rgb="FF000000"/>
        <rFont val="WenQuanYi Zen Hei"/>
        <family val="2"/>
      </rPr>
      <t xml:space="preserve">■ 初期投資（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店舗あたり・百万円）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</si>
  <si>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六本木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</si>
  <si>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〜</t>
    </r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札幌・大阪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</si>
  <si>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4</t>
    </r>
    <r>
      <rPr>
        <b val="true"/>
        <sz val="9"/>
        <color rgb="FF000000"/>
        <rFont val="WenQuanYi Zen Hei"/>
        <family val="2"/>
      </rPr>
      <t xml:space="preserve">号店以降</t>
    </r>
  </si>
  <si>
    <t xml:space="preserve">契約金</t>
  </si>
  <si>
    <r>
      <rPr>
        <sz val="9"/>
        <color rgb="FF7F7F7F"/>
        <rFont val="WenQuanYi Zen Hei"/>
        <family val="2"/>
      </rPr>
      <t xml:space="preserve">契約金 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万円／以下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3,500</t>
    </r>
    <r>
      <rPr>
        <sz val="9"/>
        <color rgb="FF7F7F7F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</si>
  <si>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</si>
  <si>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</si>
  <si>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t xml:space="preserve">　うち 資産計上対象外（補助金等）</t>
  </si>
  <si>
    <r>
      <rPr>
        <sz val="9"/>
        <color rgb="FF7F7F7F"/>
        <rFont val="WenQuanYi Zen Hei"/>
        <family val="2"/>
      </rPr>
      <t xml:space="preserve">家主立替分は自社資産として計上するため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。ここは純粋な資産控除がある場合のみ使用</t>
    </r>
  </si>
  <si>
    <t xml:space="preserve">　資産計上額</t>
  </si>
  <si>
    <t xml:space="preserve">＝事業費 － 資産計上対象外</t>
  </si>
  <si>
    <t xml:space="preserve">開業準備金（広告・採用等）</t>
  </si>
  <si>
    <t xml:space="preserve">保証金</t>
  </si>
  <si>
    <t xml:space="preserve">非償却・退去時返還対象</t>
  </si>
  <si>
    <t xml:space="preserve">ワイン・美術品在庫</t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</si>
  <si>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号店は美術品含む。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号店以降はワイン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万円のみ（非償却）</t>
    </r>
  </si>
  <si>
    <t xml:space="preserve">初期投資　合計</t>
  </si>
  <si>
    <t xml:space="preserve">償却対象資産（＝合計－保証金－ワイン・美術品）</t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</si>
  <si>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</t>
    </r>
  </si>
  <si>
    <t xml:space="preserve">償却年数（年）</t>
  </si>
  <si>
    <r>
      <rPr>
        <b val="true"/>
        <sz val="10"/>
        <color rgb="FF000000"/>
        <rFont val="WenQuanYi Zen Hei"/>
        <family val="2"/>
      </rPr>
      <t xml:space="preserve">年間減価償却費／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店（通年）</t>
    </r>
  </si>
  <si>
    <t xml:space="preserve">■ 分割払いスキーム（百万円）</t>
  </si>
  <si>
    <t xml:space="preserve">分割対象：内装工事費（家主立替）</t>
  </si>
  <si>
    <r>
      <rPr>
        <sz val="9"/>
        <color rgb="FF7F7F7F"/>
        <rFont val="WenQuanYi Zen Hei"/>
        <family val="2"/>
      </rPr>
      <t xml:space="preserve">家主が立替え、月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年）で返済。資産計上・減価償却は自社で継続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</si>
  <si>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</si>
  <si>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賃貸借契約：月</t>
    </r>
    <r>
      <rPr>
        <sz val="9"/>
        <color rgb="FF7F7F7F"/>
        <rFont val="Meiryo"/>
        <family val="0"/>
        <charset val="1"/>
      </rPr>
      <t xml:space="preserve">463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年）＝</t>
    </r>
    <r>
      <rPr>
        <sz val="9"/>
        <color rgb="FF7F7F7F"/>
        <rFont val="Meiryo"/>
        <family val="0"/>
        <charset val="1"/>
      </rPr>
      <t xml:space="preserve">38.9</t>
    </r>
    <r>
      <rPr>
        <sz val="9"/>
        <color rgb="FF7F7F7F"/>
        <rFont val="WenQuanYi Zen Hei"/>
        <family val="2"/>
      </rPr>
      <t xml:space="preserve">。残り</t>
    </r>
    <r>
      <rPr>
        <sz val="9"/>
        <color rgb="FF7F7F7F"/>
        <rFont val="Meiryo"/>
        <family val="0"/>
        <charset val="1"/>
      </rPr>
      <t xml:space="preserve">0.1</t>
    </r>
    <r>
      <rPr>
        <sz val="9"/>
        <color rgb="FF7F7F7F"/>
        <rFont val="WenQuanYi Zen Hei"/>
        <family val="2"/>
      </rPr>
      <t xml:space="preserve">は開業時に支払</t>
    </r>
  </si>
  <si>
    <t xml:space="preserve">分割対象額　計</t>
  </si>
  <si>
    <r>
      <rPr>
        <b val="true"/>
        <sz val="10"/>
        <color rgb="FF000000"/>
        <rFont val="WenQuanYi Zen Hei"/>
        <family val="2"/>
      </rPr>
      <t xml:space="preserve">開業時 現金支出／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</si>
  <si>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t xml:space="preserve">＝初期投資合計 － 分割対象額</t>
  </si>
  <si>
    <r>
      <rPr>
        <b val="true"/>
        <sz val="10"/>
        <color rgb="FF000000"/>
        <rFont val="WenQuanYi Zen Hei"/>
        <family val="2"/>
      </rPr>
      <t xml:space="preserve">年間分割弁済額／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</si>
  <si>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r>
      <rPr>
        <sz val="9"/>
        <color rgb="FF7F7F7F"/>
        <rFont val="WenQuanYi Zen Hei"/>
        <family val="2"/>
      </rPr>
      <t xml:space="preserve">＝内装分</t>
    </r>
    <r>
      <rPr>
        <sz val="9"/>
        <color rgb="FF7F7F7F"/>
        <rFont val="Meiryo"/>
        <family val="0"/>
        <charset val="1"/>
      </rPr>
      <t xml:space="preserve">÷10</t>
    </r>
    <r>
      <rPr>
        <sz val="9"/>
        <color rgb="FF7F7F7F"/>
        <rFont val="WenQuanYi Zen Hei"/>
        <family val="2"/>
      </rPr>
      <t xml:space="preserve">年 ＋ 保証金分</t>
    </r>
    <r>
      <rPr>
        <sz val="9"/>
        <color rgb="FF7F7F7F"/>
        <rFont val="Meiryo"/>
        <family val="0"/>
        <charset val="1"/>
      </rPr>
      <t xml:space="preserve">÷7</t>
    </r>
    <r>
      <rPr>
        <sz val="9"/>
        <color rgb="FF7F7F7F"/>
        <rFont val="WenQuanYi Zen Hei"/>
        <family val="2"/>
      </rPr>
      <t xml:space="preserve">年</t>
    </r>
  </si>
  <si>
    <t xml:space="preserve">■ 出店計画・本部費（連結）</t>
  </si>
  <si>
    <t xml:space="preserve">期中出店数（店）</t>
  </si>
  <si>
    <r>
      <rPr>
        <sz val="9"/>
        <color rgb="FF7F7F7F"/>
        <rFont val="Meiryo"/>
        <family val="0"/>
        <charset val="1"/>
      </rPr>
      <t xml:space="preserve">FY2027 </t>
    </r>
    <r>
      <rPr>
        <sz val="9"/>
        <color rgb="FF7F7F7F"/>
        <rFont val="WenQuanYi Zen Hei"/>
        <family val="2"/>
      </rPr>
      <t xml:space="preserve">六本木／</t>
    </r>
    <r>
      <rPr>
        <sz val="9"/>
        <color rgb="FF7F7F7F"/>
        <rFont val="Meiryo"/>
        <family val="0"/>
        <charset val="1"/>
      </rPr>
      <t xml:space="preserve">FY2028 </t>
    </r>
    <r>
      <rPr>
        <sz val="9"/>
        <color rgb="FF7F7F7F"/>
        <rFont val="WenQuanYi Zen Hei"/>
        <family val="2"/>
      </rPr>
      <t xml:space="preserve">札幌・大阪／</t>
    </r>
    <r>
      <rPr>
        <sz val="9"/>
        <color rgb="FF7F7F7F"/>
        <rFont val="Meiryo"/>
        <family val="0"/>
        <charset val="1"/>
      </rPr>
      <t xml:space="preserve">FY2029 </t>
    </r>
    <r>
      <rPr>
        <sz val="9"/>
        <color rgb="FF7F7F7F"/>
        <rFont val="WenQuanYi Zen Hei"/>
        <family val="2"/>
      </rPr>
      <t xml:space="preserve">首都圏・他政令市／</t>
    </r>
    <r>
      <rPr>
        <sz val="9"/>
        <color rgb="FF7F7F7F"/>
        <rFont val="Meiryo"/>
        <family val="0"/>
        <charset val="1"/>
      </rPr>
      <t xml:space="preserve">FY2030</t>
    </r>
    <r>
      <rPr>
        <sz val="9"/>
        <color rgb="FF7F7F7F"/>
        <rFont val="WenQuanYi Zen Hei"/>
        <family val="2"/>
      </rPr>
      <t xml:space="preserve">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</t>
    </r>
  </si>
  <si>
    <t xml:space="preserve">本部費（管理・人事・購買・マーケ）</t>
  </si>
  <si>
    <r>
      <rPr>
        <b val="true"/>
        <sz val="11"/>
        <color rgb="FFFFFFFF"/>
        <rFont val="WenQuanYi Zen Hei"/>
        <family val="2"/>
      </rPr>
      <t xml:space="preserve">六本木ミッドタウン店（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号店）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</si>
  <si>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売上は「売上前提」、経費率・減価償却は「経費前提」に連動。科目は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</si>
  <si>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</si>
  <si>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</si>
  <si>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</si>
  <si>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</si>
  <si>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</si>
  <si>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</si>
  <si>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t xml:space="preserve">部門利益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</si>
  <si>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</si>
  <si>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</si>
  <si>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</si>
  <si>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t xml:space="preserve">■ 対売上比</t>
  </si>
  <si>
    <r>
      <rPr>
        <b val="true"/>
        <sz val="11"/>
        <color rgb="FFFFFFFF"/>
        <rFont val="WenQuanYi Zen Hei"/>
        <family val="2"/>
      </rPr>
      <t xml:space="preserve">店舗群（出店年度コホート）別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</si>
  <si>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t xml:space="preserve">各群の売上は「売上前提」の標準店年商に立上り率・店舗数・稼働月数を掛けたもの。経費率は年次に応じて自動参照。</t>
  </si>
  <si>
    <t xml:space="preserve">店舗群</t>
  </si>
  <si>
    <t xml:space="preserve">店舗数</t>
  </si>
  <si>
    <t xml:space="preserve">　① 東京（六本木ミッドタウン）</t>
  </si>
  <si>
    <t xml:space="preserve">店舗数（店）</t>
  </si>
  <si>
    <t xml:space="preserve">開業年度の稼働月数</t>
  </si>
  <si>
    <r>
      <rPr>
        <sz val="9"/>
        <color rgb="FF000000"/>
        <rFont val="WenQuanYi Zen Hei"/>
        <family val="2"/>
      </rPr>
      <t xml:space="preserve">年次（</t>
    </r>
    <r>
      <rPr>
        <sz val="9"/>
        <color rgb="FF000000"/>
        <rFont val="Meiryo"/>
        <family val="0"/>
        <charset val="1"/>
      </rPr>
      <t xml:space="preserve">0=</t>
    </r>
    <r>
      <rPr>
        <sz val="9"/>
        <color rgb="FF000000"/>
        <rFont val="WenQuanYi Zen Hei"/>
        <family val="2"/>
      </rPr>
      <t xml:space="preserve">未開業</t>
    </r>
    <r>
      <rPr>
        <sz val="9"/>
        <color rgb="FF000000"/>
        <rFont val="Meiryo"/>
        <family val="0"/>
        <charset val="1"/>
      </rPr>
      <t xml:space="preserve">/1/2/3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</si>
  <si>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Meiryo"/>
        <family val="0"/>
        <charset val="1"/>
      </rPr>
      <t xml:space="preserve">GOP</t>
    </r>
    <r>
      <rPr>
        <b val="true"/>
        <sz val="9"/>
        <color rgb="FF000000"/>
        <rFont val="WenQuanYi Zen Hei"/>
        <family val="2"/>
      </rPr>
      <t xml:space="preserve">（店舗営業総利益）</t>
    </r>
  </si>
  <si>
    <r>
      <rPr>
        <sz val="9"/>
        <color rgb="FF000000"/>
        <rFont val="WenQuanYi Zen Hei"/>
        <family val="2"/>
      </rPr>
      <t xml:space="preserve">修繕維持費（</t>
    </r>
    <r>
      <rPr>
        <sz val="9"/>
        <color rgb="FF000000"/>
        <rFont val="Meiryo"/>
        <family val="0"/>
        <charset val="1"/>
      </rPr>
      <t xml:space="preserve">FFE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</si>
  <si>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</si>
  <si>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店舗営業利益</t>
  </si>
  <si>
    <t xml:space="preserve">　② 札幌・大阪</t>
  </si>
  <si>
    <t xml:space="preserve">　③ 首都圏・他政令指定都市</t>
  </si>
  <si>
    <r>
      <rPr>
        <b val="true"/>
        <sz val="10"/>
        <color rgb="FF000000"/>
        <rFont val="WenQuanYi Zen Hei"/>
        <family val="2"/>
      </rPr>
      <t xml:space="preserve">　④ </t>
    </r>
    <r>
      <rPr>
        <b val="true"/>
        <sz val="10"/>
        <color rgb="FF000000"/>
        <rFont val="Meiryo"/>
        <family val="0"/>
        <charset val="1"/>
      </rPr>
      <t xml:space="preserve">FY2030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</si>
  <si>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0"/>
        <color rgb="FF000000"/>
        <rFont val="WenQuanYi Zen Hei"/>
        <family val="2"/>
      </rPr>
      <t xml:space="preserve">　⑤ </t>
    </r>
    <r>
      <rPr>
        <b val="true"/>
        <sz val="10"/>
        <color rgb="FF000000"/>
        <rFont val="Meiryo"/>
        <family val="0"/>
        <charset val="1"/>
      </rPr>
      <t xml:space="preserve">FY2031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</si>
  <si>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連結損益計画（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・百万円）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</si>
  <si>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 六本木開業 → </t>
    </r>
    <r>
      <rPr>
        <sz val="9"/>
        <color rgb="FF7F7F7F"/>
        <rFont val="Meiryo"/>
        <family val="0"/>
        <charset val="1"/>
      </rPr>
      <t xml:space="preserve">2028</t>
    </r>
    <r>
      <rPr>
        <sz val="9"/>
        <color rgb="FF7F7F7F"/>
        <rFont val="WenQuanYi Zen Hei"/>
        <family val="2"/>
      </rPr>
      <t xml:space="preserve">年 札幌・大阪 → 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 首都圏・政令指定都市 → </t>
    </r>
    <r>
      <rPr>
        <sz val="9"/>
        <color rgb="FF7F7F7F"/>
        <rFont val="Meiryo"/>
        <family val="0"/>
        <charset val="1"/>
      </rPr>
      <t xml:space="preserve">2030</t>
    </r>
    <r>
      <rPr>
        <sz val="9"/>
        <color rgb="FF7F7F7F"/>
        <rFont val="WenQuanYi Zen Hei"/>
        <family val="2"/>
      </rPr>
      <t xml:space="preserve">年以降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店舗</t>
    </r>
  </si>
  <si>
    <r>
      <rPr>
        <b val="true"/>
        <sz val="10"/>
        <color rgb="FF000000"/>
        <rFont val="WenQuanYi Zen Hei"/>
        <family val="2"/>
      </rPr>
      <t xml:space="preserve">対売上比
</t>
    </r>
    <r>
      <rPr>
        <b val="true"/>
        <sz val="10"/>
        <color rgb="FF000000"/>
        <rFont val="Meiryo"/>
        <family val="0"/>
        <charset val="1"/>
      </rPr>
      <t xml:space="preserve">(FY2031)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</si>
  <si>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　計</t>
    </r>
  </si>
  <si>
    <t xml:space="preserve">本部費</t>
  </si>
  <si>
    <r>
      <rPr>
        <sz val="9"/>
        <color rgb="FF7F7F7F"/>
        <rFont val="Meiryo"/>
        <family val="0"/>
        <charset val="1"/>
      </rPr>
      <t xml:space="preserve">※ FY</t>
    </r>
    <r>
      <rPr>
        <sz val="9"/>
        <color rgb="FF7F7F7F"/>
        <rFont val="WenQuanYi Zen Hei"/>
        <family val="2"/>
      </rPr>
      <t xml:space="preserve">＝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月〜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月。新店初年度は売上</t>
    </r>
    <r>
      <rPr>
        <sz val="9"/>
        <color rgb="FF7F7F7F"/>
        <rFont val="Meiryo"/>
        <family val="0"/>
        <charset val="1"/>
      </rPr>
      <t xml:space="preserve">90%</t>
    </r>
    <r>
      <rPr>
        <sz val="9"/>
        <color rgb="FF7F7F7F"/>
        <rFont val="WenQuanYi Zen Hei"/>
        <family val="2"/>
      </rPr>
      <t xml:space="preserve">・開業</t>
    </r>
    <r>
      <rPr>
        <sz val="9"/>
        <color rgb="FF7F7F7F"/>
        <rFont val="Meiryo"/>
        <family val="0"/>
        <charset val="1"/>
      </rPr>
      <t xml:space="preserve">7.5</t>
    </r>
    <r>
      <rPr>
        <sz val="9"/>
        <color rgb="FF7F7F7F"/>
        <rFont val="WenQuanYi Zen Hei"/>
        <family val="2"/>
      </rPr>
      <t xml:space="preserve">か月で計上。金利・税金は含まない。</t>
    </r>
  </si>
  <si>
    <t xml:space="preserve">投資・キャッシュフロー（百万円）</t>
  </si>
  <si>
    <r>
      <rPr>
        <sz val="9"/>
        <color rgb="FF7F7F7F"/>
        <rFont val="WenQuanYi Zen Hei"/>
        <family val="2"/>
      </rPr>
      <t xml:space="preserve">上段＝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号店の投資回収、下段＝連結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か年のキャッシュフローと必要資金。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</si>
  <si>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 キャッシュフロー推移</t>
    </r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</si>
  <si>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</si>
  <si>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</si>
  <si>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</si>
  <si>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</si>
  <si>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開業時 現金支出</t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</si>
  <si>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</si>
  <si>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</si>
  <si>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</si>
  <si>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が赤字の年数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</si>
  <si>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  <r>
      <rPr>
        <b val="true"/>
        <sz val="10"/>
        <color rgb="FF000000"/>
        <rFont val="WenQuanYi Zen Hei"/>
        <family val="2"/>
      </rPr>
      <t xml:space="preserve">の黒字転換</t>
    </r>
  </si>
  <si>
    <t xml:space="preserve">投資回収年数（年）</t>
  </si>
  <si>
    <t xml:space="preserve">■ 連結キャッシュフロー計画</t>
  </si>
  <si>
    <t xml:space="preserve">新規出店数（店）</t>
  </si>
  <si>
    <t xml:space="preserve">初期投資（総額）</t>
  </si>
  <si>
    <t xml:space="preserve">うち 分割対象額</t>
  </si>
  <si>
    <t xml:space="preserve">分割弁済額</t>
  </si>
  <si>
    <t xml:space="preserve">投資キャッシュアウト　計</t>
  </si>
  <si>
    <t xml:space="preserve">法人税等（推計）</t>
  </si>
  <si>
    <t xml:space="preserve">簡易フリーキャッシュフロー</t>
  </si>
  <si>
    <t xml:space="preserve">累計フリーキャッシュフロー</t>
  </si>
  <si>
    <t xml:space="preserve">■ 必要資金と調達</t>
  </si>
  <si>
    <t xml:space="preserve">法人税 実効税率</t>
  </si>
  <si>
    <t xml:space="preserve">簡易。繰越欠損金の控除は考慮せず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</si>
  <si>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</si>
  <si>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t xml:space="preserve">税引後ベース</t>
  </si>
  <si>
    <t xml:space="preserve">既存調達のうち 今回ラウンドと重複しない現金</t>
  </si>
  <si>
    <r>
      <rPr>
        <sz val="9"/>
        <color rgb="FF7F7F7F"/>
        <rFont val="WenQuanYi Zen Hei"/>
        <family val="2"/>
      </rPr>
      <t xml:space="preserve">既存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億＝調達済</t>
    </r>
    <r>
      <rPr>
        <sz val="9"/>
        <color rgb="FF7F7F7F"/>
        <rFont val="Meiryo"/>
        <family val="0"/>
        <charset val="1"/>
      </rPr>
      <t xml:space="preserve">9,000</t>
    </r>
    <r>
      <rPr>
        <sz val="9"/>
        <color rgb="FF7F7F7F"/>
        <rFont val="WenQuanYi Zen Hei"/>
        <family val="2"/>
      </rPr>
      <t xml:space="preserve">万＋内装・保証金の家主分割。現金分は下の調達済</t>
    </r>
    <r>
      <rPr>
        <sz val="9"/>
        <color rgb="FF7F7F7F"/>
        <rFont val="Meiryo"/>
        <family val="0"/>
        <charset val="1"/>
      </rPr>
      <t xml:space="preserve">90</t>
    </r>
    <r>
      <rPr>
        <sz val="9"/>
        <color rgb="FF7F7F7F"/>
        <rFont val="WenQuanYi Zen Hei"/>
        <family val="2"/>
      </rPr>
      <t xml:space="preserve">と同一、分割分は開業時現金から控除済のため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（二重計上回避）</t>
    </r>
  </si>
  <si>
    <t xml:space="preserve">今回ラウンド　アピシウス投資家（調達済）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</si>
  <si>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月時点でクローズ済</t>
    </r>
  </si>
  <si>
    <t xml:space="preserve">今回ラウンド　エニーカラー創業者（調達済）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</si>
  <si>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 合意書締結済</t>
    </r>
  </si>
  <si>
    <t xml:space="preserve">今回ラウンド　募集中</t>
  </si>
  <si>
    <r>
      <rPr>
        <sz val="9"/>
        <color rgb="FF7F7F7F"/>
        <rFont val="WenQuanYi Zen Hei"/>
        <family val="2"/>
      </rPr>
      <t xml:space="preserve">ラウンド総額</t>
    </r>
    <r>
      <rPr>
        <sz val="9"/>
        <color rgb="FF7F7F7F"/>
        <rFont val="Meiryo"/>
        <family val="0"/>
        <charset val="1"/>
      </rPr>
      <t xml:space="preserve">1.8</t>
    </r>
    <r>
      <rPr>
        <sz val="9"/>
        <color rgb="FF7F7F7F"/>
        <rFont val="WenQuanYi Zen Hei"/>
        <family val="2"/>
      </rPr>
      <t xml:space="preserve">億円 － 調達済</t>
    </r>
    <r>
      <rPr>
        <sz val="9"/>
        <color rgb="FF7F7F7F"/>
        <rFont val="Meiryo"/>
        <family val="0"/>
        <charset val="1"/>
      </rPr>
      <t xml:space="preserve">9,000</t>
    </r>
    <r>
      <rPr>
        <sz val="9"/>
        <color rgb="FF7F7F7F"/>
        <rFont val="WenQuanYi Zen Hei"/>
        <family val="2"/>
      </rPr>
      <t xml:space="preserve">万円</t>
    </r>
  </si>
  <si>
    <t xml:space="preserve">調達額　計</t>
  </si>
  <si>
    <t xml:space="preserve">過不足（マイナスが不足）</t>
  </si>
  <si>
    <t xml:space="preserve">デット元本返済・分割払い金利は未考慮</t>
  </si>
  <si>
    <r>
      <rPr>
        <sz val="9"/>
        <color rgb="FF7F7F7F"/>
        <rFont val="WenQuanYi Zen Hei"/>
        <family val="2"/>
      </rPr>
      <t xml:space="preserve">※ 簡易</t>
    </r>
    <r>
      <rPr>
        <sz val="9"/>
        <color rgb="FF7F7F7F"/>
        <rFont val="Meiryo"/>
        <family val="0"/>
        <charset val="1"/>
      </rPr>
      <t xml:space="preserve">FCF</t>
    </r>
    <r>
      <rPr>
        <sz val="9"/>
        <color rgb="FF7F7F7F"/>
        <rFont val="WenQuanYi Zen Hei"/>
        <family val="2"/>
      </rPr>
      <t xml:space="preserve">＝連結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－法人税等－投資キャッシュアウト。運転資本増減・借入返済は含まない。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</si>
  <si>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号店（六本木）開業に必要な資金と過不足</t>
    </r>
  </si>
  <si>
    <t xml:space="preserve">金額</t>
  </si>
  <si>
    <t xml:space="preserve">単位：百万円</t>
  </si>
  <si>
    <r>
      <rPr>
        <sz val="9"/>
        <color rgb="FF7F7F7F"/>
        <rFont val="WenQuanYi Zen Hei"/>
        <family val="2"/>
      </rPr>
      <t xml:space="preserve">　うち 家主立替（開業時は支払わず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年分割返済）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</si>
  <si>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</t>
    </r>
  </si>
  <si>
    <r>
      <rPr>
        <sz val="9"/>
        <color rgb="FF7F7F7F"/>
        <rFont val="WenQuanYi Zen Hei"/>
        <family val="2"/>
      </rPr>
      <t xml:space="preserve">　うち 分割（開業時は支払わず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年分割）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</si>
  <si>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463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×84</t>
    </r>
    <r>
      <rPr>
        <sz val="9"/>
        <color rgb="FF7F7F7F"/>
        <rFont val="WenQuanYi Zen Hei"/>
        <family val="2"/>
      </rPr>
      <t xml:space="preserve">回</t>
    </r>
  </si>
  <si>
    <t xml:space="preserve">開業時に必要な現金　小計</t>
  </si>
  <si>
    <r>
      <rPr>
        <sz val="9"/>
        <color rgb="FF7F7F7F"/>
        <rFont val="WenQuanYi Zen Hei"/>
        <family val="2"/>
      </rPr>
      <t xml:space="preserve">＝初期投資 － 分割対象（内装</t>
    </r>
    <r>
      <rPr>
        <sz val="9"/>
        <color rgb="FF7F7F7F"/>
        <rFont val="Meiryo"/>
        <family val="0"/>
        <charset val="1"/>
      </rPr>
      <t xml:space="preserve">100.0</t>
    </r>
    <r>
      <rPr>
        <sz val="9"/>
        <color rgb="FF7F7F7F"/>
        <rFont val="WenQuanYi Zen Hei"/>
        <family val="2"/>
      </rPr>
      <t xml:space="preserve">＋保証金</t>
    </r>
    <r>
      <rPr>
        <sz val="9"/>
        <color rgb="FF7F7F7F"/>
        <rFont val="Meiryo"/>
        <family val="0"/>
        <charset val="1"/>
      </rPr>
      <t xml:space="preserve">38.9</t>
    </r>
    <r>
      <rPr>
        <sz val="9"/>
        <color rgb="FF7F7F7F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</si>
  <si>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開業初年度（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）の分割弁済</t>
    </r>
  </si>
  <si>
    <r>
      <rPr>
        <sz val="9"/>
        <color rgb="FF7F7F7F"/>
        <rFont val="WenQuanYi Zen Hei"/>
        <family val="2"/>
      </rPr>
      <t xml:space="preserve">内装</t>
    </r>
    <r>
      <rPr>
        <sz val="9"/>
        <color rgb="FF7F7F7F"/>
        <rFont val="Meiryo"/>
        <family val="0"/>
        <charset val="1"/>
      </rPr>
      <t xml:space="preserve">10.0</t>
    </r>
    <r>
      <rPr>
        <sz val="9"/>
        <color rgb="FF7F7F7F"/>
        <rFont val="WenQuanYi Zen Hei"/>
        <family val="2"/>
      </rPr>
      <t xml:space="preserve">＋保証金</t>
    </r>
    <r>
      <rPr>
        <sz val="9"/>
        <color rgb="FF7F7F7F"/>
        <rFont val="Meiryo"/>
        <family val="0"/>
        <charset val="1"/>
      </rPr>
      <t xml:space="preserve">5.56</t>
    </r>
    <r>
      <rPr>
        <sz val="9"/>
        <color rgb="FF7F7F7F"/>
        <rFont val="WenQuanYi Zen Hei"/>
        <family val="2"/>
      </rPr>
      <t xml:space="preserve">（月</t>
    </r>
    <r>
      <rPr>
        <sz val="9"/>
        <color rgb="FF7F7F7F"/>
        <rFont val="Meiryo"/>
        <family val="0"/>
        <charset val="1"/>
      </rPr>
      <t xml:space="preserve">1,296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</t>
    </r>
    <r>
      <rPr>
        <sz val="9"/>
        <color rgb="FF7F7F7F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</si>
  <si>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開業初年度の店舗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号店）</t>
    </r>
  </si>
  <si>
    <r>
      <rPr>
        <sz val="9"/>
        <color rgb="FF7F7F7F"/>
        <rFont val="WenQuanYi Zen Hei"/>
        <family val="2"/>
      </rPr>
      <t xml:space="preserve">立上り</t>
    </r>
    <r>
      <rPr>
        <sz val="9"/>
        <color rgb="FF7F7F7F"/>
        <rFont val="Meiryo"/>
        <family val="0"/>
        <charset val="1"/>
      </rPr>
      <t xml:space="preserve">90%</t>
    </r>
  </si>
  <si>
    <t xml:space="preserve">開業初年度の本部費</t>
  </si>
  <si>
    <t xml:space="preserve">開業初年度の法人税等（推計）</t>
  </si>
  <si>
    <r>
      <rPr>
        <sz val="9"/>
        <color rgb="FF7F7F7F"/>
        <rFont val="WenQuanYi Zen Hei"/>
        <family val="2"/>
      </rPr>
      <t xml:space="preserve">営業利益</t>
    </r>
    <r>
      <rPr>
        <sz val="9"/>
        <color rgb="FF7F7F7F"/>
        <rFont val="Meiryo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実効税率</t>
    </r>
  </si>
  <si>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末までに必要な資金　累計</t>
    </r>
  </si>
  <si>
    <t xml:space="preserve">開業時現金支出 － 初年度に手元に残る資金</t>
  </si>
  <si>
    <t xml:space="preserve">調達・過不足</t>
  </si>
  <si>
    <r>
      <rPr>
        <sz val="10"/>
        <color rgb="FF000000"/>
        <rFont val="WenQuanYi Zen Hei"/>
        <family val="2"/>
      </rPr>
      <t xml:space="preserve">調達済（アピシウス</t>
    </r>
    <r>
      <rPr>
        <sz val="10"/>
        <color rgb="FF000000"/>
        <rFont val="Meiryo"/>
        <family val="0"/>
        <charset val="1"/>
      </rPr>
      <t xml:space="preserve">70.0</t>
    </r>
    <r>
      <rPr>
        <sz val="10"/>
        <color rgb="FF000000"/>
        <rFont val="WenQuanYi Zen Hei"/>
        <family val="2"/>
      </rPr>
      <t xml:space="preserve">＋エニーカラー</t>
    </r>
    <r>
      <rPr>
        <sz val="10"/>
        <color rgb="FF000000"/>
        <rFont val="Meiryo"/>
        <family val="0"/>
        <charset val="1"/>
      </rPr>
      <t xml:space="preserve">20.0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</si>
  <si>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既存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億に含まれる現金はこの</t>
    </r>
    <r>
      <rPr>
        <sz val="9"/>
        <color rgb="FF7F7F7F"/>
        <rFont val="Meiryo"/>
        <family val="0"/>
        <charset val="1"/>
      </rPr>
      <t xml:space="preserve">90.0</t>
    </r>
    <r>
      <rPr>
        <sz val="9"/>
        <color rgb="FF7F7F7F"/>
        <rFont val="WenQuanYi Zen Hei"/>
        <family val="2"/>
      </rPr>
      <t xml:space="preserve">のみ</t>
    </r>
  </si>
  <si>
    <t xml:space="preserve">募集中（今回ラウンド残額）</t>
  </si>
  <si>
    <t xml:space="preserve">調達額　計（ラウンド完了時）</t>
  </si>
  <si>
    <t xml:space="preserve">過不足（開業時点・調達済のみ）</t>
  </si>
  <si>
    <t xml:space="preserve">＝調達済 － 開業時に必要な現金。現時点の不足額</t>
  </si>
  <si>
    <t xml:space="preserve">過不足（開業時点・ラウンド完了後）</t>
  </si>
  <si>
    <t xml:space="preserve">＝調達額計 － 開業時に必要な現金</t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</si>
  <si>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末・ラウンド完了後）</t>
    </r>
  </si>
  <si>
    <r>
      <rPr>
        <sz val="9"/>
        <color rgb="FF7F7F7F"/>
        <rFont val="WenQuanYi Zen Hei"/>
        <family val="2"/>
      </rPr>
      <t xml:space="preserve">＝調達額計 － 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末までに必要な資金</t>
    </r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</si>
  <si>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年・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店舗展開ベース）</t>
    </r>
  </si>
  <si>
    <t xml:space="preserve">＝調達額計 － 最大資金需要（税引後）</t>
  </si>
  <si>
    <r>
      <rPr>
        <sz val="9"/>
        <color rgb="FFC00000"/>
        <rFont val="WenQuanYi Zen Hei"/>
        <family val="2"/>
      </rPr>
      <t xml:space="preserve">※ 内装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百万円は家主立替のため開業時に支払わず、</t>
    </r>
    <r>
      <rPr>
        <sz val="9"/>
        <color rgb="FFC00000"/>
        <rFont val="Meiryo"/>
        <family val="0"/>
        <charset val="1"/>
      </rPr>
      <t xml:space="preserve">10</t>
    </r>
    <r>
      <rPr>
        <sz val="9"/>
        <color rgb="FFC00000"/>
        <rFont val="WenQuanYi Zen Hei"/>
        <family val="2"/>
      </rPr>
      <t xml:space="preserve">年分割で返済。資産計上・減価償却（年</t>
    </r>
    <r>
      <rPr>
        <sz val="9"/>
        <color rgb="FFC00000"/>
        <rFont val="Meiryo"/>
        <family val="0"/>
        <charset val="1"/>
      </rPr>
      <t xml:space="preserve">20.8</t>
    </r>
    <r>
      <rPr>
        <sz val="9"/>
        <color rgb="FFC00000"/>
        <rFont val="WenQuanYi Zen Hei"/>
        <family val="2"/>
      </rPr>
      <t xml:space="preserve">百万円）は自社で継続。</t>
    </r>
  </si>
  <si>
    <t xml:space="preserve">※ 運転資金・手元資金バッファは含まない。開業前の採用・研修費は開業準備金に含む。</t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</si>
  <si>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号店・満年度）</t>
    </r>
  </si>
  <si>
    <t xml:space="preserve">原価は「経費前提」で選択中の方法に連動。軸の値（水色）は自由に変更できます。</t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</si>
  <si>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</si>
  <si>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</si>
  <si>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</si>
  <si>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</si>
  <si>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t xml:space="preserve">薄黄色＝現在の前提に一致するセル（席効率・回転率を変えると自動で移動します）。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</si>
</sst>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000000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  <font>
      <sz val="9.5"/>
      <color rgb="FF000000"/>
      <name val="WenQuanYi Zen Hei"/>
      <family val="2"/>
    </font>
    <font>
      <b val="true"/>
      <sz val="10"/>
      <color rgb="FF0000FF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f aca="false">売上前提!$B$18</f>
        <v>114</v>
      </c>
    </row>
    <row r="6" customFormat="false" ht="15" hidden="false" customHeight="false" outlineLevel="0" collapsed="false">
      <c r="A6" s="6" t="s">
        <v>4</v>
      </c>
      <c r="B6" s="5" t="n">
        <f aca="false">売上前提!$B$16</f>
        <v>62</v>
      </c>
    </row>
    <row r="7" customFormat="false" ht="15" hidden="false" customHeight="false" outlineLevel="0" collapsed="false">
      <c r="A7" s="6" t="s">
        <v>5</v>
      </c>
      <c r="B7" s="5" t="n">
        <f aca="false">売上前提!$B$17</f>
        <v>52</v>
      </c>
    </row>
    <row r="8" customFormat="false" ht="15" hidden="false" customHeight="false" outlineLevel="0" collapsed="false">
      <c r="A8" s="4" t="s">
        <v>6</v>
      </c>
      <c r="B8" s="7" t="n">
        <f aca="false">売上前提!$D$22</f>
        <v>0.75</v>
      </c>
    </row>
    <row r="9" customFormat="false" ht="15" hidden="false" customHeight="false" outlineLevel="0" collapsed="false">
      <c r="A9" s="4" t="s">
        <v>7</v>
      </c>
      <c r="B9" s="8" t="n">
        <f aca="false">売上前提!$E$26</f>
        <v>0.9</v>
      </c>
    </row>
    <row r="10" customFormat="false" ht="15" hidden="false" customHeight="false" outlineLevel="0" collapsed="false">
      <c r="A10" s="4" t="s">
        <v>8</v>
      </c>
      <c r="B10" s="5" t="n">
        <f aca="false">売上前提!$H$22</f>
        <v>4000</v>
      </c>
    </row>
    <row r="11" customFormat="false" ht="15" hidden="false" customHeight="false" outlineLevel="0" collapsed="false">
      <c r="A11" s="4" t="s">
        <v>9</v>
      </c>
      <c r="B11" s="5" t="n">
        <f aca="false">売上前提!$H$24</f>
        <v>2500</v>
      </c>
    </row>
    <row r="12" customFormat="false" ht="15" hidden="false" customHeight="false" outlineLevel="0" collapsed="false">
      <c r="A12" s="4" t="s">
        <v>10</v>
      </c>
      <c r="B12" s="5" t="n">
        <f aca="false">売上前提!$H$26</f>
        <v>15000</v>
      </c>
    </row>
    <row r="13" customFormat="false" ht="15" hidden="false" customHeight="false" outlineLevel="0" collapsed="false">
      <c r="A13" s="4" t="s">
        <v>11</v>
      </c>
      <c r="B13" s="5" t="n">
        <f aca="false">売上前提!$H$27</f>
        <v>10000</v>
      </c>
    </row>
    <row r="14" customFormat="false" ht="15" hidden="false" customHeight="false" outlineLevel="0" collapsed="false">
      <c r="A14" s="4" t="s">
        <v>12</v>
      </c>
      <c r="B14" s="9" t="n">
        <f aca="false">売上前提!$B$5</f>
        <v>363</v>
      </c>
    </row>
    <row r="15" customFormat="false" ht="15" hidden="false" customHeight="false" outlineLevel="0" collapsed="false">
      <c r="A15" s="10" t="s">
        <v>13</v>
      </c>
      <c r="B15" s="11" t="n">
        <f aca="false">売上前提!$K$28</f>
        <v>423.357825</v>
      </c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12" t="s">
        <v>15</v>
      </c>
      <c r="B18" s="13" t="s">
        <v>16</v>
      </c>
      <c r="C18" s="14" t="s">
        <v>17</v>
      </c>
      <c r="D18" s="14" t="s">
        <v>18</v>
      </c>
      <c r="E18" s="14" t="s">
        <v>19</v>
      </c>
    </row>
    <row r="19" customFormat="false" ht="15" hidden="false" customHeight="false" outlineLevel="0" collapsed="false">
      <c r="A19" s="4" t="s">
        <v>20</v>
      </c>
      <c r="B19" s="9" t="n">
        <f aca="false">単店PL!B6</f>
        <v>423.357825</v>
      </c>
      <c r="C19" s="9" t="n">
        <f aca="false">単店PL!C6</f>
        <v>381.0220425</v>
      </c>
      <c r="D19" s="9" t="n">
        <f aca="false">単店PL!D6</f>
        <v>414.8906685</v>
      </c>
      <c r="E19" s="9" t="n">
        <f aca="false">単店PL!E6</f>
        <v>423.357825</v>
      </c>
    </row>
    <row r="20" customFormat="false" ht="15" hidden="false" customHeight="false" outlineLevel="0" collapsed="false">
      <c r="A20" s="15" t="s">
        <v>21</v>
      </c>
      <c r="B20" s="9" t="n">
        <f aca="false">単店PL!B16</f>
        <v>115.1533284</v>
      </c>
      <c r="C20" s="9" t="n">
        <f aca="false">単店PL!C16</f>
        <v>103.63799556</v>
      </c>
      <c r="D20" s="9" t="n">
        <f aca="false">単店PL!D16</f>
        <v>118.658731191</v>
      </c>
      <c r="E20" s="9" t="n">
        <f aca="false">単店PL!E16</f>
        <v>127.0073475</v>
      </c>
    </row>
    <row r="21" customFormat="false" ht="15" hidden="false" customHeight="false" outlineLevel="0" collapsed="false">
      <c r="A21" s="16" t="s">
        <v>22</v>
      </c>
      <c r="B21" s="11" t="n">
        <f aca="false">単店PL!B22</f>
        <v>51.59451725</v>
      </c>
      <c r="C21" s="11" t="n">
        <f aca="false">単店PL!C22</f>
        <v>46.090865525</v>
      </c>
      <c r="D21" s="11" t="n">
        <f aca="false">単店PL!D22</f>
        <v>56.302256264</v>
      </c>
      <c r="E21" s="11" t="n">
        <f aca="false">単店PL!E22</f>
        <v>63.44853635</v>
      </c>
    </row>
    <row r="22" customFormat="false" ht="15" hidden="false" customHeight="false" outlineLevel="0" collapsed="false">
      <c r="A22" s="4" t="s">
        <v>23</v>
      </c>
      <c r="B22" s="9" t="n">
        <f aca="false">単店PL!B23</f>
        <v>20.825</v>
      </c>
      <c r="C22" s="9" t="n">
        <f aca="false">単店PL!C23</f>
        <v>20.825</v>
      </c>
      <c r="D22" s="9" t="n">
        <f aca="false">単店PL!D23</f>
        <v>20.825</v>
      </c>
      <c r="E22" s="9" t="n">
        <f aca="false">単店PL!E23</f>
        <v>20.825</v>
      </c>
    </row>
    <row r="23" customFormat="false" ht="15" hidden="false" customHeight="false" outlineLevel="0" collapsed="false">
      <c r="A23" s="10" t="s">
        <v>24</v>
      </c>
      <c r="B23" s="11" t="n">
        <f aca="false">単店PL!B24</f>
        <v>30.76951725</v>
      </c>
      <c r="C23" s="11" t="n">
        <f aca="false">単店PL!C24</f>
        <v>25.265865525</v>
      </c>
      <c r="D23" s="11" t="n">
        <f aca="false">単店PL!D24</f>
        <v>35.477256264</v>
      </c>
      <c r="E23" s="11" t="n">
        <f aca="false">単店PL!E24</f>
        <v>42.62353635</v>
      </c>
    </row>
    <row r="24" customFormat="false" ht="15" hidden="false" customHeight="false" outlineLevel="0" collapsed="false">
      <c r="A24" s="10" t="s">
        <v>25</v>
      </c>
      <c r="B24" s="17" t="n">
        <f aca="false">IF(単店PL!B6=0,0,単店PL!B22/単店PL!B6)</f>
        <v>0.121869761708078</v>
      </c>
      <c r="C24" s="17" t="n">
        <f aca="false">IF(単店PL!C6=0,0,単店PL!C22/単店PL!C6)</f>
        <v>0.120966401897864</v>
      </c>
      <c r="D24" s="17" t="n">
        <f aca="false">IF(単店PL!D6=0,0,単店PL!D22/単店PL!D6)</f>
        <v>0.13570383847763</v>
      </c>
      <c r="E24" s="17" t="n">
        <f aca="false">IF(単店PL!E6=0,0,単店PL!E22/単店PL!E6)</f>
        <v>0.149869761708078</v>
      </c>
    </row>
    <row r="25" customFormat="false" ht="15" hidden="false" customHeight="false" outlineLevel="0" collapsed="false">
      <c r="A25" s="10" t="s">
        <v>26</v>
      </c>
      <c r="B25" s="17" t="n">
        <f aca="false">IF(単店PL!B6=0,0,単店PL!B24/単店PL!B6)</f>
        <v>0.0726796941806851</v>
      </c>
      <c r="C25" s="17" t="n">
        <f aca="false">IF(単店PL!C6=0,0,単店PL!C24/単店PL!C6)</f>
        <v>0.0663107713118723</v>
      </c>
      <c r="D25" s="17" t="n">
        <f aca="false">IF(単店PL!D6=0,0,単店PL!D24/単店PL!D6)</f>
        <v>0.0855098920211073</v>
      </c>
      <c r="E25" s="17" t="n">
        <f aca="false">IF(単店PL!E6=0,0,単店PL!E24/単店PL!E6)</f>
        <v>0.100679694180685</v>
      </c>
    </row>
    <row r="27" customFormat="false" ht="15" hidden="false" customHeight="false" outlineLevel="0" collapsed="false">
      <c r="A27" s="18" t="s">
        <v>27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12" t="s">
        <v>15</v>
      </c>
      <c r="C28" s="14" t="s">
        <v>28</v>
      </c>
      <c r="D28" s="14" t="s">
        <v>29</v>
      </c>
      <c r="E28" s="14" t="s">
        <v>30</v>
      </c>
      <c r="F28" s="14" t="s">
        <v>31</v>
      </c>
      <c r="G28" s="14" t="s">
        <v>32</v>
      </c>
      <c r="H28" s="14" t="s">
        <v>33</v>
      </c>
    </row>
    <row r="29" customFormat="false" ht="15" hidden="false" customHeight="false" outlineLevel="0" collapsed="false">
      <c r="A29" s="4" t="s">
        <v>34</v>
      </c>
      <c r="C29" s="5" t="n">
        <f aca="false">連結PL!C4</f>
        <v>1</v>
      </c>
      <c r="D29" s="5" t="n">
        <f aca="false">連結PL!D4</f>
        <v>3</v>
      </c>
      <c r="E29" s="5" t="n">
        <f aca="false">連結PL!E4</f>
        <v>5</v>
      </c>
      <c r="F29" s="5" t="n">
        <f aca="false">連結PL!F4</f>
        <v>7</v>
      </c>
      <c r="G29" s="5" t="n">
        <f aca="false">連結PL!G4</f>
        <v>9</v>
      </c>
    </row>
    <row r="30" customFormat="false" ht="15" hidden="false" customHeight="false" outlineLevel="0" collapsed="false">
      <c r="A30" s="4" t="s">
        <v>20</v>
      </c>
      <c r="C30" s="19" t="n">
        <f aca="false">連結PL!C5</f>
        <v>381.0220425</v>
      </c>
      <c r="D30" s="19" t="n">
        <f aca="false">連結PL!D5</f>
        <v>891.168221625</v>
      </c>
      <c r="E30" s="19" t="n">
        <f aca="false">連結PL!E5</f>
        <v>1729.416715125</v>
      </c>
      <c r="F30" s="19" t="n">
        <f aca="false">連結PL!F5</f>
        <v>2576.132365125</v>
      </c>
      <c r="G30" s="19" t="n">
        <f aca="false">連結PL!G5</f>
        <v>3422.848015125</v>
      </c>
      <c r="H30" s="20" t="n">
        <f aca="false">連結PL!H5</f>
        <v>9000.5873595</v>
      </c>
    </row>
    <row r="31" customFormat="false" ht="15" hidden="false" customHeight="false" outlineLevel="0" collapsed="false">
      <c r="A31" s="10" t="s">
        <v>35</v>
      </c>
      <c r="C31" s="21" t="n">
        <f aca="false">連結PL!C21</f>
        <v>31.090865525</v>
      </c>
      <c r="D31" s="21" t="n">
        <f aca="false">連結PL!D21</f>
        <v>85.91583817025</v>
      </c>
      <c r="E31" s="21" t="n">
        <f aca="false">連結PL!E21</f>
        <v>193.66663078425</v>
      </c>
      <c r="F31" s="21" t="n">
        <f aca="false">連結PL!F21</f>
        <v>312.56370348425</v>
      </c>
      <c r="G31" s="21" t="n">
        <f aca="false">連結PL!G21</f>
        <v>432.46077618425</v>
      </c>
      <c r="H31" s="20" t="n">
        <f aca="false">連結PL!H21</f>
        <v>1055.697814148</v>
      </c>
    </row>
    <row r="32" customFormat="false" ht="15" hidden="false" customHeight="false" outlineLevel="0" collapsed="false">
      <c r="A32" s="10" t="s">
        <v>25</v>
      </c>
      <c r="C32" s="22" t="n">
        <f aca="false">連結PL!C22</f>
        <v>0.0815986007554931</v>
      </c>
      <c r="D32" s="22" t="n">
        <f aca="false">連結PL!D22</f>
        <v>0.0964081035268368</v>
      </c>
      <c r="E32" s="22" t="n">
        <f aca="false">連結PL!E22</f>
        <v>0.111983785683633</v>
      </c>
      <c r="F32" s="22" t="n">
        <f aca="false">連結PL!F22</f>
        <v>0.121330606965564</v>
      </c>
      <c r="G32" s="22" t="n">
        <f aca="false">連結PL!G22</f>
        <v>0.126345304925395</v>
      </c>
      <c r="H32" s="23" t="n">
        <f aca="false">連結PL!H22</f>
        <v>0.117292102390821</v>
      </c>
    </row>
    <row r="33" customFormat="false" ht="15" hidden="false" customHeight="false" outlineLevel="0" collapsed="false">
      <c r="A33" s="10" t="s">
        <v>24</v>
      </c>
      <c r="C33" s="21" t="n">
        <f aca="false">連結PL!C24</f>
        <v>10.265865525</v>
      </c>
      <c r="D33" s="21" t="n">
        <f aca="false">連結PL!D24</f>
        <v>39.05958817025</v>
      </c>
      <c r="E33" s="21" t="n">
        <f aca="false">連結PL!E24</f>
        <v>105.78538078425</v>
      </c>
      <c r="F33" s="21" t="n">
        <f aca="false">連結PL!F24</f>
        <v>184.03245348425</v>
      </c>
      <c r="G33" s="21" t="n">
        <f aca="false">連結PL!G24</f>
        <v>263.27952618425</v>
      </c>
      <c r="H33" s="20" t="n">
        <f aca="false">連結PL!H24</f>
        <v>602.422814148</v>
      </c>
    </row>
    <row r="34" customFormat="false" ht="15" hidden="false" customHeight="false" outlineLevel="0" collapsed="false">
      <c r="A34" s="10" t="s">
        <v>26</v>
      </c>
      <c r="C34" s="22" t="n">
        <f aca="false">連結PL!C25</f>
        <v>0.0269429701695014</v>
      </c>
      <c r="D34" s="22" t="n">
        <f aca="false">連結PL!D25</f>
        <v>0.0438296465498139</v>
      </c>
      <c r="E34" s="22" t="n">
        <f aca="false">連結PL!E25</f>
        <v>0.0611682423669671</v>
      </c>
      <c r="F34" s="22" t="n">
        <f aca="false">連結PL!F25</f>
        <v>0.0714374990880255</v>
      </c>
      <c r="G34" s="22" t="n">
        <f aca="false">連結PL!G25</f>
        <v>0.076918263685931</v>
      </c>
      <c r="H34" s="23" t="n">
        <f aca="false">連結PL!H25</f>
        <v>0.0669315001439491</v>
      </c>
    </row>
    <row r="36" customFormat="false" ht="15" hidden="false" customHeight="false" outlineLevel="0" collapsed="false">
      <c r="A36" s="3" t="s">
        <v>36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37</v>
      </c>
      <c r="B37" s="24" t="str">
        <f aca="false">IF(COUNTIF(連結PL!C22:G22,"&gt;=0.1")=0,"5年内に未達",INDEX({"FY2027","FY2028","FY2029","FY2030","FY2031"},6-COUNTIF(連結PL!C22:G22,"&gt;=0.1")))</f>
        <v>FY2029</v>
      </c>
      <c r="D37" s="2" t="s">
        <v>38</v>
      </c>
    </row>
    <row r="38" customFormat="false" ht="15" hidden="false" customHeight="false" outlineLevel="0" collapsed="false">
      <c r="A38" s="4" t="s">
        <v>39</v>
      </c>
      <c r="B38" s="24" t="str">
        <f aca="false">IF(COUNTIF(連結PL!C25:G25,"&gt;=0.05")=0,"5年内に未達",INDEX({"FY2027","FY2028","FY2029","FY2030","FY2031"},6-COUNTIF(連結PL!C25:G25,"&gt;=0.05")))</f>
        <v>FY2029</v>
      </c>
      <c r="D38" s="2" t="s">
        <v>40</v>
      </c>
    </row>
    <row r="40" customFormat="false" ht="15" hidden="false" customHeight="false" outlineLevel="0" collapsed="false">
      <c r="A40" s="3" t="s">
        <v>41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15" t="s">
        <v>42</v>
      </c>
      <c r="B41" s="9" t="n">
        <f aca="false">経費前提!$B$39</f>
        <v>297.25</v>
      </c>
    </row>
    <row r="42" customFormat="false" ht="15" hidden="false" customHeight="false" outlineLevel="0" collapsed="false">
      <c r="A42" s="4" t="s">
        <v>43</v>
      </c>
      <c r="B42" s="9" t="n">
        <f aca="false">経費前提!$B$48</f>
        <v>158.35</v>
      </c>
    </row>
    <row r="43" customFormat="false" ht="15" hidden="false" customHeight="false" outlineLevel="0" collapsed="false">
      <c r="A43" s="4" t="s">
        <v>44</v>
      </c>
      <c r="B43" s="9" t="n">
        <f aca="false">経費前提!$B$47</f>
        <v>138.9</v>
      </c>
    </row>
    <row r="44" customFormat="false" ht="15" hidden="false" customHeight="false" outlineLevel="0" collapsed="false">
      <c r="A44" s="15" t="s">
        <v>45</v>
      </c>
      <c r="B44" s="25" t="str">
        <f aca="false">投資・CF!B13</f>
        <v>4年目</v>
      </c>
    </row>
    <row r="45" customFormat="false" ht="15" hidden="false" customHeight="false" outlineLevel="0" collapsed="false">
      <c r="A45" s="15" t="s">
        <v>46</v>
      </c>
      <c r="B45" s="8" t="n">
        <f aca="false">投資・CF!B14</f>
        <v>3.81809627106115</v>
      </c>
    </row>
    <row r="46" customFormat="false" ht="15" hidden="false" customHeight="false" outlineLevel="0" collapsed="false">
      <c r="A46" s="4" t="s">
        <v>47</v>
      </c>
      <c r="B46" s="9" t="n">
        <f aca="false">投資・CF!H22</f>
        <v>-2325.25</v>
      </c>
    </row>
    <row r="47" customFormat="false" ht="15" hidden="false" customHeight="false" outlineLevel="0" collapsed="false">
      <c r="A47" s="4" t="s">
        <v>48</v>
      </c>
      <c r="B47" s="9" t="n">
        <f aca="false">投資・CF!H24</f>
        <v>-1075.15</v>
      </c>
    </row>
    <row r="48" customFormat="false" ht="15" hidden="false" customHeight="false" outlineLevel="0" collapsed="false">
      <c r="A48" s="4" t="s">
        <v>49</v>
      </c>
      <c r="B48" s="9" t="n">
        <f aca="false">投資・CF!B34</f>
        <v>542.436172953543</v>
      </c>
    </row>
    <row r="49" customFormat="false" ht="15" hidden="false" customHeight="false" outlineLevel="0" collapsed="false">
      <c r="A49" s="15" t="s">
        <v>50</v>
      </c>
      <c r="B49" s="9" t="n">
        <f aca="false">投資・CF!B53</f>
        <v>158.35</v>
      </c>
    </row>
    <row r="50" customFormat="false" ht="15" hidden="false" customHeight="false" outlineLevel="0" collapsed="false">
      <c r="A50" s="4" t="s">
        <v>51</v>
      </c>
      <c r="B50" s="9" t="n">
        <f aca="false">投資・CF!B61</f>
        <v>90</v>
      </c>
    </row>
    <row r="51" customFormat="false" ht="15" hidden="false" customHeight="false" outlineLevel="0" collapsed="false">
      <c r="A51" s="4" t="s">
        <v>52</v>
      </c>
      <c r="B51" s="9" t="n">
        <f aca="false">投資・CF!B39</f>
        <v>180</v>
      </c>
    </row>
    <row r="52" customFormat="false" ht="15" hidden="false" customHeight="false" outlineLevel="0" collapsed="false">
      <c r="A52" s="10" t="s">
        <v>53</v>
      </c>
      <c r="B52" s="11" t="n">
        <f aca="false">投資・CF!B64</f>
        <v>-68.35</v>
      </c>
    </row>
    <row r="53" customFormat="false" ht="15" hidden="false" customHeight="false" outlineLevel="0" collapsed="false">
      <c r="A53" s="10" t="s">
        <v>54</v>
      </c>
      <c r="B53" s="11" t="n">
        <f aca="false">投資・CF!B65</f>
        <v>21.65</v>
      </c>
    </row>
    <row r="54" customFormat="false" ht="15" hidden="false" customHeight="false" outlineLevel="0" collapsed="false">
      <c r="A54" s="10" t="s">
        <v>55</v>
      </c>
      <c r="B54" s="11" t="n">
        <f aca="false">投資・CF!B66</f>
        <v>34.1039630103572</v>
      </c>
    </row>
    <row r="55" customFormat="false" ht="15" hidden="false" customHeight="false" outlineLevel="0" collapsed="false">
      <c r="A55" s="10" t="s">
        <v>56</v>
      </c>
      <c r="B55" s="11" t="n">
        <f aca="false">投資・CF!B40</f>
        <v>-362.436172953543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26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59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7" t="s">
        <v>12</v>
      </c>
      <c r="B5" s="28" t="n">
        <v>363</v>
      </c>
      <c r="N5" s="2" t="s">
        <v>60</v>
      </c>
    </row>
    <row r="6" customFormat="false" ht="15" hidden="false" customHeight="false" outlineLevel="0" collapsed="false">
      <c r="A6" s="27" t="s">
        <v>61</v>
      </c>
      <c r="B6" s="29" t="n">
        <v>0.9</v>
      </c>
      <c r="N6" s="2" t="s">
        <v>62</v>
      </c>
    </row>
    <row r="7" customFormat="false" ht="15" hidden="false" customHeight="false" outlineLevel="0" collapsed="false">
      <c r="A7" s="27" t="s">
        <v>63</v>
      </c>
      <c r="B7" s="29" t="n">
        <v>0.98</v>
      </c>
      <c r="N7" s="2"/>
    </row>
    <row r="8" customFormat="false" ht="15" hidden="false" customHeight="false" outlineLevel="0" collapsed="false">
      <c r="A8" s="27" t="s">
        <v>64</v>
      </c>
      <c r="B8" s="29" t="n">
        <v>1</v>
      </c>
      <c r="N8" s="2" t="s">
        <v>65</v>
      </c>
    </row>
    <row r="9" customFormat="false" ht="15" hidden="false" customHeight="false" outlineLevel="0" collapsed="false">
      <c r="A9" s="27" t="s">
        <v>66</v>
      </c>
      <c r="B9" s="28" t="n">
        <v>7.5</v>
      </c>
      <c r="N9" s="30" t="s">
        <v>67</v>
      </c>
    </row>
    <row r="10" customFormat="false" ht="15" hidden="false" customHeight="false" outlineLevel="0" collapsed="false">
      <c r="A10" s="31" t="s">
        <v>68</v>
      </c>
      <c r="B10" s="28" t="n">
        <v>12</v>
      </c>
      <c r="N10" s="30" t="s">
        <v>69</v>
      </c>
    </row>
    <row r="12" customFormat="false" ht="15" hidden="false" customHeight="false" outlineLevel="0" collapsed="false">
      <c r="A12" s="3" t="s">
        <v>70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27" t="s">
        <v>71</v>
      </c>
      <c r="B13" s="32" t="n">
        <v>14</v>
      </c>
      <c r="N13" s="30" t="s">
        <v>72</v>
      </c>
    </row>
    <row r="14" customFormat="false" ht="15" hidden="false" customHeight="false" outlineLevel="0" collapsed="false">
      <c r="A14" s="27" t="s">
        <v>73</v>
      </c>
      <c r="B14" s="32" t="n">
        <v>23</v>
      </c>
    </row>
    <row r="15" customFormat="false" ht="15" hidden="false" customHeight="false" outlineLevel="0" collapsed="false">
      <c r="A15" s="27" t="s">
        <v>74</v>
      </c>
      <c r="B15" s="32" t="n">
        <v>25</v>
      </c>
    </row>
    <row r="16" customFormat="false" ht="15" hidden="false" customHeight="false" outlineLevel="0" collapsed="false">
      <c r="A16" s="33" t="s">
        <v>75</v>
      </c>
      <c r="B16" s="34" t="n">
        <f aca="false">SUM(B13:B15)</f>
        <v>62</v>
      </c>
    </row>
    <row r="17" customFormat="false" ht="15" hidden="false" customHeight="false" outlineLevel="0" collapsed="false">
      <c r="A17" s="27" t="s">
        <v>76</v>
      </c>
      <c r="B17" s="32" t="n">
        <v>52</v>
      </c>
    </row>
    <row r="18" customFormat="false" ht="15" hidden="false" customHeight="false" outlineLevel="0" collapsed="false">
      <c r="A18" s="33" t="s">
        <v>77</v>
      </c>
      <c r="B18" s="35" t="n">
        <f aca="false">B16+B17</f>
        <v>114</v>
      </c>
    </row>
    <row r="20" customFormat="false" ht="15" hidden="false" customHeight="false" outlineLevel="0" collapsed="false">
      <c r="A20" s="3" t="s">
        <v>78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3.75" hidden="false" customHeight="true" outlineLevel="0" collapsed="false">
      <c r="A21" s="36" t="s">
        <v>79</v>
      </c>
      <c r="B21" s="36" t="s">
        <v>80</v>
      </c>
      <c r="C21" s="36" t="s">
        <v>81</v>
      </c>
      <c r="D21" s="36" t="s">
        <v>82</v>
      </c>
      <c r="E21" s="36" t="s">
        <v>83</v>
      </c>
      <c r="F21" s="36" t="s">
        <v>84</v>
      </c>
      <c r="G21" s="36" t="s">
        <v>85</v>
      </c>
      <c r="H21" s="36" t="s">
        <v>86</v>
      </c>
      <c r="I21" s="37" t="s">
        <v>87</v>
      </c>
      <c r="J21" s="36" t="s">
        <v>88</v>
      </c>
      <c r="K21" s="36" t="s">
        <v>89</v>
      </c>
      <c r="L21" s="36" t="s">
        <v>90</v>
      </c>
    </row>
    <row r="22" customFormat="false" ht="15" hidden="false" customHeight="false" outlineLevel="0" collapsed="false">
      <c r="A22" s="38" t="s">
        <v>91</v>
      </c>
      <c r="B22" s="39" t="s">
        <v>92</v>
      </c>
      <c r="C22" s="5" t="n">
        <f aca="false">$B$16</f>
        <v>62</v>
      </c>
      <c r="D22" s="29" t="n">
        <v>0.75</v>
      </c>
      <c r="E22" s="40" t="n">
        <v>1.15</v>
      </c>
      <c r="F22" s="32" t="n">
        <v>3000</v>
      </c>
      <c r="G22" s="32" t="n">
        <v>1000</v>
      </c>
      <c r="H22" s="41" t="n">
        <f aca="false">F22+G22</f>
        <v>4000</v>
      </c>
      <c r="I22" s="42" t="n">
        <f aca="false">C22*D22*E22</f>
        <v>53.475</v>
      </c>
      <c r="J22" s="43" t="n">
        <f aca="false">I22*H22</f>
        <v>213900</v>
      </c>
      <c r="K22" s="44" t="n">
        <f aca="false">J22*$B$5/1000000</f>
        <v>77.6457</v>
      </c>
      <c r="L22" s="45" t="n">
        <f aca="false">IF($K$28=0,0,K22/$K$28)</f>
        <v>0.183404428629611</v>
      </c>
      <c r="N22" s="46" t="s">
        <v>93</v>
      </c>
    </row>
    <row r="23" customFormat="false" ht="15" hidden="false" customHeight="false" outlineLevel="0" collapsed="false">
      <c r="A23" s="38" t="s">
        <v>91</v>
      </c>
      <c r="B23" s="39" t="s">
        <v>76</v>
      </c>
      <c r="C23" s="5" t="n">
        <f aca="false">$B$17</f>
        <v>52</v>
      </c>
      <c r="D23" s="29" t="n">
        <v>0.5</v>
      </c>
      <c r="E23" s="40" t="n">
        <v>1</v>
      </c>
      <c r="F23" s="32" t="n">
        <v>3000</v>
      </c>
      <c r="G23" s="32" t="n">
        <v>1000</v>
      </c>
      <c r="H23" s="41" t="n">
        <f aca="false">F23+G23</f>
        <v>4000</v>
      </c>
      <c r="I23" s="42" t="n">
        <f aca="false">C23*D23*E23</f>
        <v>26</v>
      </c>
      <c r="J23" s="43" t="n">
        <f aca="false">I23*H23</f>
        <v>104000</v>
      </c>
      <c r="K23" s="44" t="n">
        <f aca="false">J23*$B$5/1000000</f>
        <v>37.752</v>
      </c>
      <c r="L23" s="45" t="n">
        <f aca="false">IF($K$28=0,0,K23/$K$28)</f>
        <v>0.0891727937236072</v>
      </c>
    </row>
    <row r="24" customFormat="false" ht="15" hidden="false" customHeight="false" outlineLevel="0" collapsed="false">
      <c r="A24" s="38" t="s">
        <v>94</v>
      </c>
      <c r="B24" s="39" t="s">
        <v>92</v>
      </c>
      <c r="C24" s="5" t="n">
        <f aca="false">$B$16</f>
        <v>62</v>
      </c>
      <c r="D24" s="29" t="n">
        <v>0.75</v>
      </c>
      <c r="E24" s="40" t="n">
        <v>0.5</v>
      </c>
      <c r="F24" s="32" t="n">
        <v>1500</v>
      </c>
      <c r="G24" s="32" t="n">
        <v>1000</v>
      </c>
      <c r="H24" s="41" t="n">
        <f aca="false">F24+G24</f>
        <v>2500</v>
      </c>
      <c r="I24" s="42" t="n">
        <f aca="false">C24*D24*E24</f>
        <v>23.25</v>
      </c>
      <c r="J24" s="43" t="n">
        <f aca="false">I24*H24</f>
        <v>58125</v>
      </c>
      <c r="K24" s="44" t="n">
        <f aca="false">J24*$B$5/1000000</f>
        <v>21.099375</v>
      </c>
      <c r="L24" s="45" t="n">
        <f aca="false">IF($K$28=0,0,K24/$K$28)</f>
        <v>0.0498381599536987</v>
      </c>
    </row>
    <row r="25" customFormat="false" ht="15" hidden="false" customHeight="false" outlineLevel="0" collapsed="false">
      <c r="A25" s="38" t="s">
        <v>94</v>
      </c>
      <c r="B25" s="39" t="s">
        <v>76</v>
      </c>
      <c r="C25" s="5" t="n">
        <f aca="false">$B$17</f>
        <v>52</v>
      </c>
      <c r="D25" s="29" t="n">
        <v>0.5</v>
      </c>
      <c r="E25" s="40" t="n">
        <v>0.5</v>
      </c>
      <c r="F25" s="32" t="n">
        <v>1500</v>
      </c>
      <c r="G25" s="32" t="n">
        <v>1000</v>
      </c>
      <c r="H25" s="41" t="n">
        <f aca="false">F25+G25</f>
        <v>2500</v>
      </c>
      <c r="I25" s="42" t="n">
        <f aca="false">C25*D25*E25</f>
        <v>13</v>
      </c>
      <c r="J25" s="43" t="n">
        <f aca="false">I25*H25</f>
        <v>32500</v>
      </c>
      <c r="K25" s="44" t="n">
        <f aca="false">J25*$B$5/1000000</f>
        <v>11.7975</v>
      </c>
      <c r="L25" s="45" t="n">
        <f aca="false">IF($K$28=0,0,K25/$K$28)</f>
        <v>0.0278664980386273</v>
      </c>
    </row>
    <row r="26" customFormat="false" ht="15" hidden="false" customHeight="false" outlineLevel="0" collapsed="false">
      <c r="A26" s="38" t="s">
        <v>95</v>
      </c>
      <c r="B26" s="39" t="s">
        <v>92</v>
      </c>
      <c r="C26" s="5" t="n">
        <f aca="false">$B$16</f>
        <v>62</v>
      </c>
      <c r="D26" s="29" t="n">
        <v>0.75</v>
      </c>
      <c r="E26" s="40" t="n">
        <v>0.9</v>
      </c>
      <c r="F26" s="32" t="n">
        <v>9000</v>
      </c>
      <c r="G26" s="32" t="n">
        <v>6000</v>
      </c>
      <c r="H26" s="41" t="n">
        <f aca="false">F26+G26</f>
        <v>15000</v>
      </c>
      <c r="I26" s="42" t="n">
        <f aca="false">C26*D26*E26</f>
        <v>41.85</v>
      </c>
      <c r="J26" s="43" t="n">
        <f aca="false">I26*H26</f>
        <v>627750</v>
      </c>
      <c r="K26" s="44" t="n">
        <f aca="false">J26*$B$5/1000000</f>
        <v>227.87325</v>
      </c>
      <c r="L26" s="45" t="n">
        <f aca="false">IF($K$28=0,0,K26/$K$28)</f>
        <v>0.538252127499946</v>
      </c>
    </row>
    <row r="27" customFormat="false" ht="15" hidden="false" customHeight="false" outlineLevel="0" collapsed="false">
      <c r="A27" s="38" t="s">
        <v>95</v>
      </c>
      <c r="B27" s="39" t="s">
        <v>76</v>
      </c>
      <c r="C27" s="5" t="n">
        <f aca="false">$B$17</f>
        <v>52</v>
      </c>
      <c r="D27" s="29" t="n">
        <v>0.5</v>
      </c>
      <c r="E27" s="40" t="n">
        <v>0.5</v>
      </c>
      <c r="F27" s="32" t="n">
        <v>5000</v>
      </c>
      <c r="G27" s="32" t="n">
        <v>5000</v>
      </c>
      <c r="H27" s="41" t="n">
        <f aca="false">F27+G27</f>
        <v>10000</v>
      </c>
      <c r="I27" s="42" t="n">
        <f aca="false">C27*D27*E27</f>
        <v>13</v>
      </c>
      <c r="J27" s="43" t="n">
        <f aca="false">I27*H27</f>
        <v>130000</v>
      </c>
      <c r="K27" s="44" t="n">
        <f aca="false">J27*$B$5/1000000</f>
        <v>47.19</v>
      </c>
      <c r="L27" s="45" t="n">
        <f aca="false">IF($K$28=0,0,K27/$K$28)</f>
        <v>0.111465992154509</v>
      </c>
    </row>
    <row r="28" customFormat="false" ht="15" hidden="false" customHeight="false" outlineLevel="0" collapsed="false">
      <c r="A28" s="10" t="s">
        <v>77</v>
      </c>
      <c r="B28" s="47"/>
      <c r="C28" s="47"/>
      <c r="D28" s="47"/>
      <c r="E28" s="47"/>
      <c r="F28" s="47"/>
      <c r="G28" s="47"/>
      <c r="H28" s="47"/>
      <c r="I28" s="48" t="n">
        <f aca="false">SUM(I22:I27)</f>
        <v>170.575</v>
      </c>
      <c r="J28" s="49" t="n">
        <f aca="false">SUM(J22:J27)</f>
        <v>1166275</v>
      </c>
      <c r="K28" s="50" t="n">
        <f aca="false">SUM(K22:K27)</f>
        <v>423.357825</v>
      </c>
      <c r="L28" s="51" t="n">
        <f aca="false">SUM(L22:L27)</f>
        <v>1</v>
      </c>
    </row>
    <row r="29" customFormat="false" ht="15" hidden="false" customHeight="false" outlineLevel="0" collapsed="false">
      <c r="A29" s="3" t="s">
        <v>96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27" t="s">
        <v>97</v>
      </c>
      <c r="B30" s="42" t="n">
        <f aca="false">SUMPRODUCT(I22:I27,F22:F27)*$B$5/1000000</f>
        <v>266.60535</v>
      </c>
    </row>
    <row r="31" customFormat="false" ht="15" hidden="false" customHeight="false" outlineLevel="0" collapsed="false">
      <c r="A31" s="27" t="s">
        <v>98</v>
      </c>
      <c r="B31" s="42" t="n">
        <f aca="false">SUMPRODUCT(I22:I27,G22:G27)*$B$5/1000000</f>
        <v>156.752475</v>
      </c>
    </row>
    <row r="32" customFormat="false" ht="15" hidden="false" customHeight="false" outlineLevel="0" collapsed="false">
      <c r="A32" s="33" t="s">
        <v>77</v>
      </c>
      <c r="B32" s="48" t="n">
        <f aca="false">B30+B31</f>
        <v>423.357825</v>
      </c>
    </row>
    <row r="33" customFormat="false" ht="15" hidden="false" customHeight="false" outlineLevel="0" collapsed="false">
      <c r="A33" s="27" t="s">
        <v>99</v>
      </c>
      <c r="B33" s="45" t="n">
        <f aca="false">IF($B$32=0,0,B30/$B$32)</f>
        <v>0.629739984137532</v>
      </c>
    </row>
    <row r="34" customFormat="false" ht="15" hidden="false" customHeight="false" outlineLevel="0" collapsed="false">
      <c r="A34" s="27" t="s">
        <v>100</v>
      </c>
      <c r="B34" s="45" t="n">
        <f aca="false">IF($B$32=0,0,B31/$B$32)</f>
        <v>0.370260015862468</v>
      </c>
    </row>
    <row r="35" customFormat="false" ht="15" hidden="false" customHeight="false" outlineLevel="0" collapsed="false">
      <c r="A35" s="3" t="s">
        <v>101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7" t="s">
        <v>102</v>
      </c>
      <c r="B36" s="41" t="n">
        <f aca="false">J28</f>
        <v>1166275</v>
      </c>
      <c r="N36" s="2"/>
    </row>
    <row r="37" customFormat="false" ht="15" hidden="false" customHeight="false" outlineLevel="0" collapsed="false">
      <c r="A37" s="27" t="s">
        <v>103</v>
      </c>
      <c r="B37" s="42" t="n">
        <f aca="false">K28/12</f>
        <v>35.27981875</v>
      </c>
      <c r="N37" s="2"/>
    </row>
    <row r="38" customFormat="false" ht="15" hidden="false" customHeight="false" outlineLevel="0" collapsed="false">
      <c r="A38" s="27" t="s">
        <v>104</v>
      </c>
      <c r="B38" s="42" t="n">
        <f aca="false">K28</f>
        <v>423.357825</v>
      </c>
      <c r="N38" s="2" t="s">
        <v>105</v>
      </c>
    </row>
    <row r="39" customFormat="false" ht="15" hidden="false" customHeight="false" outlineLevel="0" collapsed="false">
      <c r="A39" s="31" t="s">
        <v>106</v>
      </c>
      <c r="B39" s="42" t="n">
        <f aca="false">I28</f>
        <v>170.575</v>
      </c>
      <c r="N39" s="2"/>
    </row>
    <row r="40" customFormat="false" ht="15" hidden="false" customHeight="false" outlineLevel="0" collapsed="false">
      <c r="A40" s="27" t="s">
        <v>107</v>
      </c>
      <c r="B40" s="41" t="n">
        <f aca="false">IF(I28=0,0,J28/I28)</f>
        <v>6837.31496409204</v>
      </c>
      <c r="N40" s="2"/>
    </row>
    <row r="41" customFormat="false" ht="15" hidden="false" customHeight="false" outlineLevel="0" collapsed="false">
      <c r="A41" s="27" t="s">
        <v>108</v>
      </c>
      <c r="B41" s="52" t="n">
        <f aca="false">IF($B$18=0,0,I28/$B$18)</f>
        <v>1.49627192982456</v>
      </c>
      <c r="N41" s="2"/>
    </row>
    <row r="42" customFormat="false" ht="15" hidden="false" customHeight="false" outlineLevel="0" collapsed="false">
      <c r="A42" s="27" t="s">
        <v>109</v>
      </c>
      <c r="B42" s="28" t="n">
        <v>55.5</v>
      </c>
      <c r="N42" s="30" t="s">
        <v>110</v>
      </c>
    </row>
    <row r="43" customFormat="false" ht="15" hidden="false" customHeight="false" outlineLevel="0" collapsed="false">
      <c r="A43" s="27" t="s">
        <v>111</v>
      </c>
      <c r="B43" s="42" t="n">
        <f aca="false">IF(B42=0,0,K28/B42)</f>
        <v>7.62806891891892</v>
      </c>
      <c r="N43" s="2"/>
    </row>
    <row r="44" customFormat="false" ht="15" hidden="false" customHeight="false" outlineLevel="0" collapsed="false">
      <c r="A44" s="31" t="s">
        <v>112</v>
      </c>
      <c r="B44" s="42" t="n">
        <f aca="false">IF($B$18=0,0,K28/$B$18)</f>
        <v>3.71366513157895</v>
      </c>
      <c r="N44" s="2" t="s">
        <v>113</v>
      </c>
    </row>
    <row r="45" customFormat="false" ht="15" hidden="false" customHeight="false" outlineLevel="0" collapsed="false">
      <c r="A45" s="3" t="s">
        <v>114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2" t="s">
        <v>15</v>
      </c>
      <c r="B46" s="13" t="s">
        <v>16</v>
      </c>
      <c r="C46" s="14" t="s">
        <v>17</v>
      </c>
      <c r="D46" s="14" t="s">
        <v>18</v>
      </c>
      <c r="E46" s="14" t="s">
        <v>19</v>
      </c>
    </row>
    <row r="47" customFormat="false" ht="15" hidden="false" customHeight="false" outlineLevel="0" collapsed="false">
      <c r="A47" s="27" t="s">
        <v>115</v>
      </c>
      <c r="B47" s="45" t="n">
        <f aca="false">$B$8</f>
        <v>1</v>
      </c>
      <c r="C47" s="45" t="n">
        <f aca="false">$B$6</f>
        <v>0.9</v>
      </c>
      <c r="D47" s="45" t="n">
        <f aca="false">$B$7</f>
        <v>0.98</v>
      </c>
      <c r="E47" s="45" t="n">
        <f aca="false">$B$8</f>
        <v>1</v>
      </c>
    </row>
    <row r="48" customFormat="false" ht="15" hidden="false" customHeight="false" outlineLevel="0" collapsed="false">
      <c r="A48" s="33" t="s">
        <v>116</v>
      </c>
      <c r="B48" s="50" t="n">
        <f aca="false">$K$28*B47</f>
        <v>423.357825</v>
      </c>
      <c r="C48" s="50" t="n">
        <f aca="false">$K$28*C47</f>
        <v>381.0220425</v>
      </c>
      <c r="D48" s="50" t="n">
        <f aca="false">$K$28*D47</f>
        <v>414.8906685</v>
      </c>
      <c r="E48" s="50" t="n">
        <f aca="false">$K$28*E47</f>
        <v>423.357825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56"/>
  </cols>
  <sheetData>
    <row r="1" customFormat="false" ht="15" hidden="false" customHeight="false" outlineLevel="0" collapsed="false">
      <c r="A1" s="26" t="s">
        <v>117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119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27" t="s">
        <v>120</v>
      </c>
      <c r="B5" s="32" t="n">
        <v>2</v>
      </c>
      <c r="H5" s="30" t="s">
        <v>121</v>
      </c>
    </row>
    <row r="7" customFormat="false" ht="15" hidden="false" customHeight="false" outlineLevel="0" collapsed="false">
      <c r="A7" s="3" t="s">
        <v>122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36" t="s">
        <v>123</v>
      </c>
      <c r="B8" s="36" t="s">
        <v>124</v>
      </c>
      <c r="C8" s="37" t="s">
        <v>125</v>
      </c>
      <c r="D8" s="37" t="s">
        <v>126</v>
      </c>
    </row>
    <row r="9" customFormat="false" ht="15" hidden="false" customHeight="false" outlineLevel="0" collapsed="false">
      <c r="A9" s="4" t="s">
        <v>127</v>
      </c>
      <c r="B9" s="29" t="n">
        <v>0.295</v>
      </c>
      <c r="C9" s="29" t="n">
        <v>0.29</v>
      </c>
      <c r="D9" s="29" t="n">
        <v>0.285</v>
      </c>
      <c r="H9" s="2" t="s">
        <v>128</v>
      </c>
    </row>
    <row r="10" customFormat="false" ht="15" hidden="false" customHeight="false" outlineLevel="0" collapsed="false">
      <c r="A10" s="6" t="s">
        <v>129</v>
      </c>
      <c r="B10" s="53" t="n">
        <v>0.3</v>
      </c>
      <c r="C10" s="53" t="n">
        <v>0.3</v>
      </c>
      <c r="D10" s="53" t="n">
        <v>0.3</v>
      </c>
      <c r="H10" s="2" t="s">
        <v>130</v>
      </c>
    </row>
    <row r="11" customFormat="false" ht="15" hidden="false" customHeight="false" outlineLevel="0" collapsed="false">
      <c r="A11" s="6" t="s">
        <v>131</v>
      </c>
      <c r="B11" s="53" t="n">
        <v>0.3</v>
      </c>
      <c r="C11" s="53" t="n">
        <v>0.3</v>
      </c>
      <c r="D11" s="53" t="n">
        <v>0.3</v>
      </c>
      <c r="H11" s="2" t="s">
        <v>132</v>
      </c>
    </row>
    <row r="12" customFormat="false" ht="15" hidden="false" customHeight="false" outlineLevel="0" collapsed="false">
      <c r="A12" s="10" t="s">
        <v>133</v>
      </c>
      <c r="B12" s="54" t="n">
        <f aca="false">IF($B$5=1,B9,売上前提!$B$33*B10+売上前提!$B$34*B11)</f>
        <v>0.3</v>
      </c>
      <c r="C12" s="54" t="n">
        <f aca="false">IF($B$5=1,C9,売上前提!$B$33*C10+売上前提!$B$34*C11)</f>
        <v>0.3</v>
      </c>
      <c r="D12" s="54" t="n">
        <f aca="false">IF($B$5=1,D9,売上前提!$B$33*D10+売上前提!$B$34*D11)</f>
        <v>0.3</v>
      </c>
      <c r="H12" s="46" t="s">
        <v>134</v>
      </c>
    </row>
    <row r="13" customFormat="false" ht="15" hidden="false" customHeight="false" outlineLevel="0" collapsed="false">
      <c r="A13" s="4" t="s">
        <v>135</v>
      </c>
      <c r="B13" s="29" t="n">
        <v>0.345</v>
      </c>
      <c r="C13" s="29" t="n">
        <v>0.335</v>
      </c>
      <c r="D13" s="29" t="n">
        <v>0.325</v>
      </c>
      <c r="H13" s="2" t="s">
        <v>136</v>
      </c>
    </row>
    <row r="14" customFormat="false" ht="15" hidden="false" customHeight="false" outlineLevel="0" collapsed="false">
      <c r="A14" s="4" t="s">
        <v>137</v>
      </c>
      <c r="B14" s="29" t="n">
        <v>0.024</v>
      </c>
      <c r="C14" s="29" t="n">
        <v>0.022</v>
      </c>
      <c r="D14" s="29" t="n">
        <v>0.02</v>
      </c>
      <c r="H14" s="2" t="s">
        <v>138</v>
      </c>
    </row>
    <row r="15" customFormat="false" ht="15" hidden="false" customHeight="false" outlineLevel="0" collapsed="false">
      <c r="A15" s="4" t="s">
        <v>139</v>
      </c>
      <c r="B15" s="29" t="n">
        <v>0.014</v>
      </c>
      <c r="C15" s="29" t="n">
        <v>0.014</v>
      </c>
      <c r="D15" s="29" t="n">
        <v>0.014</v>
      </c>
      <c r="H15" s="2" t="s">
        <v>140</v>
      </c>
    </row>
    <row r="16" customFormat="false" ht="15" hidden="false" customHeight="false" outlineLevel="0" collapsed="false">
      <c r="A16" s="4" t="s">
        <v>141</v>
      </c>
      <c r="B16" s="29" t="n">
        <v>0.005</v>
      </c>
      <c r="C16" s="29" t="n">
        <v>0.005</v>
      </c>
      <c r="D16" s="29" t="n">
        <v>0.005</v>
      </c>
      <c r="H16" s="2" t="s">
        <v>140</v>
      </c>
    </row>
    <row r="17" customFormat="false" ht="15" hidden="false" customHeight="false" outlineLevel="0" collapsed="false">
      <c r="A17" s="4" t="s">
        <v>142</v>
      </c>
      <c r="B17" s="29" t="n">
        <v>0.04</v>
      </c>
      <c r="C17" s="29" t="n">
        <v>0.038</v>
      </c>
      <c r="D17" s="29" t="n">
        <v>0.036</v>
      </c>
      <c r="H17" s="2" t="s">
        <v>143</v>
      </c>
    </row>
    <row r="18" customFormat="false" ht="15" hidden="false" customHeight="false" outlineLevel="0" collapsed="false">
      <c r="A18" s="4" t="s">
        <v>144</v>
      </c>
      <c r="B18" s="29" t="n">
        <v>0.04</v>
      </c>
      <c r="C18" s="29" t="n">
        <v>0.04</v>
      </c>
      <c r="D18" s="29" t="n">
        <v>0.04</v>
      </c>
      <c r="H18" s="2" t="s">
        <v>145</v>
      </c>
    </row>
    <row r="19" customFormat="false" ht="15" hidden="false" customHeight="false" outlineLevel="0" collapsed="false">
      <c r="A19" s="4" t="s">
        <v>146</v>
      </c>
      <c r="B19" s="29" t="n">
        <v>0.007</v>
      </c>
      <c r="C19" s="29" t="n">
        <v>0.007</v>
      </c>
      <c r="D19" s="29" t="n">
        <v>0.007</v>
      </c>
      <c r="H19" s="2" t="s">
        <v>140</v>
      </c>
    </row>
    <row r="20" customFormat="false" ht="15" hidden="false" customHeight="false" outlineLevel="0" collapsed="false">
      <c r="A20" s="4" t="s">
        <v>147</v>
      </c>
      <c r="B20" s="29" t="n">
        <v>0.025</v>
      </c>
      <c r="C20" s="29" t="n">
        <v>0.025</v>
      </c>
      <c r="D20" s="29" t="n">
        <v>0.025</v>
      </c>
      <c r="H20" s="2" t="s">
        <v>140</v>
      </c>
    </row>
    <row r="21" customFormat="false" ht="15" hidden="false" customHeight="false" outlineLevel="0" collapsed="false">
      <c r="A21" s="10" t="s">
        <v>148</v>
      </c>
      <c r="B21" s="51" t="n">
        <f aca="false">B12+SUM(B13:B20)</f>
        <v>0.8</v>
      </c>
      <c r="C21" s="51" t="n">
        <f aca="false">C12+SUM(C13:C20)</f>
        <v>0.786</v>
      </c>
      <c r="D21" s="51" t="n">
        <f aca="false">D12+SUM(D13:D20)</f>
        <v>0.772</v>
      </c>
    </row>
    <row r="23" customFormat="false" ht="15" hidden="false" customHeight="false" outlineLevel="0" collapsed="false">
      <c r="A23" s="3" t="s">
        <v>149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7" t="s">
        <v>150</v>
      </c>
      <c r="B24" s="28" t="n">
        <v>2.22</v>
      </c>
      <c r="H24" s="2" t="s">
        <v>151</v>
      </c>
    </row>
    <row r="25" customFormat="false" ht="15" hidden="false" customHeight="false" outlineLevel="0" collapsed="false">
      <c r="A25" s="27" t="s">
        <v>152</v>
      </c>
      <c r="B25" s="42" t="n">
        <f aca="false">B24*12</f>
        <v>26.64</v>
      </c>
      <c r="H25" s="2" t="s">
        <v>153</v>
      </c>
    </row>
    <row r="26" customFormat="false" ht="15" hidden="false" customHeight="false" outlineLevel="0" collapsed="false">
      <c r="A26" s="27" t="s">
        <v>154</v>
      </c>
      <c r="B26" s="29" t="n">
        <v>0.07</v>
      </c>
      <c r="H26" s="2" t="s">
        <v>155</v>
      </c>
    </row>
    <row r="27" customFormat="false" ht="15" hidden="false" customHeight="false" outlineLevel="0" collapsed="false">
      <c r="A27" s="27" t="s">
        <v>156</v>
      </c>
      <c r="B27" s="28" t="n">
        <v>331.4</v>
      </c>
      <c r="H27" s="2" t="s">
        <v>157</v>
      </c>
    </row>
    <row r="28" customFormat="false" ht="15" hidden="false" customHeight="false" outlineLevel="0" collapsed="false">
      <c r="A28" s="27" t="s">
        <v>158</v>
      </c>
      <c r="B28" s="32" t="n">
        <v>26</v>
      </c>
      <c r="H28" s="2" t="s">
        <v>159</v>
      </c>
    </row>
    <row r="30" customFormat="false" ht="15" hidden="false" customHeight="false" outlineLevel="0" collapsed="false">
      <c r="A30" s="3" t="s">
        <v>160</v>
      </c>
      <c r="B30" s="3"/>
      <c r="C30" s="3"/>
      <c r="D30" s="3"/>
      <c r="E30" s="3"/>
      <c r="F30" s="3"/>
      <c r="G30" s="3"/>
      <c r="H30" s="3"/>
    </row>
    <row r="31" customFormat="false" ht="27.75" hidden="false" customHeight="true" outlineLevel="0" collapsed="false">
      <c r="A31" s="12" t="s">
        <v>15</v>
      </c>
      <c r="B31" s="37" t="s">
        <v>161</v>
      </c>
      <c r="C31" s="37" t="s">
        <v>162</v>
      </c>
      <c r="D31" s="37" t="s">
        <v>163</v>
      </c>
    </row>
    <row r="32" customFormat="false" ht="15" hidden="false" customHeight="false" outlineLevel="0" collapsed="false">
      <c r="A32" s="4" t="s">
        <v>164</v>
      </c>
      <c r="B32" s="28" t="n">
        <v>10</v>
      </c>
      <c r="C32" s="28" t="n">
        <v>10</v>
      </c>
      <c r="D32" s="28" t="n">
        <v>5</v>
      </c>
      <c r="H32" s="2" t="s">
        <v>165</v>
      </c>
    </row>
    <row r="33" customFormat="false" ht="15" hidden="false" customHeight="false" outlineLevel="0" collapsed="false">
      <c r="A33" s="4" t="s">
        <v>166</v>
      </c>
      <c r="B33" s="28" t="n">
        <v>194.25</v>
      </c>
      <c r="C33" s="28" t="n">
        <v>194.25</v>
      </c>
      <c r="D33" s="28" t="n">
        <v>194.25</v>
      </c>
      <c r="H33" s="30" t="s">
        <v>167</v>
      </c>
    </row>
    <row r="34" customFormat="false" ht="15" hidden="false" customHeight="false" outlineLevel="0" collapsed="false">
      <c r="A34" s="6" t="s">
        <v>168</v>
      </c>
      <c r="B34" s="28" t="n">
        <v>0</v>
      </c>
      <c r="C34" s="28" t="n">
        <v>0</v>
      </c>
      <c r="D34" s="28" t="n">
        <v>0</v>
      </c>
      <c r="H34" s="2" t="s">
        <v>169</v>
      </c>
    </row>
    <row r="35" customFormat="false" ht="15" hidden="false" customHeight="false" outlineLevel="0" collapsed="false">
      <c r="A35" s="10" t="s">
        <v>170</v>
      </c>
      <c r="B35" s="48" t="n">
        <f aca="false">B33-B34</f>
        <v>194.25</v>
      </c>
      <c r="C35" s="48" t="n">
        <f aca="false">C33-C34</f>
        <v>194.25</v>
      </c>
      <c r="D35" s="48" t="n">
        <f aca="false">D33-D34</f>
        <v>194.25</v>
      </c>
      <c r="H35" s="46" t="s">
        <v>171</v>
      </c>
    </row>
    <row r="36" customFormat="false" ht="15" hidden="false" customHeight="false" outlineLevel="0" collapsed="false">
      <c r="A36" s="4" t="s">
        <v>172</v>
      </c>
      <c r="B36" s="28" t="n">
        <v>4</v>
      </c>
      <c r="C36" s="28" t="n">
        <v>4</v>
      </c>
      <c r="D36" s="28" t="n">
        <v>4</v>
      </c>
      <c r="H36" s="2"/>
    </row>
    <row r="37" customFormat="false" ht="15" hidden="false" customHeight="false" outlineLevel="0" collapsed="false">
      <c r="A37" s="4" t="s">
        <v>173</v>
      </c>
      <c r="B37" s="28" t="n">
        <v>39</v>
      </c>
      <c r="C37" s="28" t="n">
        <v>39</v>
      </c>
      <c r="D37" s="28" t="n">
        <v>39</v>
      </c>
      <c r="H37" s="2" t="s">
        <v>174</v>
      </c>
    </row>
    <row r="38" customFormat="false" ht="15" hidden="false" customHeight="false" outlineLevel="0" collapsed="false">
      <c r="A38" s="4" t="s">
        <v>175</v>
      </c>
      <c r="B38" s="28" t="n">
        <v>50</v>
      </c>
      <c r="C38" s="28" t="n">
        <v>10</v>
      </c>
      <c r="D38" s="28" t="n">
        <v>10</v>
      </c>
      <c r="H38" s="30" t="s">
        <v>176</v>
      </c>
    </row>
    <row r="39" customFormat="false" ht="15" hidden="false" customHeight="false" outlineLevel="0" collapsed="false">
      <c r="A39" s="10" t="s">
        <v>177</v>
      </c>
      <c r="B39" s="50" t="n">
        <f aca="false">B32+B35+B36+B37+B38</f>
        <v>297.25</v>
      </c>
      <c r="C39" s="50" t="n">
        <f aca="false">C32+C35+C36+C37+C38</f>
        <v>257.25</v>
      </c>
      <c r="D39" s="50" t="n">
        <f aca="false">D32+D35+D36+D37+D38</f>
        <v>252.25</v>
      </c>
    </row>
    <row r="40" customFormat="false" ht="15" hidden="false" customHeight="false" outlineLevel="0" collapsed="false">
      <c r="A40" s="10" t="s">
        <v>178</v>
      </c>
      <c r="B40" s="48" t="n">
        <f aca="false">B39-B37-B38</f>
        <v>208.25</v>
      </c>
      <c r="C40" s="48" t="n">
        <f aca="false">C39-C37-C38</f>
        <v>208.25</v>
      </c>
      <c r="D40" s="48" t="n">
        <f aca="false">D39-D37-D38</f>
        <v>203.25</v>
      </c>
      <c r="H40" s="46" t="s">
        <v>179</v>
      </c>
    </row>
    <row r="41" customFormat="false" ht="15" hidden="false" customHeight="false" outlineLevel="0" collapsed="false">
      <c r="A41" s="4" t="s">
        <v>180</v>
      </c>
      <c r="B41" s="28" t="n">
        <v>10</v>
      </c>
      <c r="C41" s="28" t="n">
        <v>10</v>
      </c>
      <c r="D41" s="28" t="n">
        <v>10</v>
      </c>
    </row>
    <row r="42" customFormat="false" ht="15" hidden="false" customHeight="false" outlineLevel="0" collapsed="false">
      <c r="A42" s="10" t="s">
        <v>181</v>
      </c>
      <c r="B42" s="48" t="n">
        <f aca="false">B40/B41</f>
        <v>20.825</v>
      </c>
      <c r="C42" s="48" t="n">
        <f aca="false">C40/C41</f>
        <v>20.825</v>
      </c>
      <c r="D42" s="48" t="n">
        <f aca="false">D40/D41</f>
        <v>20.325</v>
      </c>
    </row>
    <row r="44" customFormat="false" ht="15" hidden="false" customHeight="false" outlineLevel="0" collapsed="false">
      <c r="A44" s="3" t="s">
        <v>182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27" t="s">
        <v>183</v>
      </c>
      <c r="B45" s="28" t="n">
        <v>100</v>
      </c>
      <c r="C45" s="28" t="n">
        <v>100</v>
      </c>
      <c r="D45" s="28" t="n">
        <v>100</v>
      </c>
      <c r="H45" s="2" t="s">
        <v>184</v>
      </c>
    </row>
    <row r="46" customFormat="false" ht="15" hidden="false" customHeight="false" outlineLevel="0" collapsed="false">
      <c r="A46" s="27" t="s">
        <v>185</v>
      </c>
      <c r="B46" s="28" t="n">
        <v>38.9</v>
      </c>
      <c r="C46" s="28" t="n">
        <v>38.9</v>
      </c>
      <c r="D46" s="28" t="n">
        <v>38.9</v>
      </c>
      <c r="H46" s="2" t="s">
        <v>186</v>
      </c>
    </row>
    <row r="47" customFormat="false" ht="15" hidden="false" customHeight="false" outlineLevel="0" collapsed="false">
      <c r="A47" s="33" t="s">
        <v>187</v>
      </c>
      <c r="B47" s="48" t="n">
        <f aca="false">B45+B46</f>
        <v>138.9</v>
      </c>
      <c r="C47" s="48" t="n">
        <f aca="false">C45+C46</f>
        <v>138.9</v>
      </c>
      <c r="D47" s="48" t="n">
        <f aca="false">D45+D46</f>
        <v>138.9</v>
      </c>
      <c r="H47" s="2"/>
    </row>
    <row r="48" customFormat="false" ht="15" hidden="false" customHeight="false" outlineLevel="0" collapsed="false">
      <c r="A48" s="33" t="s">
        <v>188</v>
      </c>
      <c r="B48" s="50" t="n">
        <f aca="false">B39-B47</f>
        <v>158.35</v>
      </c>
      <c r="C48" s="50" t="n">
        <f aca="false">C39-C47</f>
        <v>118.35</v>
      </c>
      <c r="D48" s="50" t="n">
        <f aca="false">D39-D47</f>
        <v>113.35</v>
      </c>
      <c r="H48" s="2" t="s">
        <v>189</v>
      </c>
    </row>
    <row r="49" customFormat="false" ht="15" hidden="false" customHeight="false" outlineLevel="0" collapsed="false">
      <c r="A49" s="33" t="s">
        <v>190</v>
      </c>
      <c r="B49" s="48" t="n">
        <f aca="false">B45/10+B46/7</f>
        <v>15.5571428571429</v>
      </c>
      <c r="C49" s="48" t="n">
        <f aca="false">C45/10+C46/7</f>
        <v>15.5571428571429</v>
      </c>
      <c r="D49" s="48" t="n">
        <f aca="false">D45/10+D46/7</f>
        <v>15.5571428571429</v>
      </c>
      <c r="H49" s="2" t="s">
        <v>191</v>
      </c>
    </row>
    <row r="51" customFormat="false" ht="15" hidden="false" customHeight="false" outlineLevel="0" collapsed="false">
      <c r="A51" s="3" t="s">
        <v>192</v>
      </c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12" t="s">
        <v>15</v>
      </c>
      <c r="B52" s="14" t="s">
        <v>28</v>
      </c>
      <c r="C52" s="14" t="s">
        <v>29</v>
      </c>
      <c r="D52" s="14" t="s">
        <v>30</v>
      </c>
      <c r="E52" s="14" t="s">
        <v>31</v>
      </c>
      <c r="F52" s="14" t="s">
        <v>32</v>
      </c>
    </row>
    <row r="53" customFormat="false" ht="15" hidden="false" customHeight="false" outlineLevel="0" collapsed="false">
      <c r="A53" s="27" t="s">
        <v>193</v>
      </c>
      <c r="B53" s="32" t="n">
        <v>1</v>
      </c>
      <c r="C53" s="32" t="n">
        <v>2</v>
      </c>
      <c r="D53" s="32" t="n">
        <v>2</v>
      </c>
      <c r="E53" s="32" t="n">
        <v>2</v>
      </c>
      <c r="F53" s="32" t="n">
        <v>2</v>
      </c>
      <c r="H53" s="30" t="s">
        <v>194</v>
      </c>
    </row>
    <row r="54" customFormat="false" ht="15" hidden="false" customHeight="false" outlineLevel="0" collapsed="false">
      <c r="A54" s="33" t="s">
        <v>34</v>
      </c>
      <c r="B54" s="34" t="n">
        <f aca="false">B53</f>
        <v>1</v>
      </c>
      <c r="C54" s="34" t="n">
        <f aca="false">B54+C53</f>
        <v>3</v>
      </c>
      <c r="D54" s="34" t="n">
        <f aca="false">C54+D53</f>
        <v>5</v>
      </c>
      <c r="E54" s="34" t="n">
        <f aca="false">D54+E53</f>
        <v>7</v>
      </c>
      <c r="F54" s="34" t="n">
        <f aca="false">E54+F53</f>
        <v>9</v>
      </c>
    </row>
    <row r="55" customFormat="false" ht="15" hidden="false" customHeight="false" outlineLevel="0" collapsed="false">
      <c r="A55" s="27" t="s">
        <v>195</v>
      </c>
      <c r="B55" s="28" t="n">
        <v>15</v>
      </c>
      <c r="C55" s="28" t="n">
        <v>28</v>
      </c>
      <c r="D55" s="28" t="n">
        <v>40</v>
      </c>
      <c r="E55" s="28" t="n">
        <v>48</v>
      </c>
      <c r="F55" s="28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26" t="s">
        <v>196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12" t="s">
        <v>198</v>
      </c>
      <c r="B4" s="36" t="s">
        <v>199</v>
      </c>
      <c r="C4" s="37" t="s">
        <v>200</v>
      </c>
      <c r="D4" s="37" t="s">
        <v>125</v>
      </c>
      <c r="E4" s="37" t="s">
        <v>126</v>
      </c>
    </row>
    <row r="5" customFormat="false" ht="15" hidden="false" customHeight="false" outlineLevel="0" collapsed="false">
      <c r="A5" s="27" t="s">
        <v>115</v>
      </c>
      <c r="B5" s="7" t="n">
        <f aca="false">売上前提!B47</f>
        <v>1</v>
      </c>
      <c r="C5" s="7" t="n">
        <f aca="false">売上前提!C47</f>
        <v>0.9</v>
      </c>
      <c r="D5" s="7" t="n">
        <f aca="false">売上前提!D47</f>
        <v>0.98</v>
      </c>
      <c r="E5" s="7" t="n">
        <f aca="false">売上前提!E47</f>
        <v>1</v>
      </c>
    </row>
    <row r="6" customFormat="false" ht="15" hidden="false" customHeight="false" outlineLevel="0" collapsed="false">
      <c r="A6" s="10" t="s">
        <v>20</v>
      </c>
      <c r="B6" s="55" t="n">
        <f aca="false">売上前提!B$48</f>
        <v>423.357825</v>
      </c>
      <c r="C6" s="55" t="n">
        <f aca="false">売上前提!C$48</f>
        <v>381.0220425</v>
      </c>
      <c r="D6" s="55" t="n">
        <f aca="false">売上前提!D$48</f>
        <v>414.8906685</v>
      </c>
      <c r="E6" s="55" t="n">
        <f aca="false">売上前提!E$48</f>
        <v>423.357825</v>
      </c>
    </row>
    <row r="7" customFormat="false" ht="15" hidden="false" customHeight="false" outlineLevel="0" collapsed="false">
      <c r="A7" s="6" t="s">
        <v>201</v>
      </c>
      <c r="B7" s="56" t="n">
        <f aca="false">B$6*売上前提!$B$33</f>
        <v>266.60535</v>
      </c>
      <c r="C7" s="56" t="n">
        <f aca="false">C$6*売上前提!$B$33</f>
        <v>239.944815</v>
      </c>
      <c r="D7" s="56" t="n">
        <f aca="false">D$6*売上前提!$B$33</f>
        <v>261.273243</v>
      </c>
      <c r="E7" s="56" t="n">
        <f aca="false">E$6*売上前提!$B$33</f>
        <v>266.60535</v>
      </c>
    </row>
    <row r="8" customFormat="false" ht="15" hidden="false" customHeight="false" outlineLevel="0" collapsed="false">
      <c r="A8" s="6" t="s">
        <v>202</v>
      </c>
      <c r="B8" s="56" t="n">
        <f aca="false">B$6*売上前提!$B$34</f>
        <v>156.752475</v>
      </c>
      <c r="C8" s="56" t="n">
        <f aca="false">C$6*売上前提!$B$34</f>
        <v>141.0772275</v>
      </c>
      <c r="D8" s="56" t="n">
        <f aca="false">D$6*売上前提!$B$34</f>
        <v>153.6174255</v>
      </c>
      <c r="E8" s="56" t="n">
        <f aca="false">E$6*売上前提!$B$34</f>
        <v>156.752475</v>
      </c>
    </row>
    <row r="9" customFormat="false" ht="15" hidden="false" customHeight="false" outlineLevel="0" collapsed="false">
      <c r="A9" s="4" t="s">
        <v>203</v>
      </c>
      <c r="B9" s="44" t="n">
        <f aca="false">B$6*経費前提!$B$12</f>
        <v>127.0073475</v>
      </c>
      <c r="C9" s="44" t="n">
        <f aca="false">C$6*経費前提!$B$12</f>
        <v>114.30661275</v>
      </c>
      <c r="D9" s="44" t="n">
        <f aca="false">D$6*経費前提!$C$12</f>
        <v>124.46720055</v>
      </c>
      <c r="E9" s="44" t="n">
        <f aca="false">E$6*経費前提!$D$12</f>
        <v>127.0073475</v>
      </c>
    </row>
    <row r="10" customFormat="false" ht="15" hidden="false" customHeight="false" outlineLevel="0" collapsed="false">
      <c r="A10" s="4" t="s">
        <v>135</v>
      </c>
      <c r="B10" s="44" t="n">
        <f aca="false">B$6*経費前提!$B$13</f>
        <v>146.058449625</v>
      </c>
      <c r="C10" s="44" t="n">
        <f aca="false">C$6*経費前提!$B$13</f>
        <v>131.4526046625</v>
      </c>
      <c r="D10" s="44" t="n">
        <f aca="false">D$6*経費前提!$C$13</f>
        <v>138.9883739475</v>
      </c>
      <c r="E10" s="44" t="n">
        <f aca="false">E$6*経費前提!$D$13</f>
        <v>137.591293125</v>
      </c>
    </row>
    <row r="11" customFormat="false" ht="15" hidden="false" customHeight="false" outlineLevel="0" collapsed="false">
      <c r="A11" s="4" t="s">
        <v>137</v>
      </c>
      <c r="B11" s="44" t="n">
        <f aca="false">B$6*経費前提!$B$14</f>
        <v>10.1605878</v>
      </c>
      <c r="C11" s="44" t="n">
        <f aca="false">C$6*経費前提!$B$14</f>
        <v>9.14452902</v>
      </c>
      <c r="D11" s="44" t="n">
        <f aca="false">D$6*経費前提!$C$14</f>
        <v>9.127594707</v>
      </c>
      <c r="E11" s="44" t="n">
        <f aca="false">E$6*経費前提!$D$14</f>
        <v>8.4671565</v>
      </c>
    </row>
    <row r="12" customFormat="false" ht="15" hidden="false" customHeight="false" outlineLevel="0" collapsed="false">
      <c r="A12" s="10" t="s">
        <v>204</v>
      </c>
      <c r="B12" s="57" t="n">
        <f aca="false">B6-B9-B10-B11</f>
        <v>140.131440075</v>
      </c>
      <c r="C12" s="57" t="n">
        <f aca="false">C6-C9-C10-C11</f>
        <v>126.1182960675</v>
      </c>
      <c r="D12" s="57" t="n">
        <f aca="false">D6-D9-D10-D11</f>
        <v>142.3074992955</v>
      </c>
      <c r="E12" s="57" t="n">
        <f aca="false">E6-E9-E10-E11</f>
        <v>150.292027875</v>
      </c>
    </row>
    <row r="13" customFormat="false" ht="15" hidden="false" customHeight="false" outlineLevel="0" collapsed="false">
      <c r="A13" s="4" t="s">
        <v>139</v>
      </c>
      <c r="B13" s="44" t="n">
        <f aca="false">B$6*経費前提!$B$15</f>
        <v>5.92700955</v>
      </c>
      <c r="C13" s="44" t="n">
        <f aca="false">C$6*経費前提!$B$15</f>
        <v>5.334308595</v>
      </c>
      <c r="D13" s="44" t="n">
        <f aca="false">D$6*経費前提!$C$15</f>
        <v>5.808469359</v>
      </c>
      <c r="E13" s="44" t="n">
        <f aca="false">E$6*経費前提!$D$15</f>
        <v>5.92700955</v>
      </c>
    </row>
    <row r="14" customFormat="false" ht="15" hidden="false" customHeight="false" outlineLevel="0" collapsed="false">
      <c r="A14" s="4" t="s">
        <v>141</v>
      </c>
      <c r="B14" s="44" t="n">
        <f aca="false">B$6*経費前提!$B$16</f>
        <v>2.116789125</v>
      </c>
      <c r="C14" s="44" t="n">
        <f aca="false">C$6*経費前提!$B$16</f>
        <v>1.9051102125</v>
      </c>
      <c r="D14" s="44" t="n">
        <f aca="false">D$6*経費前提!$C$16</f>
        <v>2.0744533425</v>
      </c>
      <c r="E14" s="44" t="n">
        <f aca="false">E$6*経費前提!$D$16</f>
        <v>2.116789125</v>
      </c>
    </row>
    <row r="15" customFormat="false" ht="15" hidden="false" customHeight="false" outlineLevel="0" collapsed="false">
      <c r="A15" s="4" t="s">
        <v>142</v>
      </c>
      <c r="B15" s="44" t="n">
        <f aca="false">B$6*経費前提!$B$17</f>
        <v>16.934313</v>
      </c>
      <c r="C15" s="44" t="n">
        <f aca="false">C$6*経費前提!$B$17</f>
        <v>15.2408817</v>
      </c>
      <c r="D15" s="44" t="n">
        <f aca="false">D$6*経費前提!$C$17</f>
        <v>15.765845403</v>
      </c>
      <c r="E15" s="44" t="n">
        <f aca="false">E$6*経費前提!$D$17</f>
        <v>15.2408817</v>
      </c>
    </row>
    <row r="16" customFormat="false" ht="15" hidden="false" customHeight="false" outlineLevel="0" collapsed="false">
      <c r="A16" s="16" t="s">
        <v>205</v>
      </c>
      <c r="B16" s="57" t="n">
        <f aca="false">B12-B13-B14-B15</f>
        <v>115.1533284</v>
      </c>
      <c r="C16" s="57" t="n">
        <f aca="false">C12-C13-C14-C15</f>
        <v>103.63799556</v>
      </c>
      <c r="D16" s="57" t="n">
        <f aca="false">D12-D13-D14-D15</f>
        <v>118.658731191</v>
      </c>
      <c r="E16" s="57" t="n">
        <f aca="false">E12-E13-E14-E15</f>
        <v>127.0073475</v>
      </c>
    </row>
    <row r="17" customFormat="false" ht="15" hidden="false" customHeight="false" outlineLevel="0" collapsed="false">
      <c r="A17" s="4" t="s">
        <v>144</v>
      </c>
      <c r="B17" s="44" t="n">
        <f aca="false">B$6*経費前提!$B$18</f>
        <v>16.934313</v>
      </c>
      <c r="C17" s="44" t="n">
        <f aca="false">C$6*経費前提!$B$18</f>
        <v>15.2408817</v>
      </c>
      <c r="D17" s="44" t="n">
        <f aca="false">D$6*経費前提!$C$18</f>
        <v>16.59562674</v>
      </c>
      <c r="E17" s="44" t="n">
        <f aca="false">E$6*経費前提!$D$18</f>
        <v>16.934313</v>
      </c>
    </row>
    <row r="18" customFormat="false" ht="15" hidden="false" customHeight="false" outlineLevel="0" collapsed="false">
      <c r="A18" s="4" t="s">
        <v>146</v>
      </c>
      <c r="B18" s="44" t="n">
        <f aca="false">B$6*経費前提!$B$19</f>
        <v>2.963504775</v>
      </c>
      <c r="C18" s="44" t="n">
        <f aca="false">C$6*経費前提!$B$19</f>
        <v>2.6671542975</v>
      </c>
      <c r="D18" s="44" t="n">
        <f aca="false">D$6*経費前提!$C$19</f>
        <v>2.9042346795</v>
      </c>
      <c r="E18" s="44" t="n">
        <f aca="false">E$6*経費前提!$D$19</f>
        <v>2.963504775</v>
      </c>
    </row>
    <row r="19" customFormat="false" ht="15" hidden="false" customHeight="false" outlineLevel="0" collapsed="false">
      <c r="A19" s="4" t="s">
        <v>206</v>
      </c>
      <c r="B19" s="19" t="n">
        <f aca="false">経費前提!$B$25</f>
        <v>26.64</v>
      </c>
      <c r="C19" s="19" t="n">
        <f aca="false">経費前提!$B$25</f>
        <v>26.64</v>
      </c>
      <c r="D19" s="19" t="n">
        <f aca="false">経費前提!$B$25</f>
        <v>26.64</v>
      </c>
      <c r="E19" s="19" t="n">
        <f aca="false">経費前提!$B$25</f>
        <v>26.64</v>
      </c>
    </row>
    <row r="20" customFormat="false" ht="15" hidden="false" customHeight="false" outlineLevel="0" collapsed="false">
      <c r="A20" s="4" t="s">
        <v>207</v>
      </c>
      <c r="B20" s="44" t="n">
        <f aca="false">MAX(0,B6-経費前提!$B$27)*経費前提!$B$26</f>
        <v>6.43704775</v>
      </c>
      <c r="C20" s="44" t="n">
        <f aca="false">MAX(0,C6-経費前提!$B$27)*経費前提!$B$26</f>
        <v>3.473542975</v>
      </c>
      <c r="D20" s="44" t="n">
        <f aca="false">MAX(0,D6-経費前提!$B$27)*経費前提!$B$26</f>
        <v>5.844346795</v>
      </c>
      <c r="E20" s="44" t="n">
        <f aca="false">MAX(0,E6-経費前提!$B$27)*経費前提!$B$26</f>
        <v>6.43704775</v>
      </c>
    </row>
    <row r="21" customFormat="false" ht="15" hidden="false" customHeight="false" outlineLevel="0" collapsed="false">
      <c r="A21" s="4" t="s">
        <v>147</v>
      </c>
      <c r="B21" s="44" t="n">
        <f aca="false">B$6*経費前提!$B$20</f>
        <v>10.583945625</v>
      </c>
      <c r="C21" s="44" t="n">
        <f aca="false">C$6*経費前提!$B$20</f>
        <v>9.5255510625</v>
      </c>
      <c r="D21" s="44" t="n">
        <f aca="false">D$6*経費前提!$C$20</f>
        <v>10.3722667125</v>
      </c>
      <c r="E21" s="44" t="n">
        <f aca="false">E$6*経費前提!$D$20</f>
        <v>10.583945625</v>
      </c>
    </row>
    <row r="22" customFormat="false" ht="15" hidden="false" customHeight="false" outlineLevel="0" collapsed="false">
      <c r="A22" s="16" t="s">
        <v>22</v>
      </c>
      <c r="B22" s="58" t="n">
        <f aca="false">B16-B17-B18-B19-B20-B21</f>
        <v>51.59451725</v>
      </c>
      <c r="C22" s="58" t="n">
        <f aca="false">C16-C17-C18-C19-C20-C21</f>
        <v>46.090865525</v>
      </c>
      <c r="D22" s="58" t="n">
        <f aca="false">D16-D17-D18-D19-D20-D21</f>
        <v>56.302256264</v>
      </c>
      <c r="E22" s="58" t="n">
        <f aca="false">E16-E17-E18-E19-E20-E21</f>
        <v>63.44853635</v>
      </c>
    </row>
    <row r="23" customFormat="false" ht="15" hidden="false" customHeight="false" outlineLevel="0" collapsed="false">
      <c r="A23" s="4" t="s">
        <v>23</v>
      </c>
      <c r="B23" s="19" t="n">
        <f aca="false">経費前提!$B$42</f>
        <v>20.825</v>
      </c>
      <c r="C23" s="19" t="n">
        <f aca="false">経費前提!$B$42</f>
        <v>20.825</v>
      </c>
      <c r="D23" s="19" t="n">
        <f aca="false">経費前提!$B$42</f>
        <v>20.825</v>
      </c>
      <c r="E23" s="19" t="n">
        <f aca="false">経費前提!$B$42</f>
        <v>20.825</v>
      </c>
    </row>
    <row r="24" customFormat="false" ht="15" hidden="false" customHeight="false" outlineLevel="0" collapsed="false">
      <c r="A24" s="10" t="s">
        <v>24</v>
      </c>
      <c r="B24" s="58" t="n">
        <f aca="false">B22-B23</f>
        <v>30.76951725</v>
      </c>
      <c r="C24" s="58" t="n">
        <f aca="false">C22-C23</f>
        <v>25.265865525</v>
      </c>
      <c r="D24" s="58" t="n">
        <f aca="false">D22-D23</f>
        <v>35.477256264</v>
      </c>
      <c r="E24" s="58" t="n">
        <f aca="false">E22-E23</f>
        <v>42.62353635</v>
      </c>
    </row>
    <row r="26" customFormat="false" ht="15" hidden="false" customHeight="false" outlineLevel="0" collapsed="false">
      <c r="A26" s="3" t="s">
        <v>208</v>
      </c>
      <c r="B26" s="3"/>
      <c r="C26" s="3"/>
      <c r="D26" s="3"/>
      <c r="E26" s="3"/>
    </row>
    <row r="27" customFormat="false" ht="15" hidden="false" customHeight="false" outlineLevel="0" collapsed="false">
      <c r="A27" s="12" t="s">
        <v>198</v>
      </c>
      <c r="B27" s="13" t="s">
        <v>16</v>
      </c>
      <c r="C27" s="14" t="s">
        <v>17</v>
      </c>
      <c r="D27" s="14" t="s">
        <v>18</v>
      </c>
      <c r="E27" s="14" t="s">
        <v>19</v>
      </c>
    </row>
    <row r="28" customFormat="false" ht="15" hidden="false" customHeight="false" outlineLevel="0" collapsed="false">
      <c r="A28" s="4" t="s">
        <v>20</v>
      </c>
      <c r="B28" s="45" t="n">
        <f aca="false">IF(B$6=0,0,B6/B$6)</f>
        <v>1</v>
      </c>
      <c r="C28" s="45" t="n">
        <f aca="false">IF(C$6=0,0,C6/C$6)</f>
        <v>1</v>
      </c>
      <c r="D28" s="45" t="n">
        <f aca="false">IF(D$6=0,0,D6/D$6)</f>
        <v>1</v>
      </c>
      <c r="E28" s="45" t="n">
        <f aca="false">IF(E$6=0,0,E6/E$6)</f>
        <v>1</v>
      </c>
    </row>
    <row r="29" customFormat="false" ht="15" hidden="false" customHeight="false" outlineLevel="0" collapsed="false">
      <c r="A29" s="4" t="s">
        <v>203</v>
      </c>
      <c r="B29" s="45" t="n">
        <f aca="false">IF(B$6=0,0,B9/B$6)</f>
        <v>0.3</v>
      </c>
      <c r="C29" s="45" t="n">
        <f aca="false">IF(C$6=0,0,C9/C$6)</f>
        <v>0.3</v>
      </c>
      <c r="D29" s="45" t="n">
        <f aca="false">IF(D$6=0,0,D9/D$6)</f>
        <v>0.3</v>
      </c>
      <c r="E29" s="45" t="n">
        <f aca="false">IF(E$6=0,0,E9/E$6)</f>
        <v>0.3</v>
      </c>
    </row>
    <row r="30" customFormat="false" ht="15" hidden="false" customHeight="false" outlineLevel="0" collapsed="false">
      <c r="A30" s="4" t="s">
        <v>135</v>
      </c>
      <c r="B30" s="45" t="n">
        <f aca="false">IF(B$6=0,0,B10/B$6)</f>
        <v>0.345</v>
      </c>
      <c r="C30" s="45" t="n">
        <f aca="false">IF(C$6=0,0,C10/C$6)</f>
        <v>0.345</v>
      </c>
      <c r="D30" s="45" t="n">
        <f aca="false">IF(D$6=0,0,D10/D$6)</f>
        <v>0.335</v>
      </c>
      <c r="E30" s="45" t="n">
        <f aca="false">IF(E$6=0,0,E10/E$6)</f>
        <v>0.325</v>
      </c>
    </row>
    <row r="31" customFormat="false" ht="15" hidden="false" customHeight="false" outlineLevel="0" collapsed="false">
      <c r="A31" s="4" t="s">
        <v>137</v>
      </c>
      <c r="B31" s="45" t="n">
        <f aca="false">IF(B$6=0,0,B11/B$6)</f>
        <v>0.024</v>
      </c>
      <c r="C31" s="45" t="n">
        <f aca="false">IF(C$6=0,0,C11/C$6)</f>
        <v>0.024</v>
      </c>
      <c r="D31" s="45" t="n">
        <f aca="false">IF(D$6=0,0,D11/D$6)</f>
        <v>0.022</v>
      </c>
      <c r="E31" s="45" t="n">
        <f aca="false">IF(E$6=0,0,E11/E$6)</f>
        <v>0.02</v>
      </c>
    </row>
    <row r="32" customFormat="false" ht="15" hidden="false" customHeight="false" outlineLevel="0" collapsed="false">
      <c r="A32" s="10" t="s">
        <v>204</v>
      </c>
      <c r="B32" s="51" t="n">
        <f aca="false">IF(B$6=0,0,B12/B$6)</f>
        <v>0.331</v>
      </c>
      <c r="C32" s="51" t="n">
        <f aca="false">IF(C$6=0,0,C12/C$6)</f>
        <v>0.331</v>
      </c>
      <c r="D32" s="51" t="n">
        <f aca="false">IF(D$6=0,0,D12/D$6)</f>
        <v>0.343</v>
      </c>
      <c r="E32" s="51" t="n">
        <f aca="false">IF(E$6=0,0,E12/E$6)</f>
        <v>0.355</v>
      </c>
    </row>
    <row r="33" customFormat="false" ht="15" hidden="false" customHeight="false" outlineLevel="0" collapsed="false">
      <c r="A33" s="4" t="s">
        <v>139</v>
      </c>
      <c r="B33" s="45" t="n">
        <f aca="false">IF(B$6=0,0,B13/B$6)</f>
        <v>0.014</v>
      </c>
      <c r="C33" s="45" t="n">
        <f aca="false">IF(C$6=0,0,C13/C$6)</f>
        <v>0.014</v>
      </c>
      <c r="D33" s="45" t="n">
        <f aca="false">IF(D$6=0,0,D13/D$6)</f>
        <v>0.014</v>
      </c>
      <c r="E33" s="45" t="n">
        <f aca="false">IF(E$6=0,0,E13/E$6)</f>
        <v>0.014</v>
      </c>
    </row>
    <row r="34" customFormat="false" ht="15" hidden="false" customHeight="false" outlineLevel="0" collapsed="false">
      <c r="A34" s="4" t="s">
        <v>141</v>
      </c>
      <c r="B34" s="45" t="n">
        <f aca="false">IF(B$6=0,0,B14/B$6)</f>
        <v>0.005</v>
      </c>
      <c r="C34" s="45" t="n">
        <f aca="false">IF(C$6=0,0,C14/C$6)</f>
        <v>0.005</v>
      </c>
      <c r="D34" s="45" t="n">
        <f aca="false">IF(D$6=0,0,D14/D$6)</f>
        <v>0.005</v>
      </c>
      <c r="E34" s="45" t="n">
        <f aca="false">IF(E$6=0,0,E14/E$6)</f>
        <v>0.005</v>
      </c>
    </row>
    <row r="35" customFormat="false" ht="15" hidden="false" customHeight="false" outlineLevel="0" collapsed="false">
      <c r="A35" s="4" t="s">
        <v>142</v>
      </c>
      <c r="B35" s="45" t="n">
        <f aca="false">IF(B$6=0,0,B15/B$6)</f>
        <v>0.04</v>
      </c>
      <c r="C35" s="45" t="n">
        <f aca="false">IF(C$6=0,0,C15/C$6)</f>
        <v>0.04</v>
      </c>
      <c r="D35" s="45" t="n">
        <f aca="false">IF(D$6=0,0,D15/D$6)</f>
        <v>0.038</v>
      </c>
      <c r="E35" s="45" t="n">
        <f aca="false">IF(E$6=0,0,E15/E$6)</f>
        <v>0.036</v>
      </c>
    </row>
    <row r="36" customFormat="false" ht="15" hidden="false" customHeight="false" outlineLevel="0" collapsed="false">
      <c r="A36" s="16" t="s">
        <v>205</v>
      </c>
      <c r="B36" s="51" t="n">
        <f aca="false">IF(B$6=0,0,B16/B$6)</f>
        <v>0.272</v>
      </c>
      <c r="C36" s="51" t="n">
        <f aca="false">IF(C$6=0,0,C16/C$6)</f>
        <v>0.272</v>
      </c>
      <c r="D36" s="51" t="n">
        <f aca="false">IF(D$6=0,0,D16/D$6)</f>
        <v>0.286</v>
      </c>
      <c r="E36" s="51" t="n">
        <f aca="false">IF(E$6=0,0,E16/E$6)</f>
        <v>0.3</v>
      </c>
    </row>
    <row r="37" customFormat="false" ht="15" hidden="false" customHeight="false" outlineLevel="0" collapsed="false">
      <c r="A37" s="4" t="s">
        <v>144</v>
      </c>
      <c r="B37" s="45" t="n">
        <f aca="false">IF(B$6=0,0,B17/B$6)</f>
        <v>0.04</v>
      </c>
      <c r="C37" s="45" t="n">
        <f aca="false">IF(C$6=0,0,C17/C$6)</f>
        <v>0.04</v>
      </c>
      <c r="D37" s="45" t="n">
        <f aca="false">IF(D$6=0,0,D17/D$6)</f>
        <v>0.04</v>
      </c>
      <c r="E37" s="45" t="n">
        <f aca="false">IF(E$6=0,0,E17/E$6)</f>
        <v>0.04</v>
      </c>
    </row>
    <row r="38" customFormat="false" ht="15" hidden="false" customHeight="false" outlineLevel="0" collapsed="false">
      <c r="A38" s="4" t="s">
        <v>146</v>
      </c>
      <c r="B38" s="45" t="n">
        <f aca="false">IF(B$6=0,0,B18/B$6)</f>
        <v>0.007</v>
      </c>
      <c r="C38" s="45" t="n">
        <f aca="false">IF(C$6=0,0,C18/C$6)</f>
        <v>0.007</v>
      </c>
      <c r="D38" s="45" t="n">
        <f aca="false">IF(D$6=0,0,D18/D$6)</f>
        <v>0.007</v>
      </c>
      <c r="E38" s="45" t="n">
        <f aca="false">IF(E$6=0,0,E18/E$6)</f>
        <v>0.007</v>
      </c>
    </row>
    <row r="39" customFormat="false" ht="15" hidden="false" customHeight="false" outlineLevel="0" collapsed="false">
      <c r="A39" s="4" t="s">
        <v>206</v>
      </c>
      <c r="B39" s="45" t="n">
        <f aca="false">IF(B$6=0,0,B19/B$6)</f>
        <v>0.0629254933459657</v>
      </c>
      <c r="C39" s="45" t="n">
        <f aca="false">IF(C$6=0,0,C19/C$6)</f>
        <v>0.0699172148288507</v>
      </c>
      <c r="D39" s="45" t="n">
        <f aca="false">IF(D$6=0,0,D19/D$6)</f>
        <v>0.0642096870877201</v>
      </c>
      <c r="E39" s="45" t="n">
        <f aca="false">IF(E$6=0,0,E19/E$6)</f>
        <v>0.0629254933459657</v>
      </c>
    </row>
    <row r="40" customFormat="false" ht="15" hidden="false" customHeight="false" outlineLevel="0" collapsed="false">
      <c r="A40" s="4" t="s">
        <v>207</v>
      </c>
      <c r="B40" s="45" t="n">
        <f aca="false">IF(B$6=0,0,B20/B$6)</f>
        <v>0.0152047449459568</v>
      </c>
      <c r="C40" s="45" t="n">
        <f aca="false">IF(C$6=0,0,C20/C$6)</f>
        <v>0.0091163832732853</v>
      </c>
      <c r="D40" s="45" t="n">
        <f aca="false">IF(D$6=0,0,D20/D$6)</f>
        <v>0.0140864744346498</v>
      </c>
      <c r="E40" s="45" t="n">
        <f aca="false">IF(E$6=0,0,E20/E$6)</f>
        <v>0.0152047449459568</v>
      </c>
    </row>
    <row r="41" customFormat="false" ht="15" hidden="false" customHeight="false" outlineLevel="0" collapsed="false">
      <c r="A41" s="4" t="s">
        <v>147</v>
      </c>
      <c r="B41" s="45" t="n">
        <f aca="false">IF(B$6=0,0,B21/B$6)</f>
        <v>0.025</v>
      </c>
      <c r="C41" s="45" t="n">
        <f aca="false">IF(C$6=0,0,C21/C$6)</f>
        <v>0.025</v>
      </c>
      <c r="D41" s="45" t="n">
        <f aca="false">IF(D$6=0,0,D21/D$6)</f>
        <v>0.025</v>
      </c>
      <c r="E41" s="45" t="n">
        <f aca="false">IF(E$6=0,0,E21/E$6)</f>
        <v>0.025</v>
      </c>
    </row>
    <row r="42" customFormat="false" ht="15" hidden="false" customHeight="false" outlineLevel="0" collapsed="false">
      <c r="A42" s="16" t="s">
        <v>22</v>
      </c>
      <c r="B42" s="17" t="n">
        <f aca="false">IF(B$6=0,0,B22/B$6)</f>
        <v>0.121869761708078</v>
      </c>
      <c r="C42" s="17" t="n">
        <f aca="false">IF(C$6=0,0,C22/C$6)</f>
        <v>0.120966401897864</v>
      </c>
      <c r="D42" s="17" t="n">
        <f aca="false">IF(D$6=0,0,D22/D$6)</f>
        <v>0.13570383847763</v>
      </c>
      <c r="E42" s="17" t="n">
        <f aca="false">IF(E$6=0,0,E22/E$6)</f>
        <v>0.149869761708078</v>
      </c>
    </row>
    <row r="43" customFormat="false" ht="15" hidden="false" customHeight="false" outlineLevel="0" collapsed="false">
      <c r="A43" s="4" t="s">
        <v>23</v>
      </c>
      <c r="B43" s="45" t="n">
        <f aca="false">IF(B$6=0,0,B23/B$6)</f>
        <v>0.0491900675273925</v>
      </c>
      <c r="C43" s="45" t="n">
        <f aca="false">IF(C$6=0,0,C23/C$6)</f>
        <v>0.0546556305859916</v>
      </c>
      <c r="D43" s="45" t="n">
        <f aca="false">IF(D$6=0,0,D23/D$6)</f>
        <v>0.0501939464565229</v>
      </c>
      <c r="E43" s="45" t="n">
        <f aca="false">IF(E$6=0,0,E23/E$6)</f>
        <v>0.0491900675273925</v>
      </c>
    </row>
    <row r="44" customFormat="false" ht="15" hidden="false" customHeight="false" outlineLevel="0" collapsed="false">
      <c r="A44" s="10" t="s">
        <v>24</v>
      </c>
      <c r="B44" s="17" t="n">
        <f aca="false">IF(B$6=0,0,B24/B$6)</f>
        <v>0.0726796941806851</v>
      </c>
      <c r="C44" s="17" t="n">
        <f aca="false">IF(C$6=0,0,C24/C$6)</f>
        <v>0.0663107713118723</v>
      </c>
      <c r="D44" s="17" t="n">
        <f aca="false">IF(D$6=0,0,D24/D$6)</f>
        <v>0.0855098920211073</v>
      </c>
      <c r="E44" s="17" t="n">
        <f aca="false">IF(E$6=0,0,E24/E$6)</f>
        <v>0.100679694180685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26" t="s">
        <v>209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210</v>
      </c>
    </row>
    <row r="3" customFormat="false" ht="15" hidden="false" customHeight="false" outlineLevel="0" collapsed="false">
      <c r="A3" s="12" t="s">
        <v>211</v>
      </c>
      <c r="B3" s="13" t="s">
        <v>212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</row>
    <row r="5" customFormat="false" ht="15" hidden="false" customHeight="false" outlineLevel="0" collapsed="false">
      <c r="A5" s="3" t="s">
        <v>213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59" t="s">
        <v>214</v>
      </c>
      <c r="B6" s="32" t="n">
        <v>1</v>
      </c>
    </row>
    <row r="7" customFormat="false" ht="15" hidden="false" customHeight="false" outlineLevel="0" collapsed="false">
      <c r="A7" s="59" t="s">
        <v>215</v>
      </c>
      <c r="B7" s="9" t="n">
        <f aca="false">売上前提!$B$10</f>
        <v>12</v>
      </c>
    </row>
    <row r="8" customFormat="false" ht="15" hidden="false" customHeight="false" outlineLevel="0" collapsed="false">
      <c r="A8" s="59" t="s">
        <v>216</v>
      </c>
      <c r="C8" s="32" t="n">
        <v>1</v>
      </c>
      <c r="D8" s="32" t="n">
        <v>2</v>
      </c>
      <c r="E8" s="32" t="n">
        <v>3</v>
      </c>
      <c r="F8" s="32" t="n">
        <v>3</v>
      </c>
      <c r="G8" s="32" t="n">
        <v>3</v>
      </c>
    </row>
    <row r="9" customFormat="false" ht="15" hidden="false" customHeight="false" outlineLevel="0" collapsed="false">
      <c r="A9" s="10" t="s">
        <v>20</v>
      </c>
      <c r="C9" s="60" t="n">
        <f aca="false">IF(C8=0,0,売上前提!$K$28*INDEX(売上前提!$B$6:$B$8,C8)*$B$6*IF(C8=1,$B$7/12,1))</f>
        <v>381.0220425</v>
      </c>
      <c r="D9" s="60" t="n">
        <f aca="false">IF(D8=0,0,売上前提!$K$28*INDEX(売上前提!$B$6:$B$8,D8)*$B$6*IF(D8=1,$B$7/12,1))</f>
        <v>414.8906685</v>
      </c>
      <c r="E9" s="60" t="n">
        <f aca="false">IF(E8=0,0,売上前提!$K$28*INDEX(売上前提!$B$6:$B$8,E8)*$B$6*IF(E8=1,$B$7/12,1))</f>
        <v>423.357825</v>
      </c>
      <c r="F9" s="60" t="n">
        <f aca="false">IF(F8=0,0,売上前提!$K$28*INDEX(売上前提!$B$6:$B$8,F8)*$B$6*IF(F8=1,$B$7/12,1))</f>
        <v>423.357825</v>
      </c>
      <c r="G9" s="60" t="n">
        <f aca="false">IF(G8=0,0,売上前提!$K$28*INDEX(売上前提!$B$6:$B$8,G8)*$B$6*IF(G8=1,$B$7/12,1))</f>
        <v>423.357825</v>
      </c>
    </row>
    <row r="10" customFormat="false" ht="15" hidden="false" customHeight="false" outlineLevel="0" collapsed="false">
      <c r="A10" s="38" t="s">
        <v>203</v>
      </c>
      <c r="C10" s="44" t="n">
        <f aca="false">IF(C$8=0,0,C$9*INDEX(経費前提!$B$12:$D$12,1,C$8))</f>
        <v>114.30661275</v>
      </c>
      <c r="D10" s="44" t="n">
        <f aca="false">IF(D$8=0,0,D$9*INDEX(経費前提!$B$12:$D$12,1,D$8))</f>
        <v>124.46720055</v>
      </c>
      <c r="E10" s="44" t="n">
        <f aca="false">IF(E$8=0,0,E$9*INDEX(経費前提!$B$12:$D$12,1,E$8))</f>
        <v>127.0073475</v>
      </c>
      <c r="F10" s="44" t="n">
        <f aca="false">IF(F$8=0,0,F$9*INDEX(経費前提!$B$12:$D$12,1,F$8))</f>
        <v>127.0073475</v>
      </c>
      <c r="G10" s="44" t="n">
        <f aca="false">IF(G$8=0,0,G$9*INDEX(経費前提!$B$12:$D$12,1,G$8))</f>
        <v>127.0073475</v>
      </c>
    </row>
    <row r="11" customFormat="false" ht="15" hidden="false" customHeight="false" outlineLevel="0" collapsed="false">
      <c r="A11" s="38" t="s">
        <v>135</v>
      </c>
      <c r="C11" s="44" t="n">
        <f aca="false">IF(C$8=0,0,C$9*INDEX(経費前提!$B$13:$D$13,1,C$8))</f>
        <v>131.4526046625</v>
      </c>
      <c r="D11" s="44" t="n">
        <f aca="false">IF(D$8=0,0,D$9*INDEX(経費前提!$B$13:$D$13,1,D$8))</f>
        <v>138.9883739475</v>
      </c>
      <c r="E11" s="44" t="n">
        <f aca="false">IF(E$8=0,0,E$9*INDEX(経費前提!$B$13:$D$13,1,E$8))</f>
        <v>137.591293125</v>
      </c>
      <c r="F11" s="44" t="n">
        <f aca="false">IF(F$8=0,0,F$9*INDEX(経費前提!$B$13:$D$13,1,F$8))</f>
        <v>137.591293125</v>
      </c>
      <c r="G11" s="44" t="n">
        <f aca="false">IF(G$8=0,0,G$9*INDEX(経費前提!$B$13:$D$13,1,G$8))</f>
        <v>137.591293125</v>
      </c>
    </row>
    <row r="12" customFormat="false" ht="15" hidden="false" customHeight="false" outlineLevel="0" collapsed="false">
      <c r="A12" s="38" t="s">
        <v>137</v>
      </c>
      <c r="C12" s="44" t="n">
        <f aca="false">IF(C$8=0,0,C$9*INDEX(経費前提!$B$14:$D$14,1,C$8))</f>
        <v>9.14452902</v>
      </c>
      <c r="D12" s="44" t="n">
        <f aca="false">IF(D$8=0,0,D$9*INDEX(経費前提!$B$14:$D$14,1,D$8))</f>
        <v>9.127594707</v>
      </c>
      <c r="E12" s="44" t="n">
        <f aca="false">IF(E$8=0,0,E$9*INDEX(経費前提!$B$14:$D$14,1,E$8))</f>
        <v>8.4671565</v>
      </c>
      <c r="F12" s="44" t="n">
        <f aca="false">IF(F$8=0,0,F$9*INDEX(経費前提!$B$14:$D$14,1,F$8))</f>
        <v>8.4671565</v>
      </c>
      <c r="G12" s="44" t="n">
        <f aca="false">IF(G$8=0,0,G$9*INDEX(経費前提!$B$14:$D$14,1,G$8))</f>
        <v>8.4671565</v>
      </c>
    </row>
    <row r="13" customFormat="false" ht="15" hidden="false" customHeight="false" outlineLevel="0" collapsed="false">
      <c r="A13" s="61" t="s">
        <v>204</v>
      </c>
      <c r="C13" s="57" t="n">
        <f aca="false">C9-SUM(C10:C12)</f>
        <v>126.1182960675</v>
      </c>
      <c r="D13" s="57" t="n">
        <f aca="false">D9-SUM(D10:D12)</f>
        <v>142.3074992955</v>
      </c>
      <c r="E13" s="57" t="n">
        <f aca="false">E9-SUM(E10:E12)</f>
        <v>150.292027875</v>
      </c>
      <c r="F13" s="57" t="n">
        <f aca="false">F9-SUM(F10:F12)</f>
        <v>150.292027875</v>
      </c>
      <c r="G13" s="57" t="n">
        <f aca="false">G9-SUM(G10:G12)</f>
        <v>150.292027875</v>
      </c>
    </row>
    <row r="14" customFormat="false" ht="15" hidden="false" customHeight="false" outlineLevel="0" collapsed="false">
      <c r="A14" s="38" t="s">
        <v>139</v>
      </c>
      <c r="C14" s="44" t="n">
        <f aca="false">IF(C$8=0,0,C$9*INDEX(経費前提!$B$15:$D$15,1,C$8))</f>
        <v>5.334308595</v>
      </c>
      <c r="D14" s="44" t="n">
        <f aca="false">IF(D$8=0,0,D$9*INDEX(経費前提!$B$15:$D$15,1,D$8))</f>
        <v>5.808469359</v>
      </c>
      <c r="E14" s="44" t="n">
        <f aca="false">IF(E$8=0,0,E$9*INDEX(経費前提!$B$15:$D$15,1,E$8))</f>
        <v>5.92700955</v>
      </c>
      <c r="F14" s="44" t="n">
        <f aca="false">IF(F$8=0,0,F$9*INDEX(経費前提!$B$15:$D$15,1,F$8))</f>
        <v>5.92700955</v>
      </c>
      <c r="G14" s="44" t="n">
        <f aca="false">IF(G$8=0,0,G$9*INDEX(経費前提!$B$15:$D$15,1,G$8))</f>
        <v>5.92700955</v>
      </c>
    </row>
    <row r="15" customFormat="false" ht="15" hidden="false" customHeight="false" outlineLevel="0" collapsed="false">
      <c r="A15" s="38" t="s">
        <v>141</v>
      </c>
      <c r="C15" s="44" t="n">
        <f aca="false">IF(C$8=0,0,C$9*INDEX(経費前提!$B$16:$D$16,1,C$8))</f>
        <v>1.9051102125</v>
      </c>
      <c r="D15" s="44" t="n">
        <f aca="false">IF(D$8=0,0,D$9*INDEX(経費前提!$B$16:$D$16,1,D$8))</f>
        <v>2.0744533425</v>
      </c>
      <c r="E15" s="44" t="n">
        <f aca="false">IF(E$8=0,0,E$9*INDEX(経費前提!$B$16:$D$16,1,E$8))</f>
        <v>2.116789125</v>
      </c>
      <c r="F15" s="44" t="n">
        <f aca="false">IF(F$8=0,0,F$9*INDEX(経費前提!$B$16:$D$16,1,F$8))</f>
        <v>2.116789125</v>
      </c>
      <c r="G15" s="44" t="n">
        <f aca="false">IF(G$8=0,0,G$9*INDEX(経費前提!$B$16:$D$16,1,G$8))</f>
        <v>2.116789125</v>
      </c>
    </row>
    <row r="16" customFormat="false" ht="15" hidden="false" customHeight="false" outlineLevel="0" collapsed="false">
      <c r="A16" s="38" t="s">
        <v>142</v>
      </c>
      <c r="C16" s="44" t="n">
        <f aca="false">IF(C$8=0,0,C$9*INDEX(経費前提!$B$17:$D$17,1,C$8))</f>
        <v>15.2408817</v>
      </c>
      <c r="D16" s="44" t="n">
        <f aca="false">IF(D$8=0,0,D$9*INDEX(経費前提!$B$17:$D$17,1,D$8))</f>
        <v>15.765845403</v>
      </c>
      <c r="E16" s="44" t="n">
        <f aca="false">IF(E$8=0,0,E$9*INDEX(経費前提!$B$17:$D$17,1,E$8))</f>
        <v>15.2408817</v>
      </c>
      <c r="F16" s="44" t="n">
        <f aca="false">IF(F$8=0,0,F$9*INDEX(経費前提!$B$17:$D$17,1,F$8))</f>
        <v>15.2408817</v>
      </c>
      <c r="G16" s="44" t="n">
        <f aca="false">IF(G$8=0,0,G$9*INDEX(経費前提!$B$17:$D$17,1,G$8))</f>
        <v>15.2408817</v>
      </c>
    </row>
    <row r="17" customFormat="false" ht="15" hidden="false" customHeight="false" outlineLevel="0" collapsed="false">
      <c r="A17" s="62" t="s">
        <v>217</v>
      </c>
      <c r="C17" s="57" t="n">
        <f aca="false">C13-SUM(C14:C16)</f>
        <v>103.63799556</v>
      </c>
      <c r="D17" s="57" t="n">
        <f aca="false">D13-SUM(D14:D16)</f>
        <v>118.658731191</v>
      </c>
      <c r="E17" s="57" t="n">
        <f aca="false">E13-SUM(E14:E16)</f>
        <v>127.0073475</v>
      </c>
      <c r="F17" s="57" t="n">
        <f aca="false">F13-SUM(F14:F16)</f>
        <v>127.0073475</v>
      </c>
      <c r="G17" s="57" t="n">
        <f aca="false">G13-SUM(G14:G16)</f>
        <v>127.0073475</v>
      </c>
    </row>
    <row r="18" customFormat="false" ht="15" hidden="false" customHeight="false" outlineLevel="0" collapsed="false">
      <c r="A18" s="38" t="s">
        <v>144</v>
      </c>
      <c r="C18" s="44" t="n">
        <f aca="false">IF(C$8=0,0,C$9*INDEX(経費前提!$B$18:$D$18,1,C$8))</f>
        <v>15.2408817</v>
      </c>
      <c r="D18" s="44" t="n">
        <f aca="false">IF(D$8=0,0,D$9*INDEX(経費前提!$B$18:$D$18,1,D$8))</f>
        <v>16.59562674</v>
      </c>
      <c r="E18" s="44" t="n">
        <f aca="false">IF(E$8=0,0,E$9*INDEX(経費前提!$B$18:$D$18,1,E$8))</f>
        <v>16.934313</v>
      </c>
      <c r="F18" s="44" t="n">
        <f aca="false">IF(F$8=0,0,F$9*INDEX(経費前提!$B$18:$D$18,1,F$8))</f>
        <v>16.934313</v>
      </c>
      <c r="G18" s="44" t="n">
        <f aca="false">IF(G$8=0,0,G$9*INDEX(経費前提!$B$18:$D$18,1,G$8))</f>
        <v>16.934313</v>
      </c>
    </row>
    <row r="19" customFormat="false" ht="15" hidden="false" customHeight="false" outlineLevel="0" collapsed="false">
      <c r="A19" s="38" t="s">
        <v>146</v>
      </c>
      <c r="C19" s="44" t="n">
        <f aca="false">IF(C$8=0,0,C$9*INDEX(経費前提!$B$19:$D$19,1,C$8))</f>
        <v>2.6671542975</v>
      </c>
      <c r="D19" s="44" t="n">
        <f aca="false">IF(D$8=0,0,D$9*INDEX(経費前提!$B$19:$D$19,1,D$8))</f>
        <v>2.9042346795</v>
      </c>
      <c r="E19" s="44" t="n">
        <f aca="false">IF(E$8=0,0,E$9*INDEX(経費前提!$B$19:$D$19,1,E$8))</f>
        <v>2.963504775</v>
      </c>
      <c r="F19" s="44" t="n">
        <f aca="false">IF(F$8=0,0,F$9*INDEX(経費前提!$B$19:$D$19,1,F$8))</f>
        <v>2.963504775</v>
      </c>
      <c r="G19" s="44" t="n">
        <f aca="false">IF(G$8=0,0,G$9*INDEX(経費前提!$B$19:$D$19,1,G$8))</f>
        <v>2.963504775</v>
      </c>
    </row>
    <row r="20" customFormat="false" ht="15" hidden="false" customHeight="false" outlineLevel="0" collapsed="false">
      <c r="A20" s="38" t="s">
        <v>206</v>
      </c>
      <c r="C20" s="44" t="n">
        <f aca="false">IF(C8=0,0,経費前提!$B$25*$B$6*IF(C8=1,$B$7/12,1))</f>
        <v>26.64</v>
      </c>
      <c r="D20" s="44" t="n">
        <f aca="false">IF(D8=0,0,経費前提!$B$25*$B$6*IF(D8=1,$B$7/12,1))</f>
        <v>26.64</v>
      </c>
      <c r="E20" s="44" t="n">
        <f aca="false">IF(E8=0,0,経費前提!$B$25*$B$6*IF(E8=1,$B$7/12,1))</f>
        <v>26.64</v>
      </c>
      <c r="F20" s="44" t="n">
        <f aca="false">IF(F8=0,0,経費前提!$B$25*$B$6*IF(F8=1,$B$7/12,1))</f>
        <v>26.64</v>
      </c>
      <c r="G20" s="44" t="n">
        <f aca="false">IF(G8=0,0,経費前提!$B$25*$B$6*IF(G8=1,$B$7/12,1))</f>
        <v>26.64</v>
      </c>
    </row>
    <row r="21" customFormat="false" ht="15" hidden="false" customHeight="false" outlineLevel="0" collapsed="false">
      <c r="A21" s="38" t="s">
        <v>207</v>
      </c>
      <c r="C21" s="44" t="n">
        <f aca="false">IF(C8=0,0,MAX(0,C9/$B$6-経費前提!$B$27*IF(C8=1,$B$7/12,1))*経費前提!$B$26*$B$6)</f>
        <v>3.473542975</v>
      </c>
      <c r="D21" s="44" t="n">
        <f aca="false">IF(D8=0,0,MAX(0,D9/$B$6-経費前提!$B$27*IF(D8=1,$B$7/12,1))*経費前提!$B$26*$B$6)</f>
        <v>5.844346795</v>
      </c>
      <c r="E21" s="44" t="n">
        <f aca="false">IF(E8=0,0,MAX(0,E9/$B$6-経費前提!$B$27*IF(E8=1,$B$7/12,1))*経費前提!$B$26*$B$6)</f>
        <v>6.43704775</v>
      </c>
      <c r="F21" s="44" t="n">
        <f aca="false">IF(F8=0,0,MAX(0,F9/$B$6-経費前提!$B$27*IF(F8=1,$B$7/12,1))*経費前提!$B$26*$B$6)</f>
        <v>6.43704775</v>
      </c>
      <c r="G21" s="44" t="n">
        <f aca="false">IF(G8=0,0,MAX(0,G9/$B$6-経費前提!$B$27*IF(G8=1,$B$7/12,1))*経費前提!$B$26*$B$6)</f>
        <v>6.43704775</v>
      </c>
    </row>
    <row r="22" customFormat="false" ht="15" hidden="false" customHeight="false" outlineLevel="0" collapsed="false">
      <c r="A22" s="38" t="s">
        <v>218</v>
      </c>
      <c r="C22" s="44" t="n">
        <f aca="false">IF(C$8=0,0,C$9*INDEX(経費前提!$B$20:$D$20,1,C$8))</f>
        <v>9.5255510625</v>
      </c>
      <c r="D22" s="44" t="n">
        <f aca="false">IF(D$8=0,0,D$9*INDEX(経費前提!$B$20:$D$20,1,D$8))</f>
        <v>10.3722667125</v>
      </c>
      <c r="E22" s="44" t="n">
        <f aca="false">IF(E$8=0,0,E$9*INDEX(経費前提!$B$20:$D$20,1,E$8))</f>
        <v>10.583945625</v>
      </c>
      <c r="F22" s="44" t="n">
        <f aca="false">IF(F$8=0,0,F$9*INDEX(経費前提!$B$20:$D$20,1,F$8))</f>
        <v>10.583945625</v>
      </c>
      <c r="G22" s="44" t="n">
        <f aca="false">IF(G$8=0,0,G$9*INDEX(経費前提!$B$20:$D$20,1,G$8))</f>
        <v>10.583945625</v>
      </c>
    </row>
    <row r="23" customFormat="false" ht="15" hidden="false" customHeight="false" outlineLevel="0" collapsed="false">
      <c r="A23" s="10" t="s">
        <v>219</v>
      </c>
      <c r="C23" s="57" t="n">
        <f aca="false">C17-SUM(C18:C22)</f>
        <v>46.090865525</v>
      </c>
      <c r="D23" s="57" t="n">
        <f aca="false">D17-SUM(D18:D22)</f>
        <v>56.302256264</v>
      </c>
      <c r="E23" s="57" t="n">
        <f aca="false">E17-SUM(E18:E22)</f>
        <v>63.44853635</v>
      </c>
      <c r="F23" s="57" t="n">
        <f aca="false">F17-SUM(F18:F22)</f>
        <v>63.44853635</v>
      </c>
      <c r="G23" s="57" t="n">
        <f aca="false">G17-SUM(G18:G22)</f>
        <v>63.44853635</v>
      </c>
    </row>
    <row r="24" customFormat="false" ht="15" hidden="false" customHeight="false" outlineLevel="0" collapsed="false">
      <c r="A24" s="4" t="s">
        <v>23</v>
      </c>
      <c r="C24" s="44" t="n">
        <f aca="false">IF(C8=0,0,経費前提!$B$42*$B$6*IF(C8=1,$B$7/12,1))</f>
        <v>20.825</v>
      </c>
      <c r="D24" s="44" t="n">
        <f aca="false">IF(D8=0,0,経費前提!$B$42*$B$6*IF(D8=1,$B$7/12,1))</f>
        <v>20.825</v>
      </c>
      <c r="E24" s="44" t="n">
        <f aca="false">IF(E8=0,0,経費前提!$B$42*$B$6*IF(E8=1,$B$7/12,1))</f>
        <v>20.825</v>
      </c>
      <c r="F24" s="44" t="n">
        <f aca="false">IF(F8=0,0,経費前提!$B$42*$B$6*IF(F8=1,$B$7/12,1))</f>
        <v>20.825</v>
      </c>
      <c r="G24" s="44" t="n">
        <f aca="false">IF(G8=0,0,経費前提!$B$42*$B$6*IF(G8=1,$B$7/12,1))</f>
        <v>20.825</v>
      </c>
    </row>
    <row r="25" customFormat="false" ht="15" hidden="false" customHeight="false" outlineLevel="0" collapsed="false">
      <c r="A25" s="10" t="s">
        <v>220</v>
      </c>
      <c r="C25" s="57" t="n">
        <f aca="false">C23-C24</f>
        <v>25.265865525</v>
      </c>
      <c r="D25" s="57" t="n">
        <f aca="false">D23-D24</f>
        <v>35.477256264</v>
      </c>
      <c r="E25" s="57" t="n">
        <f aca="false">E23-E24</f>
        <v>42.62353635</v>
      </c>
      <c r="F25" s="57" t="n">
        <f aca="false">F23-F24</f>
        <v>42.62353635</v>
      </c>
      <c r="G25" s="57" t="n">
        <f aca="false">G23-G24</f>
        <v>42.62353635</v>
      </c>
    </row>
    <row r="27" customFormat="false" ht="15" hidden="false" customHeight="false" outlineLevel="0" collapsed="false">
      <c r="A27" s="3" t="s">
        <v>221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59" t="s">
        <v>214</v>
      </c>
      <c r="B28" s="32" t="n">
        <v>2</v>
      </c>
    </row>
    <row r="29" customFormat="false" ht="15" hidden="false" customHeight="false" outlineLevel="0" collapsed="false">
      <c r="A29" s="59" t="s">
        <v>215</v>
      </c>
      <c r="B29" s="9" t="n">
        <f aca="false">売上前提!$B$9</f>
        <v>7.5</v>
      </c>
    </row>
    <row r="30" customFormat="false" ht="15" hidden="false" customHeight="false" outlineLevel="0" collapsed="false">
      <c r="A30" s="59" t="s">
        <v>216</v>
      </c>
      <c r="C30" s="32" t="n">
        <v>0</v>
      </c>
      <c r="D30" s="32" t="n">
        <v>1</v>
      </c>
      <c r="E30" s="32" t="n">
        <v>2</v>
      </c>
      <c r="F30" s="32" t="n">
        <v>3</v>
      </c>
      <c r="G30" s="32" t="n">
        <v>3</v>
      </c>
    </row>
    <row r="31" customFormat="false" ht="15" hidden="false" customHeight="false" outlineLevel="0" collapsed="false">
      <c r="A31" s="10" t="s">
        <v>20</v>
      </c>
      <c r="C31" s="60" t="n">
        <f aca="false">IF(C30=0,0,売上前提!$K$28*INDEX(売上前提!$B$6:$B$8,C30)*$B$28*IF(C30=1,$B$29/12,1))</f>
        <v>0</v>
      </c>
      <c r="D31" s="60" t="n">
        <f aca="false">IF(D30=0,0,売上前提!$K$28*INDEX(売上前提!$B$6:$B$8,D30)*$B$28*IF(D30=1,$B$29/12,1))</f>
        <v>476.277553125</v>
      </c>
      <c r="E31" s="60" t="n">
        <f aca="false">IF(E30=0,0,売上前提!$K$28*INDEX(売上前提!$B$6:$B$8,E30)*$B$28*IF(E30=1,$B$29/12,1))</f>
        <v>829.781337</v>
      </c>
      <c r="F31" s="60" t="n">
        <f aca="false">IF(F30=0,0,売上前提!$K$28*INDEX(売上前提!$B$6:$B$8,F30)*$B$28*IF(F30=1,$B$29/12,1))</f>
        <v>846.71565</v>
      </c>
      <c r="G31" s="60" t="n">
        <f aca="false">IF(G30=0,0,売上前提!$K$28*INDEX(売上前提!$B$6:$B$8,G30)*$B$28*IF(G30=1,$B$29/12,1))</f>
        <v>846.71565</v>
      </c>
    </row>
    <row r="32" customFormat="false" ht="15" hidden="false" customHeight="false" outlineLevel="0" collapsed="false">
      <c r="A32" s="38" t="s">
        <v>203</v>
      </c>
      <c r="C32" s="44" t="n">
        <f aca="false">IF(C$30=0,0,C$31*INDEX(経費前提!$B$12:$D$12,1,C$30))</f>
        <v>0</v>
      </c>
      <c r="D32" s="44" t="n">
        <f aca="false">IF(D$30=0,0,D$31*INDEX(経費前提!$B$12:$D$12,1,D$30))</f>
        <v>142.8832659375</v>
      </c>
      <c r="E32" s="44" t="n">
        <f aca="false">IF(E$30=0,0,E$31*INDEX(経費前提!$B$12:$D$12,1,E$30))</f>
        <v>248.9344011</v>
      </c>
      <c r="F32" s="44" t="n">
        <f aca="false">IF(F$30=0,0,F$31*INDEX(経費前提!$B$12:$D$12,1,F$30))</f>
        <v>254.014695</v>
      </c>
      <c r="G32" s="44" t="n">
        <f aca="false">IF(G$30=0,0,G$31*INDEX(経費前提!$B$12:$D$12,1,G$30))</f>
        <v>254.014695</v>
      </c>
    </row>
    <row r="33" customFormat="false" ht="15" hidden="false" customHeight="false" outlineLevel="0" collapsed="false">
      <c r="A33" s="38" t="s">
        <v>135</v>
      </c>
      <c r="C33" s="44" t="n">
        <f aca="false">IF(C$30=0,0,C$31*INDEX(経費前提!$B$13:$D$13,1,C$30))</f>
        <v>0</v>
      </c>
      <c r="D33" s="44" t="n">
        <f aca="false">IF(D$30=0,0,D$31*INDEX(経費前提!$B$13:$D$13,1,D$30))</f>
        <v>164.315755828125</v>
      </c>
      <c r="E33" s="44" t="n">
        <f aca="false">IF(E$30=0,0,E$31*INDEX(経費前提!$B$13:$D$13,1,E$30))</f>
        <v>277.976747895</v>
      </c>
      <c r="F33" s="44" t="n">
        <f aca="false">IF(F$30=0,0,F$31*INDEX(経費前提!$B$13:$D$13,1,F$30))</f>
        <v>275.18258625</v>
      </c>
      <c r="G33" s="44" t="n">
        <f aca="false">IF(G$30=0,0,G$31*INDEX(経費前提!$B$13:$D$13,1,G$30))</f>
        <v>275.18258625</v>
      </c>
    </row>
    <row r="34" customFormat="false" ht="15" hidden="false" customHeight="false" outlineLevel="0" collapsed="false">
      <c r="A34" s="38" t="s">
        <v>137</v>
      </c>
      <c r="C34" s="44" t="n">
        <f aca="false">IF(C$30=0,0,C$31*INDEX(経費前提!$B$14:$D$14,1,C$30))</f>
        <v>0</v>
      </c>
      <c r="D34" s="44" t="n">
        <f aca="false">IF(D$30=0,0,D$31*INDEX(経費前提!$B$14:$D$14,1,D$30))</f>
        <v>11.430661275</v>
      </c>
      <c r="E34" s="44" t="n">
        <f aca="false">IF(E$30=0,0,E$31*INDEX(経費前提!$B$14:$D$14,1,E$30))</f>
        <v>18.255189414</v>
      </c>
      <c r="F34" s="44" t="n">
        <f aca="false">IF(F$30=0,0,F$31*INDEX(経費前提!$B$14:$D$14,1,F$30))</f>
        <v>16.934313</v>
      </c>
      <c r="G34" s="44" t="n">
        <f aca="false">IF(G$30=0,0,G$31*INDEX(経費前提!$B$14:$D$14,1,G$30))</f>
        <v>16.934313</v>
      </c>
    </row>
    <row r="35" customFormat="false" ht="15" hidden="false" customHeight="false" outlineLevel="0" collapsed="false">
      <c r="A35" s="61" t="s">
        <v>204</v>
      </c>
      <c r="C35" s="57" t="n">
        <f aca="false">C31-SUM(C32:C34)</f>
        <v>0</v>
      </c>
      <c r="D35" s="57" t="n">
        <f aca="false">D31-SUM(D32:D34)</f>
        <v>157.647870084375</v>
      </c>
      <c r="E35" s="57" t="n">
        <f aca="false">E31-SUM(E32:E34)</f>
        <v>284.614998591</v>
      </c>
      <c r="F35" s="57" t="n">
        <f aca="false">F31-SUM(F32:F34)</f>
        <v>300.58405575</v>
      </c>
      <c r="G35" s="57" t="n">
        <f aca="false">G31-SUM(G32:G34)</f>
        <v>300.58405575</v>
      </c>
    </row>
    <row r="36" customFormat="false" ht="15" hidden="false" customHeight="false" outlineLevel="0" collapsed="false">
      <c r="A36" s="38" t="s">
        <v>139</v>
      </c>
      <c r="C36" s="44" t="n">
        <f aca="false">IF(C$30=0,0,C$31*INDEX(経費前提!$B$15:$D$15,1,C$30))</f>
        <v>0</v>
      </c>
      <c r="D36" s="44" t="n">
        <f aca="false">IF(D$30=0,0,D$31*INDEX(経費前提!$B$15:$D$15,1,D$30))</f>
        <v>6.66788574375</v>
      </c>
      <c r="E36" s="44" t="n">
        <f aca="false">IF(E$30=0,0,E$31*INDEX(経費前提!$B$15:$D$15,1,E$30))</f>
        <v>11.616938718</v>
      </c>
      <c r="F36" s="44" t="n">
        <f aca="false">IF(F$30=0,0,F$31*INDEX(経費前提!$B$15:$D$15,1,F$30))</f>
        <v>11.8540191</v>
      </c>
      <c r="G36" s="44" t="n">
        <f aca="false">IF(G$30=0,0,G$31*INDEX(経費前提!$B$15:$D$15,1,G$30))</f>
        <v>11.8540191</v>
      </c>
    </row>
    <row r="37" customFormat="false" ht="15" hidden="false" customHeight="false" outlineLevel="0" collapsed="false">
      <c r="A37" s="38" t="s">
        <v>141</v>
      </c>
      <c r="C37" s="44" t="n">
        <f aca="false">IF(C$30=0,0,C$31*INDEX(経費前提!$B$16:$D$16,1,C$30))</f>
        <v>0</v>
      </c>
      <c r="D37" s="44" t="n">
        <f aca="false">IF(D$30=0,0,D$31*INDEX(経費前提!$B$16:$D$16,1,D$30))</f>
        <v>2.381387765625</v>
      </c>
      <c r="E37" s="44" t="n">
        <f aca="false">IF(E$30=0,0,E$31*INDEX(経費前提!$B$16:$D$16,1,E$30))</f>
        <v>4.148906685</v>
      </c>
      <c r="F37" s="44" t="n">
        <f aca="false">IF(F$30=0,0,F$31*INDEX(経費前提!$B$16:$D$16,1,F$30))</f>
        <v>4.23357825</v>
      </c>
      <c r="G37" s="44" t="n">
        <f aca="false">IF(G$30=0,0,G$31*INDEX(経費前提!$B$16:$D$16,1,G$30))</f>
        <v>4.23357825</v>
      </c>
    </row>
    <row r="38" customFormat="false" ht="15" hidden="false" customHeight="false" outlineLevel="0" collapsed="false">
      <c r="A38" s="38" t="s">
        <v>142</v>
      </c>
      <c r="C38" s="44" t="n">
        <f aca="false">IF(C$30=0,0,C$31*INDEX(経費前提!$B$17:$D$17,1,C$30))</f>
        <v>0</v>
      </c>
      <c r="D38" s="44" t="n">
        <f aca="false">IF(D$30=0,0,D$31*INDEX(経費前提!$B$17:$D$17,1,D$30))</f>
        <v>19.051102125</v>
      </c>
      <c r="E38" s="44" t="n">
        <f aca="false">IF(E$30=0,0,E$31*INDEX(経費前提!$B$17:$D$17,1,E$30))</f>
        <v>31.531690806</v>
      </c>
      <c r="F38" s="44" t="n">
        <f aca="false">IF(F$30=0,0,F$31*INDEX(経費前提!$B$17:$D$17,1,F$30))</f>
        <v>30.4817634</v>
      </c>
      <c r="G38" s="44" t="n">
        <f aca="false">IF(G$30=0,0,G$31*INDEX(経費前提!$B$17:$D$17,1,G$30))</f>
        <v>30.4817634</v>
      </c>
    </row>
    <row r="39" customFormat="false" ht="15" hidden="false" customHeight="false" outlineLevel="0" collapsed="false">
      <c r="A39" s="62" t="s">
        <v>217</v>
      </c>
      <c r="C39" s="57" t="n">
        <f aca="false">C35-SUM(C36:C38)</f>
        <v>0</v>
      </c>
      <c r="D39" s="57" t="n">
        <f aca="false">D35-SUM(D36:D38)</f>
        <v>129.54749445</v>
      </c>
      <c r="E39" s="57" t="n">
        <f aca="false">E35-SUM(E36:E38)</f>
        <v>237.317462382</v>
      </c>
      <c r="F39" s="57" t="n">
        <f aca="false">F35-SUM(F36:F38)</f>
        <v>254.014695</v>
      </c>
      <c r="G39" s="57" t="n">
        <f aca="false">G35-SUM(G36:G38)</f>
        <v>254.014695</v>
      </c>
    </row>
    <row r="40" customFormat="false" ht="15" hidden="false" customHeight="false" outlineLevel="0" collapsed="false">
      <c r="A40" s="38" t="s">
        <v>144</v>
      </c>
      <c r="C40" s="44" t="n">
        <f aca="false">IF(C$30=0,0,C$31*INDEX(経費前提!$B$18:$D$18,1,C$30))</f>
        <v>0</v>
      </c>
      <c r="D40" s="44" t="n">
        <f aca="false">IF(D$30=0,0,D$31*INDEX(経費前提!$B$18:$D$18,1,D$30))</f>
        <v>19.051102125</v>
      </c>
      <c r="E40" s="44" t="n">
        <f aca="false">IF(E$30=0,0,E$31*INDEX(経費前提!$B$18:$D$18,1,E$30))</f>
        <v>33.19125348</v>
      </c>
      <c r="F40" s="44" t="n">
        <f aca="false">IF(F$30=0,0,F$31*INDEX(経費前提!$B$18:$D$18,1,F$30))</f>
        <v>33.868626</v>
      </c>
      <c r="G40" s="44" t="n">
        <f aca="false">IF(G$30=0,0,G$31*INDEX(経費前提!$B$18:$D$18,1,G$30))</f>
        <v>33.868626</v>
      </c>
    </row>
    <row r="41" customFormat="false" ht="15" hidden="false" customHeight="false" outlineLevel="0" collapsed="false">
      <c r="A41" s="38" t="s">
        <v>146</v>
      </c>
      <c r="C41" s="44" t="n">
        <f aca="false">IF(C$30=0,0,C$31*INDEX(経費前提!$B$19:$D$19,1,C$30))</f>
        <v>0</v>
      </c>
      <c r="D41" s="44" t="n">
        <f aca="false">IF(D$30=0,0,D$31*INDEX(経費前提!$B$19:$D$19,1,D$30))</f>
        <v>3.333942871875</v>
      </c>
      <c r="E41" s="44" t="n">
        <f aca="false">IF(E$30=0,0,E$31*INDEX(経費前提!$B$19:$D$19,1,E$30))</f>
        <v>5.808469359</v>
      </c>
      <c r="F41" s="44" t="n">
        <f aca="false">IF(F$30=0,0,F$31*INDEX(経費前提!$B$19:$D$19,1,F$30))</f>
        <v>5.92700955</v>
      </c>
      <c r="G41" s="44" t="n">
        <f aca="false">IF(G$30=0,0,G$31*INDEX(経費前提!$B$19:$D$19,1,G$30))</f>
        <v>5.92700955</v>
      </c>
    </row>
    <row r="42" customFormat="false" ht="15" hidden="false" customHeight="false" outlineLevel="0" collapsed="false">
      <c r="A42" s="38" t="s">
        <v>206</v>
      </c>
      <c r="C42" s="44" t="n">
        <f aca="false">IF(C30=0,0,経費前提!$B$25*$B$28*IF(C30=1,$B$29/12,1))</f>
        <v>0</v>
      </c>
      <c r="D42" s="44" t="n">
        <f aca="false">IF(D30=0,0,経費前提!$B$25*$B$28*IF(D30=1,$B$29/12,1))</f>
        <v>33.3</v>
      </c>
      <c r="E42" s="44" t="n">
        <f aca="false">IF(E30=0,0,経費前提!$B$25*$B$28*IF(E30=1,$B$29/12,1))</f>
        <v>53.28</v>
      </c>
      <c r="F42" s="44" t="n">
        <f aca="false">IF(F30=0,0,経費前提!$B$25*$B$28*IF(F30=1,$B$29/12,1))</f>
        <v>53.28</v>
      </c>
      <c r="G42" s="44" t="n">
        <f aca="false">IF(G30=0,0,経費前提!$B$25*$B$28*IF(G30=1,$B$29/12,1))</f>
        <v>53.28</v>
      </c>
    </row>
    <row r="43" customFormat="false" ht="15" hidden="false" customHeight="false" outlineLevel="0" collapsed="false">
      <c r="A43" s="38" t="s">
        <v>207</v>
      </c>
      <c r="C43" s="44" t="n">
        <f aca="false">IF(C30=0,0,MAX(0,C31/$B$28-経費前提!$B$27*IF(C30=1,$B$29/12,1))*経費前提!$B$26*$B$28)</f>
        <v>0</v>
      </c>
      <c r="D43" s="44" t="n">
        <f aca="false">IF(D30=0,0,MAX(0,D31/$B$28-経費前提!$B$27*IF(D30=1,$B$29/12,1))*経費前提!$B$26*$B$28)</f>
        <v>4.34192871875</v>
      </c>
      <c r="E43" s="44" t="n">
        <f aca="false">IF(E30=0,0,MAX(0,E31/$B$28-経費前提!$B$27*IF(E30=1,$B$29/12,1))*経費前提!$B$26*$B$28)</f>
        <v>11.68869359</v>
      </c>
      <c r="F43" s="44" t="n">
        <f aca="false">IF(F30=0,0,MAX(0,F31/$B$28-経費前提!$B$27*IF(F30=1,$B$29/12,1))*経費前提!$B$26*$B$28)</f>
        <v>12.8740955</v>
      </c>
      <c r="G43" s="44" t="n">
        <f aca="false">IF(G30=0,0,MAX(0,G31/$B$28-経費前提!$B$27*IF(G30=1,$B$29/12,1))*経費前提!$B$26*$B$28)</f>
        <v>12.8740955</v>
      </c>
    </row>
    <row r="44" customFormat="false" ht="15" hidden="false" customHeight="false" outlineLevel="0" collapsed="false">
      <c r="A44" s="38" t="s">
        <v>218</v>
      </c>
      <c r="C44" s="44" t="n">
        <f aca="false">IF(C$30=0,0,C$31*INDEX(経費前提!$B$20:$D$20,1,C$30))</f>
        <v>0</v>
      </c>
      <c r="D44" s="44" t="n">
        <f aca="false">IF(D$30=0,0,D$31*INDEX(経費前提!$B$20:$D$20,1,D$30))</f>
        <v>11.906938828125</v>
      </c>
      <c r="E44" s="44" t="n">
        <f aca="false">IF(E$30=0,0,E$31*INDEX(経費前提!$B$20:$D$20,1,E$30))</f>
        <v>20.744533425</v>
      </c>
      <c r="F44" s="44" t="n">
        <f aca="false">IF(F$30=0,0,F$31*INDEX(経費前提!$B$20:$D$20,1,F$30))</f>
        <v>21.16789125</v>
      </c>
      <c r="G44" s="44" t="n">
        <f aca="false">IF(G$30=0,0,G$31*INDEX(経費前提!$B$20:$D$20,1,G$30))</f>
        <v>21.16789125</v>
      </c>
    </row>
    <row r="45" customFormat="false" ht="15" hidden="false" customHeight="false" outlineLevel="0" collapsed="false">
      <c r="A45" s="10" t="s">
        <v>219</v>
      </c>
      <c r="C45" s="57" t="n">
        <f aca="false">C39-SUM(C40:C44)</f>
        <v>0</v>
      </c>
      <c r="D45" s="57" t="n">
        <f aca="false">D39-SUM(D40:D44)</f>
        <v>57.6135819062501</v>
      </c>
      <c r="E45" s="57" t="n">
        <f aca="false">E39-SUM(E40:E44)</f>
        <v>112.604512528</v>
      </c>
      <c r="F45" s="57" t="n">
        <f aca="false">F39-SUM(F40:F44)</f>
        <v>126.8970727</v>
      </c>
      <c r="G45" s="57" t="n">
        <f aca="false">G39-SUM(G40:G44)</f>
        <v>126.8970727</v>
      </c>
    </row>
    <row r="46" customFormat="false" ht="15" hidden="false" customHeight="false" outlineLevel="0" collapsed="false">
      <c r="A46" s="4" t="s">
        <v>23</v>
      </c>
      <c r="C46" s="44" t="n">
        <f aca="false">IF(C30=0,0,経費前提!$C$42*$B$28*IF(C30=1,$B$29/12,1))</f>
        <v>0</v>
      </c>
      <c r="D46" s="44" t="n">
        <f aca="false">IF(D30=0,0,経費前提!$C$42*$B$28*IF(D30=1,$B$29/12,1))</f>
        <v>26.03125</v>
      </c>
      <c r="E46" s="44" t="n">
        <f aca="false">IF(E30=0,0,経費前提!$C$42*$B$28*IF(E30=1,$B$29/12,1))</f>
        <v>41.65</v>
      </c>
      <c r="F46" s="44" t="n">
        <f aca="false">IF(F30=0,0,経費前提!$C$42*$B$28*IF(F30=1,$B$29/12,1))</f>
        <v>41.65</v>
      </c>
      <c r="G46" s="44" t="n">
        <f aca="false">IF(G30=0,0,経費前提!$C$42*$B$28*IF(G30=1,$B$29/12,1))</f>
        <v>41.65</v>
      </c>
    </row>
    <row r="47" customFormat="false" ht="15" hidden="false" customHeight="false" outlineLevel="0" collapsed="false">
      <c r="A47" s="10" t="s">
        <v>220</v>
      </c>
      <c r="C47" s="57" t="n">
        <f aca="false">C45-C46</f>
        <v>0</v>
      </c>
      <c r="D47" s="57" t="n">
        <f aca="false">D45-D46</f>
        <v>31.58233190625</v>
      </c>
      <c r="E47" s="57" t="n">
        <f aca="false">E45-E46</f>
        <v>70.9545125279999</v>
      </c>
      <c r="F47" s="57" t="n">
        <f aca="false">F45-F46</f>
        <v>85.2470727000001</v>
      </c>
      <c r="G47" s="57" t="n">
        <f aca="false">G45-G46</f>
        <v>85.2470727000001</v>
      </c>
    </row>
    <row r="49" customFormat="false" ht="15" hidden="false" customHeight="false" outlineLevel="0" collapsed="false">
      <c r="A49" s="3" t="s">
        <v>222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59" t="s">
        <v>214</v>
      </c>
      <c r="B50" s="32" t="n">
        <v>2</v>
      </c>
    </row>
    <row r="51" customFormat="false" ht="15" hidden="false" customHeight="false" outlineLevel="0" collapsed="false">
      <c r="A51" s="59" t="s">
        <v>215</v>
      </c>
      <c r="B51" s="9" t="n">
        <f aca="false">売上前提!$B$9</f>
        <v>7.5</v>
      </c>
    </row>
    <row r="52" customFormat="false" ht="15" hidden="false" customHeight="false" outlineLevel="0" collapsed="false">
      <c r="A52" s="59" t="s">
        <v>216</v>
      </c>
      <c r="C52" s="32" t="n">
        <v>0</v>
      </c>
      <c r="D52" s="32" t="n">
        <v>0</v>
      </c>
      <c r="E52" s="32" t="n">
        <v>1</v>
      </c>
      <c r="F52" s="32" t="n">
        <v>2</v>
      </c>
      <c r="G52" s="32" t="n">
        <v>3</v>
      </c>
    </row>
    <row r="53" customFormat="false" ht="15" hidden="false" customHeight="false" outlineLevel="0" collapsed="false">
      <c r="A53" s="10" t="s">
        <v>20</v>
      </c>
      <c r="C53" s="60" t="n">
        <f aca="false">IF(C52=0,0,売上前提!$K$28*INDEX(売上前提!$B$6:$B$8,C52)*$B$50*IF(C52=1,$B$51/12,1))</f>
        <v>0</v>
      </c>
      <c r="D53" s="60" t="n">
        <f aca="false">IF(D52=0,0,売上前提!$K$28*INDEX(売上前提!$B$6:$B$8,D52)*$B$50*IF(D52=1,$B$51/12,1))</f>
        <v>0</v>
      </c>
      <c r="E53" s="60" t="n">
        <f aca="false">IF(E52=0,0,売上前提!$K$28*INDEX(売上前提!$B$6:$B$8,E52)*$B$50*IF(E52=1,$B$51/12,1))</f>
        <v>476.277553125</v>
      </c>
      <c r="F53" s="60" t="n">
        <f aca="false">IF(F52=0,0,売上前提!$K$28*INDEX(売上前提!$B$6:$B$8,F52)*$B$50*IF(F52=1,$B$51/12,1))</f>
        <v>829.781337</v>
      </c>
      <c r="G53" s="60" t="n">
        <f aca="false">IF(G52=0,0,売上前提!$K$28*INDEX(売上前提!$B$6:$B$8,G52)*$B$50*IF(G52=1,$B$51/12,1))</f>
        <v>846.71565</v>
      </c>
    </row>
    <row r="54" customFormat="false" ht="15" hidden="false" customHeight="false" outlineLevel="0" collapsed="false">
      <c r="A54" s="38" t="s">
        <v>203</v>
      </c>
      <c r="C54" s="44" t="n">
        <f aca="false">IF(C$52=0,0,C$53*INDEX(経費前提!$B$12:$D$12,1,C$52))</f>
        <v>0</v>
      </c>
      <c r="D54" s="44" t="n">
        <f aca="false">IF(D$52=0,0,D$53*INDEX(経費前提!$B$12:$D$12,1,D$52))</f>
        <v>0</v>
      </c>
      <c r="E54" s="44" t="n">
        <f aca="false">IF(E$52=0,0,E$53*INDEX(経費前提!$B$12:$D$12,1,E$52))</f>
        <v>142.8832659375</v>
      </c>
      <c r="F54" s="44" t="n">
        <f aca="false">IF(F$52=0,0,F$53*INDEX(経費前提!$B$12:$D$12,1,F$52))</f>
        <v>248.9344011</v>
      </c>
      <c r="G54" s="44" t="n">
        <f aca="false">IF(G$52=0,0,G$53*INDEX(経費前提!$B$12:$D$12,1,G$52))</f>
        <v>254.014695</v>
      </c>
    </row>
    <row r="55" customFormat="false" ht="15" hidden="false" customHeight="false" outlineLevel="0" collapsed="false">
      <c r="A55" s="38" t="s">
        <v>135</v>
      </c>
      <c r="C55" s="44" t="n">
        <f aca="false">IF(C$52=0,0,C$53*INDEX(経費前提!$B$13:$D$13,1,C$52))</f>
        <v>0</v>
      </c>
      <c r="D55" s="44" t="n">
        <f aca="false">IF(D$52=0,0,D$53*INDEX(経費前提!$B$13:$D$13,1,D$52))</f>
        <v>0</v>
      </c>
      <c r="E55" s="44" t="n">
        <f aca="false">IF(E$52=0,0,E$53*INDEX(経費前提!$B$13:$D$13,1,E$52))</f>
        <v>164.315755828125</v>
      </c>
      <c r="F55" s="44" t="n">
        <f aca="false">IF(F$52=0,0,F$53*INDEX(経費前提!$B$13:$D$13,1,F$52))</f>
        <v>277.976747895</v>
      </c>
      <c r="G55" s="44" t="n">
        <f aca="false">IF(G$52=0,0,G$53*INDEX(経費前提!$B$13:$D$13,1,G$52))</f>
        <v>275.18258625</v>
      </c>
    </row>
    <row r="56" customFormat="false" ht="15" hidden="false" customHeight="false" outlineLevel="0" collapsed="false">
      <c r="A56" s="38" t="s">
        <v>137</v>
      </c>
      <c r="C56" s="44" t="n">
        <f aca="false">IF(C$52=0,0,C$53*INDEX(経費前提!$B$14:$D$14,1,C$52))</f>
        <v>0</v>
      </c>
      <c r="D56" s="44" t="n">
        <f aca="false">IF(D$52=0,0,D$53*INDEX(経費前提!$B$14:$D$14,1,D$52))</f>
        <v>0</v>
      </c>
      <c r="E56" s="44" t="n">
        <f aca="false">IF(E$52=0,0,E$53*INDEX(経費前提!$B$14:$D$14,1,E$52))</f>
        <v>11.430661275</v>
      </c>
      <c r="F56" s="44" t="n">
        <f aca="false">IF(F$52=0,0,F$53*INDEX(経費前提!$B$14:$D$14,1,F$52))</f>
        <v>18.255189414</v>
      </c>
      <c r="G56" s="44" t="n">
        <f aca="false">IF(G$52=0,0,G$53*INDEX(経費前提!$B$14:$D$14,1,G$52))</f>
        <v>16.934313</v>
      </c>
    </row>
    <row r="57" customFormat="false" ht="15" hidden="false" customHeight="false" outlineLevel="0" collapsed="false">
      <c r="A57" s="61" t="s">
        <v>204</v>
      </c>
      <c r="C57" s="57" t="n">
        <f aca="false">C53-SUM(C54:C56)</f>
        <v>0</v>
      </c>
      <c r="D57" s="57" t="n">
        <f aca="false">D53-SUM(D54:D56)</f>
        <v>0</v>
      </c>
      <c r="E57" s="57" t="n">
        <f aca="false">E53-SUM(E54:E56)</f>
        <v>157.647870084375</v>
      </c>
      <c r="F57" s="57" t="n">
        <f aca="false">F53-SUM(F54:F56)</f>
        <v>284.614998591</v>
      </c>
      <c r="G57" s="57" t="n">
        <f aca="false">G53-SUM(G54:G56)</f>
        <v>300.58405575</v>
      </c>
    </row>
    <row r="58" customFormat="false" ht="15" hidden="false" customHeight="false" outlineLevel="0" collapsed="false">
      <c r="A58" s="38" t="s">
        <v>139</v>
      </c>
      <c r="C58" s="44" t="n">
        <f aca="false">IF(C$52=0,0,C$53*INDEX(経費前提!$B$15:$D$15,1,C$52))</f>
        <v>0</v>
      </c>
      <c r="D58" s="44" t="n">
        <f aca="false">IF(D$52=0,0,D$53*INDEX(経費前提!$B$15:$D$15,1,D$52))</f>
        <v>0</v>
      </c>
      <c r="E58" s="44" t="n">
        <f aca="false">IF(E$52=0,0,E$53*INDEX(経費前提!$B$15:$D$15,1,E$52))</f>
        <v>6.66788574375</v>
      </c>
      <c r="F58" s="44" t="n">
        <f aca="false">IF(F$52=0,0,F$53*INDEX(経費前提!$B$15:$D$15,1,F$52))</f>
        <v>11.616938718</v>
      </c>
      <c r="G58" s="44" t="n">
        <f aca="false">IF(G$52=0,0,G$53*INDEX(経費前提!$B$15:$D$15,1,G$52))</f>
        <v>11.8540191</v>
      </c>
    </row>
    <row r="59" customFormat="false" ht="15" hidden="false" customHeight="false" outlineLevel="0" collapsed="false">
      <c r="A59" s="38" t="s">
        <v>141</v>
      </c>
      <c r="C59" s="44" t="n">
        <f aca="false">IF(C$52=0,0,C$53*INDEX(経費前提!$B$16:$D$16,1,C$52))</f>
        <v>0</v>
      </c>
      <c r="D59" s="44" t="n">
        <f aca="false">IF(D$52=0,0,D$53*INDEX(経費前提!$B$16:$D$16,1,D$52))</f>
        <v>0</v>
      </c>
      <c r="E59" s="44" t="n">
        <f aca="false">IF(E$52=0,0,E$53*INDEX(経費前提!$B$16:$D$16,1,E$52))</f>
        <v>2.381387765625</v>
      </c>
      <c r="F59" s="44" t="n">
        <f aca="false">IF(F$52=0,0,F$53*INDEX(経費前提!$B$16:$D$16,1,F$52))</f>
        <v>4.148906685</v>
      </c>
      <c r="G59" s="44" t="n">
        <f aca="false">IF(G$52=0,0,G$53*INDEX(経費前提!$B$16:$D$16,1,G$52))</f>
        <v>4.23357825</v>
      </c>
    </row>
    <row r="60" customFormat="false" ht="15" hidden="false" customHeight="false" outlineLevel="0" collapsed="false">
      <c r="A60" s="38" t="s">
        <v>142</v>
      </c>
      <c r="C60" s="44" t="n">
        <f aca="false">IF(C$52=0,0,C$53*INDEX(経費前提!$B$17:$D$17,1,C$52))</f>
        <v>0</v>
      </c>
      <c r="D60" s="44" t="n">
        <f aca="false">IF(D$52=0,0,D$53*INDEX(経費前提!$B$17:$D$17,1,D$52))</f>
        <v>0</v>
      </c>
      <c r="E60" s="44" t="n">
        <f aca="false">IF(E$52=0,0,E$53*INDEX(経費前提!$B$17:$D$17,1,E$52))</f>
        <v>19.051102125</v>
      </c>
      <c r="F60" s="44" t="n">
        <f aca="false">IF(F$52=0,0,F$53*INDEX(経費前提!$B$17:$D$17,1,F$52))</f>
        <v>31.531690806</v>
      </c>
      <c r="G60" s="44" t="n">
        <f aca="false">IF(G$52=0,0,G$53*INDEX(経費前提!$B$17:$D$17,1,G$52))</f>
        <v>30.4817634</v>
      </c>
    </row>
    <row r="61" customFormat="false" ht="15" hidden="false" customHeight="false" outlineLevel="0" collapsed="false">
      <c r="A61" s="62" t="s">
        <v>217</v>
      </c>
      <c r="C61" s="57" t="n">
        <f aca="false">C57-SUM(C58:C60)</f>
        <v>0</v>
      </c>
      <c r="D61" s="57" t="n">
        <f aca="false">D57-SUM(D58:D60)</f>
        <v>0</v>
      </c>
      <c r="E61" s="57" t="n">
        <f aca="false">E57-SUM(E58:E60)</f>
        <v>129.54749445</v>
      </c>
      <c r="F61" s="57" t="n">
        <f aca="false">F57-SUM(F58:F60)</f>
        <v>237.317462382</v>
      </c>
      <c r="G61" s="57" t="n">
        <f aca="false">G57-SUM(G58:G60)</f>
        <v>254.014695</v>
      </c>
    </row>
    <row r="62" customFormat="false" ht="15" hidden="false" customHeight="false" outlineLevel="0" collapsed="false">
      <c r="A62" s="38" t="s">
        <v>144</v>
      </c>
      <c r="C62" s="44" t="n">
        <f aca="false">IF(C$52=0,0,C$53*INDEX(経費前提!$B$18:$D$18,1,C$52))</f>
        <v>0</v>
      </c>
      <c r="D62" s="44" t="n">
        <f aca="false">IF(D$52=0,0,D$53*INDEX(経費前提!$B$18:$D$18,1,D$52))</f>
        <v>0</v>
      </c>
      <c r="E62" s="44" t="n">
        <f aca="false">IF(E$52=0,0,E$53*INDEX(経費前提!$B$18:$D$18,1,E$52))</f>
        <v>19.051102125</v>
      </c>
      <c r="F62" s="44" t="n">
        <f aca="false">IF(F$52=0,0,F$53*INDEX(経費前提!$B$18:$D$18,1,F$52))</f>
        <v>33.19125348</v>
      </c>
      <c r="G62" s="44" t="n">
        <f aca="false">IF(G$52=0,0,G$53*INDEX(経費前提!$B$18:$D$18,1,G$52))</f>
        <v>33.868626</v>
      </c>
    </row>
    <row r="63" customFormat="false" ht="15" hidden="false" customHeight="false" outlineLevel="0" collapsed="false">
      <c r="A63" s="38" t="s">
        <v>146</v>
      </c>
      <c r="C63" s="44" t="n">
        <f aca="false">IF(C$52=0,0,C$53*INDEX(経費前提!$B$19:$D$19,1,C$52))</f>
        <v>0</v>
      </c>
      <c r="D63" s="44" t="n">
        <f aca="false">IF(D$52=0,0,D$53*INDEX(経費前提!$B$19:$D$19,1,D$52))</f>
        <v>0</v>
      </c>
      <c r="E63" s="44" t="n">
        <f aca="false">IF(E$52=0,0,E$53*INDEX(経費前提!$B$19:$D$19,1,E$52))</f>
        <v>3.333942871875</v>
      </c>
      <c r="F63" s="44" t="n">
        <f aca="false">IF(F$52=0,0,F$53*INDEX(経費前提!$B$19:$D$19,1,F$52))</f>
        <v>5.808469359</v>
      </c>
      <c r="G63" s="44" t="n">
        <f aca="false">IF(G$52=0,0,G$53*INDEX(経費前提!$B$19:$D$19,1,G$52))</f>
        <v>5.92700955</v>
      </c>
    </row>
    <row r="64" customFormat="false" ht="15" hidden="false" customHeight="false" outlineLevel="0" collapsed="false">
      <c r="A64" s="38" t="s">
        <v>206</v>
      </c>
      <c r="C64" s="44" t="n">
        <f aca="false">IF(C52=0,0,経費前提!$B$25*$B$50*IF(C52=1,$B$51/12,1))</f>
        <v>0</v>
      </c>
      <c r="D64" s="44" t="n">
        <f aca="false">IF(D52=0,0,経費前提!$B$25*$B$50*IF(D52=1,$B$51/12,1))</f>
        <v>0</v>
      </c>
      <c r="E64" s="44" t="n">
        <f aca="false">IF(E52=0,0,経費前提!$B$25*$B$50*IF(E52=1,$B$51/12,1))</f>
        <v>33.3</v>
      </c>
      <c r="F64" s="44" t="n">
        <f aca="false">IF(F52=0,0,経費前提!$B$25*$B$50*IF(F52=1,$B$51/12,1))</f>
        <v>53.28</v>
      </c>
      <c r="G64" s="44" t="n">
        <f aca="false">IF(G52=0,0,経費前提!$B$25*$B$50*IF(G52=1,$B$51/12,1))</f>
        <v>53.28</v>
      </c>
    </row>
    <row r="65" customFormat="false" ht="15" hidden="false" customHeight="false" outlineLevel="0" collapsed="false">
      <c r="A65" s="38" t="s">
        <v>207</v>
      </c>
      <c r="C65" s="44" t="n">
        <f aca="false">IF(C52=0,0,MAX(0,C53/$B$50-経費前提!$B$27*IF(C52=1,$B$51/12,1))*経費前提!$B$26*$B$50)</f>
        <v>0</v>
      </c>
      <c r="D65" s="44" t="n">
        <f aca="false">IF(D52=0,0,MAX(0,D53/$B$50-経費前提!$B$27*IF(D52=1,$B$51/12,1))*経費前提!$B$26*$B$50)</f>
        <v>0</v>
      </c>
      <c r="E65" s="44" t="n">
        <f aca="false">IF(E52=0,0,MAX(0,E53/$B$50-経費前提!$B$27*IF(E52=1,$B$51/12,1))*経費前提!$B$26*$B$50)</f>
        <v>4.34192871875</v>
      </c>
      <c r="F65" s="44" t="n">
        <f aca="false">IF(F52=0,0,MAX(0,F53/$B$50-経費前提!$B$27*IF(F52=1,$B$51/12,1))*経費前提!$B$26*$B$50)</f>
        <v>11.68869359</v>
      </c>
      <c r="G65" s="44" t="n">
        <f aca="false">IF(G52=0,0,MAX(0,G53/$B$50-経費前提!$B$27*IF(G52=1,$B$51/12,1))*経費前提!$B$26*$B$50)</f>
        <v>12.8740955</v>
      </c>
    </row>
    <row r="66" customFormat="false" ht="15" hidden="false" customHeight="false" outlineLevel="0" collapsed="false">
      <c r="A66" s="38" t="s">
        <v>218</v>
      </c>
      <c r="C66" s="44" t="n">
        <f aca="false">IF(C$52=0,0,C$53*INDEX(経費前提!$B$20:$D$20,1,C$52))</f>
        <v>0</v>
      </c>
      <c r="D66" s="44" t="n">
        <f aca="false">IF(D$52=0,0,D$53*INDEX(経費前提!$B$20:$D$20,1,D$52))</f>
        <v>0</v>
      </c>
      <c r="E66" s="44" t="n">
        <f aca="false">IF(E$52=0,0,E$53*INDEX(経費前提!$B$20:$D$20,1,E$52))</f>
        <v>11.906938828125</v>
      </c>
      <c r="F66" s="44" t="n">
        <f aca="false">IF(F$52=0,0,F$53*INDEX(経費前提!$B$20:$D$20,1,F$52))</f>
        <v>20.744533425</v>
      </c>
      <c r="G66" s="44" t="n">
        <f aca="false">IF(G$52=0,0,G$53*INDEX(経費前提!$B$20:$D$20,1,G$52))</f>
        <v>21.16789125</v>
      </c>
    </row>
    <row r="67" customFormat="false" ht="15" hidden="false" customHeight="false" outlineLevel="0" collapsed="false">
      <c r="A67" s="10" t="s">
        <v>219</v>
      </c>
      <c r="C67" s="57" t="n">
        <f aca="false">C61-SUM(C62:C66)</f>
        <v>0</v>
      </c>
      <c r="D67" s="57" t="n">
        <f aca="false">D61-SUM(D62:D66)</f>
        <v>0</v>
      </c>
      <c r="E67" s="57" t="n">
        <f aca="false">E61-SUM(E62:E66)</f>
        <v>57.6135819062501</v>
      </c>
      <c r="F67" s="57" t="n">
        <f aca="false">F61-SUM(F62:F66)</f>
        <v>112.604512528</v>
      </c>
      <c r="G67" s="57" t="n">
        <f aca="false">G61-SUM(G62:G66)</f>
        <v>126.8970727</v>
      </c>
    </row>
    <row r="68" customFormat="false" ht="15" hidden="false" customHeight="false" outlineLevel="0" collapsed="false">
      <c r="A68" s="4" t="s">
        <v>23</v>
      </c>
      <c r="C68" s="44" t="n">
        <f aca="false">IF(C52=0,0,経費前提!$D$42*$B$50*IF(C52=1,$B$51/12,1))</f>
        <v>0</v>
      </c>
      <c r="D68" s="44" t="n">
        <f aca="false">IF(D52=0,0,経費前提!$D$42*$B$50*IF(D52=1,$B$51/12,1))</f>
        <v>0</v>
      </c>
      <c r="E68" s="44" t="n">
        <f aca="false">IF(E52=0,0,経費前提!$D$42*$B$50*IF(E52=1,$B$51/12,1))</f>
        <v>25.40625</v>
      </c>
      <c r="F68" s="44" t="n">
        <f aca="false">IF(F52=0,0,経費前提!$D$42*$B$50*IF(F52=1,$B$51/12,1))</f>
        <v>40.65</v>
      </c>
      <c r="G68" s="44" t="n">
        <f aca="false">IF(G52=0,0,経費前提!$D$42*$B$50*IF(G52=1,$B$51/12,1))</f>
        <v>40.65</v>
      </c>
    </row>
    <row r="69" customFormat="false" ht="15" hidden="false" customHeight="false" outlineLevel="0" collapsed="false">
      <c r="A69" s="10" t="s">
        <v>220</v>
      </c>
      <c r="C69" s="57" t="n">
        <f aca="false">C67-C68</f>
        <v>0</v>
      </c>
      <c r="D69" s="57" t="n">
        <f aca="false">D67-D68</f>
        <v>0</v>
      </c>
      <c r="E69" s="57" t="n">
        <f aca="false">E67-E68</f>
        <v>32.2073319062501</v>
      </c>
      <c r="F69" s="57" t="n">
        <f aca="false">F67-F68</f>
        <v>71.9545125279999</v>
      </c>
      <c r="G69" s="57" t="n">
        <f aca="false">G67-G68</f>
        <v>86.2470727000001</v>
      </c>
    </row>
    <row r="71" customFormat="false" ht="15" hidden="false" customHeight="false" outlineLevel="0" collapsed="false">
      <c r="A71" s="3" t="s">
        <v>223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59" t="s">
        <v>214</v>
      </c>
      <c r="B72" s="32" t="n">
        <v>2</v>
      </c>
    </row>
    <row r="73" customFormat="false" ht="15" hidden="false" customHeight="false" outlineLevel="0" collapsed="false">
      <c r="A73" s="59" t="s">
        <v>215</v>
      </c>
      <c r="B73" s="9" t="n">
        <f aca="false">売上前提!$B$9</f>
        <v>7.5</v>
      </c>
    </row>
    <row r="74" customFormat="false" ht="15" hidden="false" customHeight="false" outlineLevel="0" collapsed="false">
      <c r="A74" s="59" t="s">
        <v>216</v>
      </c>
      <c r="C74" s="32" t="n">
        <v>0</v>
      </c>
      <c r="D74" s="32" t="n">
        <v>0</v>
      </c>
      <c r="E74" s="32" t="n">
        <v>0</v>
      </c>
      <c r="F74" s="32" t="n">
        <v>1</v>
      </c>
      <c r="G74" s="32" t="n">
        <v>2</v>
      </c>
    </row>
    <row r="75" customFormat="false" ht="15" hidden="false" customHeight="false" outlineLevel="0" collapsed="false">
      <c r="A75" s="10" t="s">
        <v>20</v>
      </c>
      <c r="C75" s="60" t="n">
        <f aca="false">IF(C74=0,0,売上前提!$K$28*INDEX(売上前提!$B$6:$B$8,C74)*$B$72*IF(C74=1,$B$73/12,1))</f>
        <v>0</v>
      </c>
      <c r="D75" s="60" t="n">
        <f aca="false">IF(D74=0,0,売上前提!$K$28*INDEX(売上前提!$B$6:$B$8,D74)*$B$72*IF(D74=1,$B$73/12,1))</f>
        <v>0</v>
      </c>
      <c r="E75" s="60" t="n">
        <f aca="false">IF(E74=0,0,売上前提!$K$28*INDEX(売上前提!$B$6:$B$8,E74)*$B$72*IF(E74=1,$B$73/12,1))</f>
        <v>0</v>
      </c>
      <c r="F75" s="60" t="n">
        <f aca="false">IF(F74=0,0,売上前提!$K$28*INDEX(売上前提!$B$6:$B$8,F74)*$B$72*IF(F74=1,$B$73/12,1))</f>
        <v>476.277553125</v>
      </c>
      <c r="G75" s="60" t="n">
        <f aca="false">IF(G74=0,0,売上前提!$K$28*INDEX(売上前提!$B$6:$B$8,G74)*$B$72*IF(G74=1,$B$73/12,1))</f>
        <v>829.781337</v>
      </c>
    </row>
    <row r="76" customFormat="false" ht="15" hidden="false" customHeight="false" outlineLevel="0" collapsed="false">
      <c r="A76" s="38" t="s">
        <v>203</v>
      </c>
      <c r="C76" s="44" t="n">
        <f aca="false">IF(C$74=0,0,C$75*INDEX(経費前提!$B$12:$D$12,1,C$74))</f>
        <v>0</v>
      </c>
      <c r="D76" s="44" t="n">
        <f aca="false">IF(D$74=0,0,D$75*INDEX(経費前提!$B$12:$D$12,1,D$74))</f>
        <v>0</v>
      </c>
      <c r="E76" s="44" t="n">
        <f aca="false">IF(E$74=0,0,E$75*INDEX(経費前提!$B$12:$D$12,1,E$74))</f>
        <v>0</v>
      </c>
      <c r="F76" s="44" t="n">
        <f aca="false">IF(F$74=0,0,F$75*INDEX(経費前提!$B$12:$D$12,1,F$74))</f>
        <v>142.8832659375</v>
      </c>
      <c r="G76" s="44" t="n">
        <f aca="false">IF(G$74=0,0,G$75*INDEX(経費前提!$B$12:$D$12,1,G$74))</f>
        <v>248.9344011</v>
      </c>
    </row>
    <row r="77" customFormat="false" ht="15" hidden="false" customHeight="false" outlineLevel="0" collapsed="false">
      <c r="A77" s="38" t="s">
        <v>135</v>
      </c>
      <c r="C77" s="44" t="n">
        <f aca="false">IF(C$74=0,0,C$75*INDEX(経費前提!$B$13:$D$13,1,C$74))</f>
        <v>0</v>
      </c>
      <c r="D77" s="44" t="n">
        <f aca="false">IF(D$74=0,0,D$75*INDEX(経費前提!$B$13:$D$13,1,D$74))</f>
        <v>0</v>
      </c>
      <c r="E77" s="44" t="n">
        <f aca="false">IF(E$74=0,0,E$75*INDEX(経費前提!$B$13:$D$13,1,E$74))</f>
        <v>0</v>
      </c>
      <c r="F77" s="44" t="n">
        <f aca="false">IF(F$74=0,0,F$75*INDEX(経費前提!$B$13:$D$13,1,F$74))</f>
        <v>164.315755828125</v>
      </c>
      <c r="G77" s="44" t="n">
        <f aca="false">IF(G$74=0,0,G$75*INDEX(経費前提!$B$13:$D$13,1,G$74))</f>
        <v>277.976747895</v>
      </c>
    </row>
    <row r="78" customFormat="false" ht="15" hidden="false" customHeight="false" outlineLevel="0" collapsed="false">
      <c r="A78" s="38" t="s">
        <v>137</v>
      </c>
      <c r="C78" s="44" t="n">
        <f aca="false">IF(C$74=0,0,C$75*INDEX(経費前提!$B$14:$D$14,1,C$74))</f>
        <v>0</v>
      </c>
      <c r="D78" s="44" t="n">
        <f aca="false">IF(D$74=0,0,D$75*INDEX(経費前提!$B$14:$D$14,1,D$74))</f>
        <v>0</v>
      </c>
      <c r="E78" s="44" t="n">
        <f aca="false">IF(E$74=0,0,E$75*INDEX(経費前提!$B$14:$D$14,1,E$74))</f>
        <v>0</v>
      </c>
      <c r="F78" s="44" t="n">
        <f aca="false">IF(F$74=0,0,F$75*INDEX(経費前提!$B$14:$D$14,1,F$74))</f>
        <v>11.430661275</v>
      </c>
      <c r="G78" s="44" t="n">
        <f aca="false">IF(G$74=0,0,G$75*INDEX(経費前提!$B$14:$D$14,1,G$74))</f>
        <v>18.255189414</v>
      </c>
    </row>
    <row r="79" customFormat="false" ht="15" hidden="false" customHeight="false" outlineLevel="0" collapsed="false">
      <c r="A79" s="61" t="s">
        <v>204</v>
      </c>
      <c r="C79" s="57" t="n">
        <f aca="false">C75-SUM(C76:C78)</f>
        <v>0</v>
      </c>
      <c r="D79" s="57" t="n">
        <f aca="false">D75-SUM(D76:D78)</f>
        <v>0</v>
      </c>
      <c r="E79" s="57" t="n">
        <f aca="false">E75-SUM(E76:E78)</f>
        <v>0</v>
      </c>
      <c r="F79" s="57" t="n">
        <f aca="false">F75-SUM(F76:F78)</f>
        <v>157.647870084375</v>
      </c>
      <c r="G79" s="57" t="n">
        <f aca="false">G75-SUM(G76:G78)</f>
        <v>284.614998591</v>
      </c>
    </row>
    <row r="80" customFormat="false" ht="15" hidden="false" customHeight="false" outlineLevel="0" collapsed="false">
      <c r="A80" s="38" t="s">
        <v>139</v>
      </c>
      <c r="C80" s="44" t="n">
        <f aca="false">IF(C$74=0,0,C$75*INDEX(経費前提!$B$15:$D$15,1,C$74))</f>
        <v>0</v>
      </c>
      <c r="D80" s="44" t="n">
        <f aca="false">IF(D$74=0,0,D$75*INDEX(経費前提!$B$15:$D$15,1,D$74))</f>
        <v>0</v>
      </c>
      <c r="E80" s="44" t="n">
        <f aca="false">IF(E$74=0,0,E$75*INDEX(経費前提!$B$15:$D$15,1,E$74))</f>
        <v>0</v>
      </c>
      <c r="F80" s="44" t="n">
        <f aca="false">IF(F$74=0,0,F$75*INDEX(経費前提!$B$15:$D$15,1,F$74))</f>
        <v>6.66788574375</v>
      </c>
      <c r="G80" s="44" t="n">
        <f aca="false">IF(G$74=0,0,G$75*INDEX(経費前提!$B$15:$D$15,1,G$74))</f>
        <v>11.616938718</v>
      </c>
    </row>
    <row r="81" customFormat="false" ht="15" hidden="false" customHeight="false" outlineLevel="0" collapsed="false">
      <c r="A81" s="38" t="s">
        <v>141</v>
      </c>
      <c r="C81" s="44" t="n">
        <f aca="false">IF(C$74=0,0,C$75*INDEX(経費前提!$B$16:$D$16,1,C$74))</f>
        <v>0</v>
      </c>
      <c r="D81" s="44" t="n">
        <f aca="false">IF(D$74=0,0,D$75*INDEX(経費前提!$B$16:$D$16,1,D$74))</f>
        <v>0</v>
      </c>
      <c r="E81" s="44" t="n">
        <f aca="false">IF(E$74=0,0,E$75*INDEX(経費前提!$B$16:$D$16,1,E$74))</f>
        <v>0</v>
      </c>
      <c r="F81" s="44" t="n">
        <f aca="false">IF(F$74=0,0,F$75*INDEX(経費前提!$B$16:$D$16,1,F$74))</f>
        <v>2.381387765625</v>
      </c>
      <c r="G81" s="44" t="n">
        <f aca="false">IF(G$74=0,0,G$75*INDEX(経費前提!$B$16:$D$16,1,G$74))</f>
        <v>4.148906685</v>
      </c>
    </row>
    <row r="82" customFormat="false" ht="15" hidden="false" customHeight="false" outlineLevel="0" collapsed="false">
      <c r="A82" s="38" t="s">
        <v>142</v>
      </c>
      <c r="C82" s="44" t="n">
        <f aca="false">IF(C$74=0,0,C$75*INDEX(経費前提!$B$17:$D$17,1,C$74))</f>
        <v>0</v>
      </c>
      <c r="D82" s="44" t="n">
        <f aca="false">IF(D$74=0,0,D$75*INDEX(経費前提!$B$17:$D$17,1,D$74))</f>
        <v>0</v>
      </c>
      <c r="E82" s="44" t="n">
        <f aca="false">IF(E$74=0,0,E$75*INDEX(経費前提!$B$17:$D$17,1,E$74))</f>
        <v>0</v>
      </c>
      <c r="F82" s="44" t="n">
        <f aca="false">IF(F$74=0,0,F$75*INDEX(経費前提!$B$17:$D$17,1,F$74))</f>
        <v>19.051102125</v>
      </c>
      <c r="G82" s="44" t="n">
        <f aca="false">IF(G$74=0,0,G$75*INDEX(経費前提!$B$17:$D$17,1,G$74))</f>
        <v>31.531690806</v>
      </c>
    </row>
    <row r="83" customFormat="false" ht="15" hidden="false" customHeight="false" outlineLevel="0" collapsed="false">
      <c r="A83" s="62" t="s">
        <v>217</v>
      </c>
      <c r="C83" s="57" t="n">
        <f aca="false">C79-SUM(C80:C82)</f>
        <v>0</v>
      </c>
      <c r="D83" s="57" t="n">
        <f aca="false">D79-SUM(D80:D82)</f>
        <v>0</v>
      </c>
      <c r="E83" s="57" t="n">
        <f aca="false">E79-SUM(E80:E82)</f>
        <v>0</v>
      </c>
      <c r="F83" s="57" t="n">
        <f aca="false">F79-SUM(F80:F82)</f>
        <v>129.54749445</v>
      </c>
      <c r="G83" s="57" t="n">
        <f aca="false">G79-SUM(G80:G82)</f>
        <v>237.317462382</v>
      </c>
    </row>
    <row r="84" customFormat="false" ht="15" hidden="false" customHeight="false" outlineLevel="0" collapsed="false">
      <c r="A84" s="38" t="s">
        <v>144</v>
      </c>
      <c r="C84" s="44" t="n">
        <f aca="false">IF(C$74=0,0,C$75*INDEX(経費前提!$B$18:$D$18,1,C$74))</f>
        <v>0</v>
      </c>
      <c r="D84" s="44" t="n">
        <f aca="false">IF(D$74=0,0,D$75*INDEX(経費前提!$B$18:$D$18,1,D$74))</f>
        <v>0</v>
      </c>
      <c r="E84" s="44" t="n">
        <f aca="false">IF(E$74=0,0,E$75*INDEX(経費前提!$B$18:$D$18,1,E$74))</f>
        <v>0</v>
      </c>
      <c r="F84" s="44" t="n">
        <f aca="false">IF(F$74=0,0,F$75*INDEX(経費前提!$B$18:$D$18,1,F$74))</f>
        <v>19.051102125</v>
      </c>
      <c r="G84" s="44" t="n">
        <f aca="false">IF(G$74=0,0,G$75*INDEX(経費前提!$B$18:$D$18,1,G$74))</f>
        <v>33.19125348</v>
      </c>
    </row>
    <row r="85" customFormat="false" ht="15" hidden="false" customHeight="false" outlineLevel="0" collapsed="false">
      <c r="A85" s="38" t="s">
        <v>146</v>
      </c>
      <c r="C85" s="44" t="n">
        <f aca="false">IF(C$74=0,0,C$75*INDEX(経費前提!$B$19:$D$19,1,C$74))</f>
        <v>0</v>
      </c>
      <c r="D85" s="44" t="n">
        <f aca="false">IF(D$74=0,0,D$75*INDEX(経費前提!$B$19:$D$19,1,D$74))</f>
        <v>0</v>
      </c>
      <c r="E85" s="44" t="n">
        <f aca="false">IF(E$74=0,0,E$75*INDEX(経費前提!$B$19:$D$19,1,E$74))</f>
        <v>0</v>
      </c>
      <c r="F85" s="44" t="n">
        <f aca="false">IF(F$74=0,0,F$75*INDEX(経費前提!$B$19:$D$19,1,F$74))</f>
        <v>3.333942871875</v>
      </c>
      <c r="G85" s="44" t="n">
        <f aca="false">IF(G$74=0,0,G$75*INDEX(経費前提!$B$19:$D$19,1,G$74))</f>
        <v>5.808469359</v>
      </c>
    </row>
    <row r="86" customFormat="false" ht="15" hidden="false" customHeight="false" outlineLevel="0" collapsed="false">
      <c r="A86" s="38" t="s">
        <v>206</v>
      </c>
      <c r="C86" s="44" t="n">
        <f aca="false">IF(C74=0,0,経費前提!$B$25*$B$72*IF(C74=1,$B$73/12,1))</f>
        <v>0</v>
      </c>
      <c r="D86" s="44" t="n">
        <f aca="false">IF(D74=0,0,経費前提!$B$25*$B$72*IF(D74=1,$B$73/12,1))</f>
        <v>0</v>
      </c>
      <c r="E86" s="44" t="n">
        <f aca="false">IF(E74=0,0,経費前提!$B$25*$B$72*IF(E74=1,$B$73/12,1))</f>
        <v>0</v>
      </c>
      <c r="F86" s="44" t="n">
        <f aca="false">IF(F74=0,0,経費前提!$B$25*$B$72*IF(F74=1,$B$73/12,1))</f>
        <v>33.3</v>
      </c>
      <c r="G86" s="44" t="n">
        <f aca="false">IF(G74=0,0,経費前提!$B$25*$B$72*IF(G74=1,$B$73/12,1))</f>
        <v>53.28</v>
      </c>
    </row>
    <row r="87" customFormat="false" ht="15" hidden="false" customHeight="false" outlineLevel="0" collapsed="false">
      <c r="A87" s="38" t="s">
        <v>207</v>
      </c>
      <c r="C87" s="44" t="n">
        <f aca="false">IF(C74=0,0,MAX(0,C75/$B$72-経費前提!$B$27*IF(C74=1,$B$73/12,1))*経費前提!$B$26*$B$72)</f>
        <v>0</v>
      </c>
      <c r="D87" s="44" t="n">
        <f aca="false">IF(D74=0,0,MAX(0,D75/$B$72-経費前提!$B$27*IF(D74=1,$B$73/12,1))*経費前提!$B$26*$B$72)</f>
        <v>0</v>
      </c>
      <c r="E87" s="44" t="n">
        <f aca="false">IF(E74=0,0,MAX(0,E75/$B$72-経費前提!$B$27*IF(E74=1,$B$73/12,1))*経費前提!$B$26*$B$72)</f>
        <v>0</v>
      </c>
      <c r="F87" s="44" t="n">
        <f aca="false">IF(F74=0,0,MAX(0,F75/$B$72-経費前提!$B$27*IF(F74=1,$B$73/12,1))*経費前提!$B$26*$B$72)</f>
        <v>4.34192871875</v>
      </c>
      <c r="G87" s="44" t="n">
        <f aca="false">IF(G74=0,0,MAX(0,G75/$B$72-経費前提!$B$27*IF(G74=1,$B$73/12,1))*経費前提!$B$26*$B$72)</f>
        <v>11.68869359</v>
      </c>
    </row>
    <row r="88" customFormat="false" ht="15" hidden="false" customHeight="false" outlineLevel="0" collapsed="false">
      <c r="A88" s="38" t="s">
        <v>218</v>
      </c>
      <c r="C88" s="44" t="n">
        <f aca="false">IF(C$74=0,0,C$75*INDEX(経費前提!$B$20:$D$20,1,C$74))</f>
        <v>0</v>
      </c>
      <c r="D88" s="44" t="n">
        <f aca="false">IF(D$74=0,0,D$75*INDEX(経費前提!$B$20:$D$20,1,D$74))</f>
        <v>0</v>
      </c>
      <c r="E88" s="44" t="n">
        <f aca="false">IF(E$74=0,0,E$75*INDEX(経費前提!$B$20:$D$20,1,E$74))</f>
        <v>0</v>
      </c>
      <c r="F88" s="44" t="n">
        <f aca="false">IF(F$74=0,0,F$75*INDEX(経費前提!$B$20:$D$20,1,F$74))</f>
        <v>11.906938828125</v>
      </c>
      <c r="G88" s="44" t="n">
        <f aca="false">IF(G$74=0,0,G$75*INDEX(経費前提!$B$20:$D$20,1,G$74))</f>
        <v>20.744533425</v>
      </c>
    </row>
    <row r="89" customFormat="false" ht="15" hidden="false" customHeight="false" outlineLevel="0" collapsed="false">
      <c r="A89" s="10" t="s">
        <v>219</v>
      </c>
      <c r="C89" s="57" t="n">
        <f aca="false">C83-SUM(C84:C88)</f>
        <v>0</v>
      </c>
      <c r="D89" s="57" t="n">
        <f aca="false">D83-SUM(D84:D88)</f>
        <v>0</v>
      </c>
      <c r="E89" s="57" t="n">
        <f aca="false">E83-SUM(E84:E88)</f>
        <v>0</v>
      </c>
      <c r="F89" s="57" t="n">
        <f aca="false">F83-SUM(F84:F88)</f>
        <v>57.6135819062501</v>
      </c>
      <c r="G89" s="57" t="n">
        <f aca="false">G83-SUM(G84:G88)</f>
        <v>112.604512528</v>
      </c>
    </row>
    <row r="90" customFormat="false" ht="15" hidden="false" customHeight="false" outlineLevel="0" collapsed="false">
      <c r="A90" s="4" t="s">
        <v>23</v>
      </c>
      <c r="C90" s="44" t="n">
        <f aca="false">IF(C74=0,0,経費前提!$D$42*$B$72*IF(C74=1,$B$73/12,1))</f>
        <v>0</v>
      </c>
      <c r="D90" s="44" t="n">
        <f aca="false">IF(D74=0,0,経費前提!$D$42*$B$72*IF(D74=1,$B$73/12,1))</f>
        <v>0</v>
      </c>
      <c r="E90" s="44" t="n">
        <f aca="false">IF(E74=0,0,経費前提!$D$42*$B$72*IF(E74=1,$B$73/12,1))</f>
        <v>0</v>
      </c>
      <c r="F90" s="44" t="n">
        <f aca="false">IF(F74=0,0,経費前提!$D$42*$B$72*IF(F74=1,$B$73/12,1))</f>
        <v>25.40625</v>
      </c>
      <c r="G90" s="44" t="n">
        <f aca="false">IF(G74=0,0,経費前提!$D$42*$B$72*IF(G74=1,$B$73/12,1))</f>
        <v>40.65</v>
      </c>
    </row>
    <row r="91" customFormat="false" ht="15" hidden="false" customHeight="false" outlineLevel="0" collapsed="false">
      <c r="A91" s="10" t="s">
        <v>220</v>
      </c>
      <c r="C91" s="57" t="n">
        <f aca="false">C89-C90</f>
        <v>0</v>
      </c>
      <c r="D91" s="57" t="n">
        <f aca="false">D89-D90</f>
        <v>0</v>
      </c>
      <c r="E91" s="57" t="n">
        <f aca="false">E89-E90</f>
        <v>0</v>
      </c>
      <c r="F91" s="57" t="n">
        <f aca="false">F89-F90</f>
        <v>32.2073319062501</v>
      </c>
      <c r="G91" s="57" t="n">
        <f aca="false">G89-G90</f>
        <v>71.9545125279999</v>
      </c>
    </row>
    <row r="93" customFormat="false" ht="15" hidden="false" customHeight="false" outlineLevel="0" collapsed="false">
      <c r="A93" s="3" t="s">
        <v>224</v>
      </c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59" t="s">
        <v>214</v>
      </c>
      <c r="B94" s="32" t="n">
        <v>2</v>
      </c>
    </row>
    <row r="95" customFormat="false" ht="15" hidden="false" customHeight="false" outlineLevel="0" collapsed="false">
      <c r="A95" s="59" t="s">
        <v>215</v>
      </c>
      <c r="B95" s="9" t="n">
        <f aca="false">売上前提!$B$9</f>
        <v>7.5</v>
      </c>
    </row>
    <row r="96" customFormat="false" ht="15" hidden="false" customHeight="false" outlineLevel="0" collapsed="false">
      <c r="A96" s="59" t="s">
        <v>216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1</v>
      </c>
    </row>
    <row r="97" customFormat="false" ht="15" hidden="false" customHeight="false" outlineLevel="0" collapsed="false">
      <c r="A97" s="10" t="s">
        <v>20</v>
      </c>
      <c r="C97" s="60" t="n">
        <f aca="false">IF(C96=0,0,売上前提!$K$28*INDEX(売上前提!$B$6:$B$8,C96)*$B$94*IF(C96=1,$B$95/12,1))</f>
        <v>0</v>
      </c>
      <c r="D97" s="60" t="n">
        <f aca="false">IF(D96=0,0,売上前提!$K$28*INDEX(売上前提!$B$6:$B$8,D96)*$B$94*IF(D96=1,$B$95/12,1))</f>
        <v>0</v>
      </c>
      <c r="E97" s="60" t="n">
        <f aca="false">IF(E96=0,0,売上前提!$K$28*INDEX(売上前提!$B$6:$B$8,E96)*$B$94*IF(E96=1,$B$95/12,1))</f>
        <v>0</v>
      </c>
      <c r="F97" s="60" t="n">
        <f aca="false">IF(F96=0,0,売上前提!$K$28*INDEX(売上前提!$B$6:$B$8,F96)*$B$94*IF(F96=1,$B$95/12,1))</f>
        <v>0</v>
      </c>
      <c r="G97" s="60" t="n">
        <f aca="false">IF(G96=0,0,売上前提!$K$28*INDEX(売上前提!$B$6:$B$8,G96)*$B$94*IF(G96=1,$B$95/12,1))</f>
        <v>476.277553125</v>
      </c>
    </row>
    <row r="98" customFormat="false" ht="15" hidden="false" customHeight="false" outlineLevel="0" collapsed="false">
      <c r="A98" s="38" t="s">
        <v>203</v>
      </c>
      <c r="C98" s="44" t="n">
        <f aca="false">IF(C$96=0,0,C$97*INDEX(経費前提!$B$12:$D$12,1,C$96))</f>
        <v>0</v>
      </c>
      <c r="D98" s="44" t="n">
        <f aca="false">IF(D$96=0,0,D$97*INDEX(経費前提!$B$12:$D$12,1,D$96))</f>
        <v>0</v>
      </c>
      <c r="E98" s="44" t="n">
        <f aca="false">IF(E$96=0,0,E$97*INDEX(経費前提!$B$12:$D$12,1,E$96))</f>
        <v>0</v>
      </c>
      <c r="F98" s="44" t="n">
        <f aca="false">IF(F$96=0,0,F$97*INDEX(経費前提!$B$12:$D$12,1,F$96))</f>
        <v>0</v>
      </c>
      <c r="G98" s="44" t="n">
        <f aca="false">IF(G$96=0,0,G$97*INDEX(経費前提!$B$12:$D$12,1,G$96))</f>
        <v>142.8832659375</v>
      </c>
    </row>
    <row r="99" customFormat="false" ht="15" hidden="false" customHeight="false" outlineLevel="0" collapsed="false">
      <c r="A99" s="38" t="s">
        <v>135</v>
      </c>
      <c r="C99" s="44" t="n">
        <f aca="false">IF(C$96=0,0,C$97*INDEX(経費前提!$B$13:$D$13,1,C$96))</f>
        <v>0</v>
      </c>
      <c r="D99" s="44" t="n">
        <f aca="false">IF(D$96=0,0,D$97*INDEX(経費前提!$B$13:$D$13,1,D$96))</f>
        <v>0</v>
      </c>
      <c r="E99" s="44" t="n">
        <f aca="false">IF(E$96=0,0,E$97*INDEX(経費前提!$B$13:$D$13,1,E$96))</f>
        <v>0</v>
      </c>
      <c r="F99" s="44" t="n">
        <f aca="false">IF(F$96=0,0,F$97*INDEX(経費前提!$B$13:$D$13,1,F$96))</f>
        <v>0</v>
      </c>
      <c r="G99" s="44" t="n">
        <f aca="false">IF(G$96=0,0,G$97*INDEX(経費前提!$B$13:$D$13,1,G$96))</f>
        <v>164.315755828125</v>
      </c>
    </row>
    <row r="100" customFormat="false" ht="15" hidden="false" customHeight="false" outlineLevel="0" collapsed="false">
      <c r="A100" s="38" t="s">
        <v>137</v>
      </c>
      <c r="C100" s="44" t="n">
        <f aca="false">IF(C$96=0,0,C$97*INDEX(経費前提!$B$14:$D$14,1,C$96))</f>
        <v>0</v>
      </c>
      <c r="D100" s="44" t="n">
        <f aca="false">IF(D$96=0,0,D$97*INDEX(経費前提!$B$14:$D$14,1,D$96))</f>
        <v>0</v>
      </c>
      <c r="E100" s="44" t="n">
        <f aca="false">IF(E$96=0,0,E$97*INDEX(経費前提!$B$14:$D$14,1,E$96))</f>
        <v>0</v>
      </c>
      <c r="F100" s="44" t="n">
        <f aca="false">IF(F$96=0,0,F$97*INDEX(経費前提!$B$14:$D$14,1,F$96))</f>
        <v>0</v>
      </c>
      <c r="G100" s="44" t="n">
        <f aca="false">IF(G$96=0,0,G$97*INDEX(経費前提!$B$14:$D$14,1,G$96))</f>
        <v>11.430661275</v>
      </c>
    </row>
    <row r="101" customFormat="false" ht="15" hidden="false" customHeight="false" outlineLevel="0" collapsed="false">
      <c r="A101" s="61" t="s">
        <v>204</v>
      </c>
      <c r="C101" s="57" t="n">
        <f aca="false">C97-SUM(C98:C100)</f>
        <v>0</v>
      </c>
      <c r="D101" s="57" t="n">
        <f aca="false">D97-SUM(D98:D100)</f>
        <v>0</v>
      </c>
      <c r="E101" s="57" t="n">
        <f aca="false">E97-SUM(E98:E100)</f>
        <v>0</v>
      </c>
      <c r="F101" s="57" t="n">
        <f aca="false">F97-SUM(F98:F100)</f>
        <v>0</v>
      </c>
      <c r="G101" s="57" t="n">
        <f aca="false">G97-SUM(G98:G100)</f>
        <v>157.647870084375</v>
      </c>
    </row>
    <row r="102" customFormat="false" ht="15" hidden="false" customHeight="false" outlineLevel="0" collapsed="false">
      <c r="A102" s="38" t="s">
        <v>139</v>
      </c>
      <c r="C102" s="44" t="n">
        <f aca="false">IF(C$96=0,0,C$97*INDEX(経費前提!$B$15:$D$15,1,C$96))</f>
        <v>0</v>
      </c>
      <c r="D102" s="44" t="n">
        <f aca="false">IF(D$96=0,0,D$97*INDEX(経費前提!$B$15:$D$15,1,D$96))</f>
        <v>0</v>
      </c>
      <c r="E102" s="44" t="n">
        <f aca="false">IF(E$96=0,0,E$97*INDEX(経費前提!$B$15:$D$15,1,E$96))</f>
        <v>0</v>
      </c>
      <c r="F102" s="44" t="n">
        <f aca="false">IF(F$96=0,0,F$97*INDEX(経費前提!$B$15:$D$15,1,F$96))</f>
        <v>0</v>
      </c>
      <c r="G102" s="44" t="n">
        <f aca="false">IF(G$96=0,0,G$97*INDEX(経費前提!$B$15:$D$15,1,G$96))</f>
        <v>6.66788574375</v>
      </c>
    </row>
    <row r="103" customFormat="false" ht="15" hidden="false" customHeight="false" outlineLevel="0" collapsed="false">
      <c r="A103" s="38" t="s">
        <v>141</v>
      </c>
      <c r="C103" s="44" t="n">
        <f aca="false">IF(C$96=0,0,C$97*INDEX(経費前提!$B$16:$D$16,1,C$96))</f>
        <v>0</v>
      </c>
      <c r="D103" s="44" t="n">
        <f aca="false">IF(D$96=0,0,D$97*INDEX(経費前提!$B$16:$D$16,1,D$96))</f>
        <v>0</v>
      </c>
      <c r="E103" s="44" t="n">
        <f aca="false">IF(E$96=0,0,E$97*INDEX(経費前提!$B$16:$D$16,1,E$96))</f>
        <v>0</v>
      </c>
      <c r="F103" s="44" t="n">
        <f aca="false">IF(F$96=0,0,F$97*INDEX(経費前提!$B$16:$D$16,1,F$96))</f>
        <v>0</v>
      </c>
      <c r="G103" s="44" t="n">
        <f aca="false">IF(G$96=0,0,G$97*INDEX(経費前提!$B$16:$D$16,1,G$96))</f>
        <v>2.381387765625</v>
      </c>
    </row>
    <row r="104" customFormat="false" ht="15" hidden="false" customHeight="false" outlineLevel="0" collapsed="false">
      <c r="A104" s="38" t="s">
        <v>142</v>
      </c>
      <c r="C104" s="44" t="n">
        <f aca="false">IF(C$96=0,0,C$97*INDEX(経費前提!$B$17:$D$17,1,C$96))</f>
        <v>0</v>
      </c>
      <c r="D104" s="44" t="n">
        <f aca="false">IF(D$96=0,0,D$97*INDEX(経費前提!$B$17:$D$17,1,D$96))</f>
        <v>0</v>
      </c>
      <c r="E104" s="44" t="n">
        <f aca="false">IF(E$96=0,0,E$97*INDEX(経費前提!$B$17:$D$17,1,E$96))</f>
        <v>0</v>
      </c>
      <c r="F104" s="44" t="n">
        <f aca="false">IF(F$96=0,0,F$97*INDEX(経費前提!$B$17:$D$17,1,F$96))</f>
        <v>0</v>
      </c>
      <c r="G104" s="44" t="n">
        <f aca="false">IF(G$96=0,0,G$97*INDEX(経費前提!$B$17:$D$17,1,G$96))</f>
        <v>19.051102125</v>
      </c>
    </row>
    <row r="105" customFormat="false" ht="15" hidden="false" customHeight="false" outlineLevel="0" collapsed="false">
      <c r="A105" s="62" t="s">
        <v>217</v>
      </c>
      <c r="C105" s="57" t="n">
        <f aca="false">C101-SUM(C102:C104)</f>
        <v>0</v>
      </c>
      <c r="D105" s="57" t="n">
        <f aca="false">D101-SUM(D102:D104)</f>
        <v>0</v>
      </c>
      <c r="E105" s="57" t="n">
        <f aca="false">E101-SUM(E102:E104)</f>
        <v>0</v>
      </c>
      <c r="F105" s="57" t="n">
        <f aca="false">F101-SUM(F102:F104)</f>
        <v>0</v>
      </c>
      <c r="G105" s="57" t="n">
        <f aca="false">G101-SUM(G102:G104)</f>
        <v>129.54749445</v>
      </c>
    </row>
    <row r="106" customFormat="false" ht="15" hidden="false" customHeight="false" outlineLevel="0" collapsed="false">
      <c r="A106" s="38" t="s">
        <v>144</v>
      </c>
      <c r="C106" s="44" t="n">
        <f aca="false">IF(C$96=0,0,C$97*INDEX(経費前提!$B$18:$D$18,1,C$96))</f>
        <v>0</v>
      </c>
      <c r="D106" s="44" t="n">
        <f aca="false">IF(D$96=0,0,D$97*INDEX(経費前提!$B$18:$D$18,1,D$96))</f>
        <v>0</v>
      </c>
      <c r="E106" s="44" t="n">
        <f aca="false">IF(E$96=0,0,E$97*INDEX(経費前提!$B$18:$D$18,1,E$96))</f>
        <v>0</v>
      </c>
      <c r="F106" s="44" t="n">
        <f aca="false">IF(F$96=0,0,F$97*INDEX(経費前提!$B$18:$D$18,1,F$96))</f>
        <v>0</v>
      </c>
      <c r="G106" s="44" t="n">
        <f aca="false">IF(G$96=0,0,G$97*INDEX(経費前提!$B$18:$D$18,1,G$96))</f>
        <v>19.051102125</v>
      </c>
    </row>
    <row r="107" customFormat="false" ht="15" hidden="false" customHeight="false" outlineLevel="0" collapsed="false">
      <c r="A107" s="38" t="s">
        <v>146</v>
      </c>
      <c r="C107" s="44" t="n">
        <f aca="false">IF(C$96=0,0,C$97*INDEX(経費前提!$B$19:$D$19,1,C$96))</f>
        <v>0</v>
      </c>
      <c r="D107" s="44" t="n">
        <f aca="false">IF(D$96=0,0,D$97*INDEX(経費前提!$B$19:$D$19,1,D$96))</f>
        <v>0</v>
      </c>
      <c r="E107" s="44" t="n">
        <f aca="false">IF(E$96=0,0,E$97*INDEX(経費前提!$B$19:$D$19,1,E$96))</f>
        <v>0</v>
      </c>
      <c r="F107" s="44" t="n">
        <f aca="false">IF(F$96=0,0,F$97*INDEX(経費前提!$B$19:$D$19,1,F$96))</f>
        <v>0</v>
      </c>
      <c r="G107" s="44" t="n">
        <f aca="false">IF(G$96=0,0,G$97*INDEX(経費前提!$B$19:$D$19,1,G$96))</f>
        <v>3.333942871875</v>
      </c>
    </row>
    <row r="108" customFormat="false" ht="15" hidden="false" customHeight="false" outlineLevel="0" collapsed="false">
      <c r="A108" s="38" t="s">
        <v>206</v>
      </c>
      <c r="C108" s="44" t="n">
        <f aca="false">IF(C96=0,0,経費前提!$B$25*$B$94*IF(C96=1,$B$95/12,1))</f>
        <v>0</v>
      </c>
      <c r="D108" s="44" t="n">
        <f aca="false">IF(D96=0,0,経費前提!$B$25*$B$94*IF(D96=1,$B$95/12,1))</f>
        <v>0</v>
      </c>
      <c r="E108" s="44" t="n">
        <f aca="false">IF(E96=0,0,経費前提!$B$25*$B$94*IF(E96=1,$B$95/12,1))</f>
        <v>0</v>
      </c>
      <c r="F108" s="44" t="n">
        <f aca="false">IF(F96=0,0,経費前提!$B$25*$B$94*IF(F96=1,$B$95/12,1))</f>
        <v>0</v>
      </c>
      <c r="G108" s="44" t="n">
        <f aca="false">IF(G96=0,0,経費前提!$B$25*$B$94*IF(G96=1,$B$95/12,1))</f>
        <v>33.3</v>
      </c>
    </row>
    <row r="109" customFormat="false" ht="15" hidden="false" customHeight="false" outlineLevel="0" collapsed="false">
      <c r="A109" s="38" t="s">
        <v>207</v>
      </c>
      <c r="C109" s="44" t="n">
        <f aca="false">IF(C96=0,0,MAX(0,C97/$B$94-経費前提!$B$27*IF(C96=1,$B$95/12,1))*経費前提!$B$26*$B$94)</f>
        <v>0</v>
      </c>
      <c r="D109" s="44" t="n">
        <f aca="false">IF(D96=0,0,MAX(0,D97/$B$94-経費前提!$B$27*IF(D96=1,$B$95/12,1))*経費前提!$B$26*$B$94)</f>
        <v>0</v>
      </c>
      <c r="E109" s="44" t="n">
        <f aca="false">IF(E96=0,0,MAX(0,E97/$B$94-経費前提!$B$27*IF(E96=1,$B$95/12,1))*経費前提!$B$26*$B$94)</f>
        <v>0</v>
      </c>
      <c r="F109" s="44" t="n">
        <f aca="false">IF(F96=0,0,MAX(0,F97/$B$94-経費前提!$B$27*IF(F96=1,$B$95/12,1))*経費前提!$B$26*$B$94)</f>
        <v>0</v>
      </c>
      <c r="G109" s="44" t="n">
        <f aca="false">IF(G96=0,0,MAX(0,G97/$B$94-経費前提!$B$27*IF(G96=1,$B$95/12,1))*経費前提!$B$26*$B$94)</f>
        <v>4.34192871875</v>
      </c>
    </row>
    <row r="110" customFormat="false" ht="15" hidden="false" customHeight="false" outlineLevel="0" collapsed="false">
      <c r="A110" s="38" t="s">
        <v>218</v>
      </c>
      <c r="C110" s="44" t="n">
        <f aca="false">IF(C$96=0,0,C$97*INDEX(経費前提!$B$20:$D$20,1,C$96))</f>
        <v>0</v>
      </c>
      <c r="D110" s="44" t="n">
        <f aca="false">IF(D$96=0,0,D$97*INDEX(経費前提!$B$20:$D$20,1,D$96))</f>
        <v>0</v>
      </c>
      <c r="E110" s="44" t="n">
        <f aca="false">IF(E$96=0,0,E$97*INDEX(経費前提!$B$20:$D$20,1,E$96))</f>
        <v>0</v>
      </c>
      <c r="F110" s="44" t="n">
        <f aca="false">IF(F$96=0,0,F$97*INDEX(経費前提!$B$20:$D$20,1,F$96))</f>
        <v>0</v>
      </c>
      <c r="G110" s="44" t="n">
        <f aca="false">IF(G$96=0,0,G$97*INDEX(経費前提!$B$20:$D$20,1,G$96))</f>
        <v>11.906938828125</v>
      </c>
    </row>
    <row r="111" customFormat="false" ht="15" hidden="false" customHeight="false" outlineLevel="0" collapsed="false">
      <c r="A111" s="10" t="s">
        <v>219</v>
      </c>
      <c r="C111" s="57" t="n">
        <f aca="false">C105-SUM(C106:C110)</f>
        <v>0</v>
      </c>
      <c r="D111" s="57" t="n">
        <f aca="false">D105-SUM(D106:D110)</f>
        <v>0</v>
      </c>
      <c r="E111" s="57" t="n">
        <f aca="false">E105-SUM(E106:E110)</f>
        <v>0</v>
      </c>
      <c r="F111" s="57" t="n">
        <f aca="false">F105-SUM(F106:F110)</f>
        <v>0</v>
      </c>
      <c r="G111" s="57" t="n">
        <f aca="false">G105-SUM(G106:G110)</f>
        <v>57.6135819062501</v>
      </c>
    </row>
    <row r="112" customFormat="false" ht="15" hidden="false" customHeight="false" outlineLevel="0" collapsed="false">
      <c r="A112" s="4" t="s">
        <v>23</v>
      </c>
      <c r="C112" s="44" t="n">
        <f aca="false">IF(C96=0,0,経費前提!$D$42*$B$94*IF(C96=1,$B$95/12,1))</f>
        <v>0</v>
      </c>
      <c r="D112" s="44" t="n">
        <f aca="false">IF(D96=0,0,経費前提!$D$42*$B$94*IF(D96=1,$B$95/12,1))</f>
        <v>0</v>
      </c>
      <c r="E112" s="44" t="n">
        <f aca="false">IF(E96=0,0,経費前提!$D$42*$B$94*IF(E96=1,$B$95/12,1))</f>
        <v>0</v>
      </c>
      <c r="F112" s="44" t="n">
        <f aca="false">IF(F96=0,0,経費前提!$D$42*$B$94*IF(F96=1,$B$95/12,1))</f>
        <v>0</v>
      </c>
      <c r="G112" s="44" t="n">
        <f aca="false">IF(G96=0,0,経費前提!$D$42*$B$94*IF(G96=1,$B$95/12,1))</f>
        <v>25.40625</v>
      </c>
    </row>
    <row r="113" customFormat="false" ht="15" hidden="false" customHeight="false" outlineLevel="0" collapsed="false">
      <c r="A113" s="10" t="s">
        <v>220</v>
      </c>
      <c r="C113" s="57" t="n">
        <f aca="false">C111-C112</f>
        <v>0</v>
      </c>
      <c r="D113" s="57" t="n">
        <f aca="false">D111-D112</f>
        <v>0</v>
      </c>
      <c r="E113" s="57" t="n">
        <f aca="false">E111-E112</f>
        <v>0</v>
      </c>
      <c r="F113" s="57" t="n">
        <f aca="false">F111-F112</f>
        <v>0</v>
      </c>
      <c r="G113" s="57" t="n">
        <f aca="false">G111-G112</f>
        <v>32.2073319062501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225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226</v>
      </c>
    </row>
    <row r="3" customFormat="false" ht="25.35" hidden="false" customHeight="false" outlineLevel="0" collapsed="false">
      <c r="A3" s="12" t="s">
        <v>198</v>
      </c>
      <c r="B3" s="63" t="s">
        <v>227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10" t="s">
        <v>34</v>
      </c>
      <c r="C4" s="64" t="n">
        <f aca="false">経費前提!B54</f>
        <v>1</v>
      </c>
      <c r="D4" s="64" t="n">
        <f aca="false">経費前提!C54</f>
        <v>3</v>
      </c>
      <c r="E4" s="64" t="n">
        <f aca="false">経費前提!D54</f>
        <v>5</v>
      </c>
      <c r="F4" s="64" t="n">
        <f aca="false">経費前提!E54</f>
        <v>7</v>
      </c>
      <c r="G4" s="64" t="n">
        <f aca="false">経費前提!F54</f>
        <v>9</v>
      </c>
    </row>
    <row r="5" customFormat="false" ht="15" hidden="false" customHeight="false" outlineLevel="0" collapsed="false">
      <c r="A5" s="10" t="s">
        <v>20</v>
      </c>
      <c r="B5" s="65" t="n">
        <f aca="false">IF($G$5=0,0,G5/$G$5)</f>
        <v>1</v>
      </c>
      <c r="C5" s="55" t="n">
        <f aca="false">店舗群別PL!C9+店舗群別PL!C31+店舗群別PL!C53+店舗群別PL!C75+店舗群別PL!C97</f>
        <v>381.0220425</v>
      </c>
      <c r="D5" s="55" t="n">
        <f aca="false">店舗群別PL!D9+店舗群別PL!D31+店舗群別PL!D53+店舗群別PL!D75+店舗群別PL!D97</f>
        <v>891.168221625</v>
      </c>
      <c r="E5" s="55" t="n">
        <f aca="false">店舗群別PL!E9+店舗群別PL!E31+店舗群別PL!E53+店舗群別PL!E75+店舗群別PL!E97</f>
        <v>1729.416715125</v>
      </c>
      <c r="F5" s="55" t="n">
        <f aca="false">店舗群別PL!F9+店舗群別PL!F31+店舗群別PL!F53+店舗群別PL!F75+店舗群別PL!F97</f>
        <v>2576.132365125</v>
      </c>
      <c r="G5" s="55" t="n">
        <f aca="false">店舗群別PL!G9+店舗群別PL!G31+店舗群別PL!G53+店舗群別PL!G75+店舗群別PL!G97</f>
        <v>3422.848015125</v>
      </c>
      <c r="H5" s="57" t="n">
        <f aca="false">SUM(C5:G5)</f>
        <v>9000.5873595</v>
      </c>
    </row>
    <row r="6" customFormat="false" ht="15" hidden="false" customHeight="false" outlineLevel="0" collapsed="false">
      <c r="A6" s="38" t="s">
        <v>203</v>
      </c>
      <c r="B6" s="65" t="n">
        <f aca="false">IF($G$5=0,0,G6/$G$5)</f>
        <v>0.3</v>
      </c>
      <c r="C6" s="19" t="n">
        <f aca="false">店舗群別PL!C10+店舗群別PL!C32+店舗群別PL!C54+店舗群別PL!C76+店舗群別PL!C98</f>
        <v>114.30661275</v>
      </c>
      <c r="D6" s="19" t="n">
        <f aca="false">店舗群別PL!D10+店舗群別PL!D32+店舗群別PL!D54+店舗群別PL!D76+店舗群別PL!D98</f>
        <v>267.3504664875</v>
      </c>
      <c r="E6" s="19" t="n">
        <f aca="false">店舗群別PL!E10+店舗群別PL!E32+店舗群別PL!E54+店舗群別PL!E76+店舗群別PL!E98</f>
        <v>518.8250145375</v>
      </c>
      <c r="F6" s="19" t="n">
        <f aca="false">店舗群別PL!F10+店舗群別PL!F32+店舗群別PL!F54+店舗群別PL!F76+店舗群別PL!F98</f>
        <v>772.8397095375</v>
      </c>
      <c r="G6" s="19" t="n">
        <f aca="false">店舗群別PL!G10+店舗群別PL!G32+店舗群別PL!G54+店舗群別PL!G76+店舗群別PL!G98</f>
        <v>1026.8544045375</v>
      </c>
      <c r="H6" s="57" t="n">
        <f aca="false">SUM(C6:G6)</f>
        <v>2700.17620785</v>
      </c>
    </row>
    <row r="7" customFormat="false" ht="15" hidden="false" customHeight="false" outlineLevel="0" collapsed="false">
      <c r="A7" s="38" t="s">
        <v>135</v>
      </c>
      <c r="B7" s="65" t="n">
        <f aca="false">IF($G$5=0,0,G7/$G$5)</f>
        <v>0.330207173778602</v>
      </c>
      <c r="C7" s="19" t="n">
        <f aca="false">店舗群別PL!C11+店舗群別PL!C33+店舗群別PL!C55+店舗群別PL!C77+店舗群別PL!C99</f>
        <v>131.4526046625</v>
      </c>
      <c r="D7" s="19" t="n">
        <f aca="false">店舗群別PL!D11+店舗群別PL!D33+店舗群別PL!D55+店舗群別PL!D77+店舗群別PL!D99</f>
        <v>303.304129775625</v>
      </c>
      <c r="E7" s="19" t="n">
        <f aca="false">店舗群別PL!E11+店舗群別PL!E33+店舗群別PL!E55+店舗群別PL!E77+店舗群別PL!E99</f>
        <v>579.883796848125</v>
      </c>
      <c r="F7" s="19" t="n">
        <f aca="false">店舗群別PL!F11+店舗群別PL!F33+店舗群別PL!F55+店舗群別PL!F77+店舗群別PL!F99</f>
        <v>855.066383098125</v>
      </c>
      <c r="G7" s="19" t="n">
        <f aca="false">店舗群別PL!G11+店舗群別PL!G33+店舗群別PL!G55+店舗群別PL!G77+店舗群別PL!G99</f>
        <v>1130.24896934813</v>
      </c>
      <c r="H7" s="57" t="n">
        <f aca="false">SUM(C7:G7)</f>
        <v>2999.9558837325</v>
      </c>
    </row>
    <row r="8" customFormat="false" ht="15" hidden="false" customHeight="false" outlineLevel="0" collapsed="false">
      <c r="A8" s="38" t="s">
        <v>137</v>
      </c>
      <c r="B8" s="65" t="n">
        <f aca="false">IF($G$5=0,0,G8/$G$5)</f>
        <v>0.0210414347557205</v>
      </c>
      <c r="C8" s="19" t="n">
        <f aca="false">店舗群別PL!C12+店舗群別PL!C34+店舗群別PL!C56+店舗群別PL!C78+店舗群別PL!C100</f>
        <v>9.14452902</v>
      </c>
      <c r="D8" s="19" t="n">
        <f aca="false">店舗群別PL!D12+店舗群別PL!D34+店舗群別PL!D56+店舗群別PL!D78+店舗群別PL!D100</f>
        <v>20.558255982</v>
      </c>
      <c r="E8" s="19" t="n">
        <f aca="false">店舗群別PL!E12+店舗群別PL!E34+店舗群別PL!E56+店舗群別PL!E78+店舗群別PL!E100</f>
        <v>38.153007189</v>
      </c>
      <c r="F8" s="19" t="n">
        <f aca="false">店舗群別PL!F12+店舗群別PL!F34+店舗群別PL!F56+店舗群別PL!F78+店舗群別PL!F100</f>
        <v>55.087320189</v>
      </c>
      <c r="G8" s="19" t="n">
        <f aca="false">店舗群別PL!G12+店舗群別PL!G34+店舗群別PL!G56+店舗群別PL!G78+店舗群別PL!G100</f>
        <v>72.021633189</v>
      </c>
      <c r="H8" s="57" t="n">
        <f aca="false">SUM(C8:G8)</f>
        <v>194.964745569</v>
      </c>
    </row>
    <row r="9" customFormat="false" ht="15" hidden="false" customHeight="false" outlineLevel="0" collapsed="false">
      <c r="A9" s="61" t="s">
        <v>204</v>
      </c>
      <c r="B9" s="65" t="n">
        <f aca="false">IF($G$5=0,0,G9/$G$5)</f>
        <v>0.348751391465677</v>
      </c>
      <c r="C9" s="20" t="n">
        <f aca="false">店舗群別PL!C13+店舗群別PL!C35+店舗群別PL!C57+店舗群別PL!C79+店舗群別PL!C101</f>
        <v>126.1182960675</v>
      </c>
      <c r="D9" s="20" t="n">
        <f aca="false">店舗群別PL!D13+店舗群別PL!D35+店舗群別PL!D57+店舗群別PL!D79+店舗群別PL!D101</f>
        <v>299.955369379875</v>
      </c>
      <c r="E9" s="20" t="n">
        <f aca="false">店舗群別PL!E13+店舗群別PL!E35+店舗群別PL!E57+店舗群別PL!E79+店舗群別PL!E101</f>
        <v>592.554896550375</v>
      </c>
      <c r="F9" s="20" t="n">
        <f aca="false">店舗群別PL!F13+店舗群別PL!F35+店舗群別PL!F57+店舗群別PL!F79+店舗群別PL!F101</f>
        <v>893.138952300375</v>
      </c>
      <c r="G9" s="20" t="n">
        <f aca="false">店舗群別PL!G13+店舗群別PL!G35+店舗群別PL!G57+店舗群別PL!G79+店舗群別PL!G101</f>
        <v>1193.72300805038</v>
      </c>
      <c r="H9" s="57" t="n">
        <f aca="false">SUM(C9:G9)</f>
        <v>3105.4905223485</v>
      </c>
    </row>
    <row r="10" customFormat="false" ht="15" hidden="false" customHeight="false" outlineLevel="0" collapsed="false">
      <c r="A10" s="38" t="s">
        <v>139</v>
      </c>
      <c r="B10" s="65" t="n">
        <f aca="false">IF($G$5=0,0,G10/$G$5)</f>
        <v>0.014</v>
      </c>
      <c r="C10" s="19" t="n">
        <f aca="false">店舗群別PL!C14+店舗群別PL!C36+店舗群別PL!C58+店舗群別PL!C80+店舗群別PL!C102</f>
        <v>5.334308595</v>
      </c>
      <c r="D10" s="19" t="n">
        <f aca="false">店舗群別PL!D14+店舗群別PL!D36+店舗群別PL!D58+店舗群別PL!D80+店舗群別PL!D102</f>
        <v>12.47635510275</v>
      </c>
      <c r="E10" s="19" t="n">
        <f aca="false">店舗群別PL!E14+店舗群別PL!E36+店舗群別PL!E58+店舗群別PL!E80+店舗群別PL!E102</f>
        <v>24.21183401175</v>
      </c>
      <c r="F10" s="19" t="n">
        <f aca="false">店舗群別PL!F14+店舗群別PL!F36+店舗群別PL!F58+店舗群別PL!F80+店舗群別PL!F102</f>
        <v>36.06585311175</v>
      </c>
      <c r="G10" s="19" t="n">
        <f aca="false">店舗群別PL!G14+店舗群別PL!G36+店舗群別PL!G58+店舗群別PL!G80+店舗群別PL!G102</f>
        <v>47.91987221175</v>
      </c>
      <c r="H10" s="57" t="n">
        <f aca="false">SUM(C10:G10)</f>
        <v>126.008223033</v>
      </c>
    </row>
    <row r="11" customFormat="false" ht="15" hidden="false" customHeight="false" outlineLevel="0" collapsed="false">
      <c r="A11" s="38" t="s">
        <v>141</v>
      </c>
      <c r="B11" s="65" t="n">
        <f aca="false">IF($G$5=0,0,G11/$G$5)</f>
        <v>0.005</v>
      </c>
      <c r="C11" s="19" t="n">
        <f aca="false">店舗群別PL!C15+店舗群別PL!C37+店舗群別PL!C59+店舗群別PL!C81+店舗群別PL!C103</f>
        <v>1.9051102125</v>
      </c>
      <c r="D11" s="19" t="n">
        <f aca="false">店舗群別PL!D15+店舗群別PL!D37+店舗群別PL!D59+店舗群別PL!D81+店舗群別PL!D103</f>
        <v>4.455841108125</v>
      </c>
      <c r="E11" s="19" t="n">
        <f aca="false">店舗群別PL!E15+店舗群別PL!E37+店舗群別PL!E59+店舗群別PL!E81+店舗群別PL!E103</f>
        <v>8.647083575625</v>
      </c>
      <c r="F11" s="19" t="n">
        <f aca="false">店舗群別PL!F15+店舗群別PL!F37+店舗群別PL!F59+店舗群別PL!F81+店舗群別PL!F103</f>
        <v>12.880661825625</v>
      </c>
      <c r="G11" s="19" t="n">
        <f aca="false">店舗群別PL!G15+店舗群別PL!G37+店舗群別PL!G59+店舗群別PL!G81+店舗群別PL!G103</f>
        <v>17.114240075625</v>
      </c>
      <c r="H11" s="57" t="n">
        <f aca="false">SUM(C11:G11)</f>
        <v>45.0029367975</v>
      </c>
    </row>
    <row r="12" customFormat="false" ht="15" hidden="false" customHeight="false" outlineLevel="0" collapsed="false">
      <c r="A12" s="38" t="s">
        <v>142</v>
      </c>
      <c r="B12" s="65" t="n">
        <f aca="false">IF($G$5=0,0,G12/$G$5)</f>
        <v>0.0370414347557205</v>
      </c>
      <c r="C12" s="19" t="n">
        <f aca="false">店舗群別PL!C16+店舗群別PL!C38+店舗群別PL!C60+店舗群別PL!C82+店舗群別PL!C104</f>
        <v>15.2408817</v>
      </c>
      <c r="D12" s="19" t="n">
        <f aca="false">店舗群別PL!D16+店舗群別PL!D38+店舗群別PL!D60+店舗群別PL!D82+店舗群別PL!D104</f>
        <v>34.816947528</v>
      </c>
      <c r="E12" s="19" t="n">
        <f aca="false">店舗群別PL!E16+店舗群別PL!E38+店舗群別PL!E60+店舗群別PL!E82+店舗群別PL!E104</f>
        <v>65.823674631</v>
      </c>
      <c r="F12" s="19" t="n">
        <f aca="false">店舗群別PL!F16+店舗群別PL!F38+店舗群別PL!F60+店舗群別PL!F82+店舗群別PL!F104</f>
        <v>96.305438031</v>
      </c>
      <c r="G12" s="19" t="n">
        <f aca="false">店舗群別PL!G16+店舗群別PL!G38+店舗群別PL!G60+店舗群別PL!G82+店舗群別PL!G104</f>
        <v>126.787201431</v>
      </c>
      <c r="H12" s="57" t="n">
        <f aca="false">SUM(C12:G12)</f>
        <v>338.974143321</v>
      </c>
    </row>
    <row r="13" customFormat="false" ht="15" hidden="false" customHeight="false" outlineLevel="0" collapsed="false">
      <c r="A13" s="62" t="s">
        <v>217</v>
      </c>
      <c r="B13" s="65" t="n">
        <f aca="false">IF($G$5=0,0,G13/$G$5)</f>
        <v>0.292709956709957</v>
      </c>
      <c r="C13" s="20" t="n">
        <f aca="false">店舗群別PL!C17+店舗群別PL!C39+店舗群別PL!C61+店舗群別PL!C83+店舗群別PL!C105</f>
        <v>103.63799556</v>
      </c>
      <c r="D13" s="20" t="n">
        <f aca="false">店舗群別PL!D17+店舗群別PL!D39+店舗群別PL!D61+店舗群別PL!D83+店舗群別PL!D105</f>
        <v>248.206225641</v>
      </c>
      <c r="E13" s="20" t="n">
        <f aca="false">店舗群別PL!E17+店舗群別PL!E39+店舗群別PL!E61+店舗群別PL!E83+店舗群別PL!E105</f>
        <v>493.872304332</v>
      </c>
      <c r="F13" s="20" t="n">
        <f aca="false">店舗群別PL!F17+店舗群別PL!F39+店舗群別PL!F61+店舗群別PL!F83+店舗群別PL!F105</f>
        <v>747.886999332</v>
      </c>
      <c r="G13" s="20" t="n">
        <f aca="false">店舗群別PL!G17+店舗群別PL!G39+店舗群別PL!G61+店舗群別PL!G83+店舗群別PL!G105</f>
        <v>1001.901694332</v>
      </c>
      <c r="H13" s="57" t="n">
        <f aca="false">SUM(C13:G13)</f>
        <v>2595.505219197</v>
      </c>
    </row>
    <row r="14" customFormat="false" ht="15" hidden="false" customHeight="false" outlineLevel="0" collapsed="false">
      <c r="A14" s="38" t="s">
        <v>144</v>
      </c>
      <c r="B14" s="65" t="n">
        <f aca="false">IF($G$5=0,0,G14/$G$5)</f>
        <v>0.04</v>
      </c>
      <c r="C14" s="19" t="n">
        <f aca="false">店舗群別PL!C18+店舗群別PL!C40+店舗群別PL!C62+店舗群別PL!C84+店舗群別PL!C106</f>
        <v>15.2408817</v>
      </c>
      <c r="D14" s="19" t="n">
        <f aca="false">店舗群別PL!D18+店舗群別PL!D40+店舗群別PL!D62+店舗群別PL!D84+店舗群別PL!D106</f>
        <v>35.646728865</v>
      </c>
      <c r="E14" s="19" t="n">
        <f aca="false">店舗群別PL!E18+店舗群別PL!E40+店舗群別PL!E62+店舗群別PL!E84+店舗群別PL!E106</f>
        <v>69.176668605</v>
      </c>
      <c r="F14" s="19" t="n">
        <f aca="false">店舗群別PL!F18+店舗群別PL!F40+店舗群別PL!F62+店舗群別PL!F84+店舗群別PL!F106</f>
        <v>103.045294605</v>
      </c>
      <c r="G14" s="19" t="n">
        <f aca="false">店舗群別PL!G18+店舗群別PL!G40+店舗群別PL!G62+店舗群別PL!G84+店舗群別PL!G106</f>
        <v>136.913920605</v>
      </c>
      <c r="H14" s="57" t="n">
        <f aca="false">SUM(C14:G14)</f>
        <v>360.02349438</v>
      </c>
    </row>
    <row r="15" customFormat="false" ht="15" hidden="false" customHeight="false" outlineLevel="0" collapsed="false">
      <c r="A15" s="38" t="s">
        <v>146</v>
      </c>
      <c r="B15" s="65" t="n">
        <f aca="false">IF($G$5=0,0,G15/$G$5)</f>
        <v>0.007</v>
      </c>
      <c r="C15" s="19" t="n">
        <f aca="false">店舗群別PL!C19+店舗群別PL!C41+店舗群別PL!C63+店舗群別PL!C85+店舗群別PL!C107</f>
        <v>2.6671542975</v>
      </c>
      <c r="D15" s="19" t="n">
        <f aca="false">店舗群別PL!D19+店舗群別PL!D41+店舗群別PL!D63+店舗群別PL!D85+店舗群別PL!D107</f>
        <v>6.238177551375</v>
      </c>
      <c r="E15" s="19" t="n">
        <f aca="false">店舗群別PL!E19+店舗群別PL!E41+店舗群別PL!E63+店舗群別PL!E85+店舗群別PL!E107</f>
        <v>12.105917005875</v>
      </c>
      <c r="F15" s="19" t="n">
        <f aca="false">店舗群別PL!F19+店舗群別PL!F41+店舗群別PL!F63+店舗群別PL!F85+店舗群別PL!F107</f>
        <v>18.032926555875</v>
      </c>
      <c r="G15" s="19" t="n">
        <f aca="false">店舗群別PL!G19+店舗群別PL!G41+店舗群別PL!G63+店舗群別PL!G85+店舗群別PL!G107</f>
        <v>23.959936105875</v>
      </c>
      <c r="H15" s="57" t="n">
        <f aca="false">SUM(C15:G15)</f>
        <v>63.0041115165</v>
      </c>
    </row>
    <row r="16" customFormat="false" ht="15" hidden="false" customHeight="false" outlineLevel="0" collapsed="false">
      <c r="A16" s="38" t="s">
        <v>206</v>
      </c>
      <c r="B16" s="65" t="n">
        <f aca="false">IF($G$5=0,0,G16/$G$5)</f>
        <v>0.0642096870877201</v>
      </c>
      <c r="C16" s="19" t="n">
        <f aca="false">店舗群別PL!C20+店舗群別PL!C42+店舗群別PL!C64+店舗群別PL!C86+店舗群別PL!C108</f>
        <v>26.64</v>
      </c>
      <c r="D16" s="19" t="n">
        <f aca="false">店舗群別PL!D20+店舗群別PL!D42+店舗群別PL!D64+店舗群別PL!D86+店舗群別PL!D108</f>
        <v>59.94</v>
      </c>
      <c r="E16" s="19" t="n">
        <f aca="false">店舗群別PL!E20+店舗群別PL!E42+店舗群別PL!E64+店舗群別PL!E86+店舗群別PL!E108</f>
        <v>113.22</v>
      </c>
      <c r="F16" s="19" t="n">
        <f aca="false">店舗群別PL!F20+店舗群別PL!F42+店舗群別PL!F64+店舗群別PL!F86+店舗群別PL!F108</f>
        <v>166.5</v>
      </c>
      <c r="G16" s="19" t="n">
        <f aca="false">店舗群別PL!G20+店舗群別PL!G42+店舗群別PL!G64+店舗群別PL!G86+店舗群別PL!G108</f>
        <v>219.78</v>
      </c>
      <c r="H16" s="57" t="n">
        <f aca="false">SUM(C16:G16)</f>
        <v>586.08</v>
      </c>
    </row>
    <row r="17" customFormat="false" ht="15" hidden="false" customHeight="false" outlineLevel="0" collapsed="false">
      <c r="A17" s="38" t="s">
        <v>207</v>
      </c>
      <c r="B17" s="65" t="n">
        <f aca="false">IF($G$5=0,0,G17/$G$5)</f>
        <v>0.0140864744346498</v>
      </c>
      <c r="C17" s="19" t="n">
        <f aca="false">店舗群別PL!C21+店舗群別PL!C43+店舗群別PL!C65+店舗群別PL!C87+店舗群別PL!C109</f>
        <v>3.473542975</v>
      </c>
      <c r="D17" s="19" t="n">
        <f aca="false">店舗群別PL!D21+店舗群別PL!D43+店舗群別PL!D65+店舗群別PL!D87+店舗群別PL!D109</f>
        <v>10.18627551375</v>
      </c>
      <c r="E17" s="19" t="n">
        <f aca="false">店舗群別PL!E21+店舗群別PL!E43+店舗群別PL!E65+店舗群別PL!E87+店舗群別PL!E109</f>
        <v>22.46767005875</v>
      </c>
      <c r="F17" s="19" t="n">
        <f aca="false">店舗群別PL!F21+店舗群別PL!F43+店舗群別PL!F65+店舗群別PL!F87+店舗群別PL!F109</f>
        <v>35.34176555875</v>
      </c>
      <c r="G17" s="19" t="n">
        <f aca="false">店舗群別PL!G21+店舗群別PL!G43+店舗群別PL!G65+店舗群別PL!G87+店舗群別PL!G109</f>
        <v>48.21586105875</v>
      </c>
      <c r="H17" s="57" t="n">
        <f aca="false">SUM(C17:G17)</f>
        <v>119.685115165</v>
      </c>
    </row>
    <row r="18" customFormat="false" ht="15" hidden="false" customHeight="false" outlineLevel="0" collapsed="false">
      <c r="A18" s="38" t="s">
        <v>218</v>
      </c>
      <c r="B18" s="65" t="n">
        <f aca="false">IF($G$5=0,0,G18/$G$5)</f>
        <v>0.025</v>
      </c>
      <c r="C18" s="19" t="n">
        <f aca="false">店舗群別PL!C22+店舗群別PL!C44+店舗群別PL!C66+店舗群別PL!C88+店舗群別PL!C110</f>
        <v>9.5255510625</v>
      </c>
      <c r="D18" s="19" t="n">
        <f aca="false">店舗群別PL!D22+店舗群別PL!D44+店舗群別PL!D66+店舗群別PL!D88+店舗群別PL!D110</f>
        <v>22.279205540625</v>
      </c>
      <c r="E18" s="19" t="n">
        <f aca="false">店舗群別PL!E22+店舗群別PL!E44+店舗群別PL!E66+店舗群別PL!E88+店舗群別PL!E110</f>
        <v>43.235417878125</v>
      </c>
      <c r="F18" s="19" t="n">
        <f aca="false">店舗群別PL!F22+店舗群別PL!F44+店舗群別PL!F66+店舗群別PL!F88+店舗群別PL!F110</f>
        <v>64.403309128125</v>
      </c>
      <c r="G18" s="19" t="n">
        <f aca="false">店舗群別PL!G22+店舗群別PL!G44+店舗群別PL!G66+店舗群別PL!G88+店舗群別PL!G110</f>
        <v>85.571200378125</v>
      </c>
      <c r="H18" s="57" t="n">
        <f aca="false">SUM(C18:G18)</f>
        <v>225.0146839875</v>
      </c>
    </row>
    <row r="19" customFormat="false" ht="15" hidden="false" customHeight="false" outlineLevel="0" collapsed="false">
      <c r="A19" s="10" t="s">
        <v>228</v>
      </c>
      <c r="B19" s="65" t="n">
        <f aca="false">IF($G$5=0,0,G19/$G$5)</f>
        <v>0.142413795187587</v>
      </c>
      <c r="C19" s="20" t="n">
        <f aca="false">店舗群別PL!C23+店舗群別PL!C45+店舗群別PL!C67+店舗群別PL!C89+店舗群別PL!C111</f>
        <v>46.090865525</v>
      </c>
      <c r="D19" s="20" t="n">
        <f aca="false">店舗群別PL!D23+店舗群別PL!D45+店舗群別PL!D67+店舗群別PL!D89+店舗群別PL!D111</f>
        <v>113.91583817025</v>
      </c>
      <c r="E19" s="20" t="n">
        <f aca="false">店舗群別PL!E23+店舗群別PL!E45+店舗群別PL!E67+店舗群別PL!E89+店舗群別PL!E111</f>
        <v>233.66663078425</v>
      </c>
      <c r="F19" s="20" t="n">
        <f aca="false">店舗群別PL!F23+店舗群別PL!F45+店舗群別PL!F67+店舗群別PL!F89+店舗群別PL!F111</f>
        <v>360.56370348425</v>
      </c>
      <c r="G19" s="20" t="n">
        <f aca="false">店舗群別PL!G23+店舗群別PL!G45+店舗群別PL!G67+店舗群別PL!G89+店舗群別PL!G111</f>
        <v>487.46077618425</v>
      </c>
      <c r="H19" s="57" t="n">
        <f aca="false">SUM(C19:G19)</f>
        <v>1241.697814148</v>
      </c>
    </row>
    <row r="20" customFormat="false" ht="15" hidden="false" customHeight="false" outlineLevel="0" collapsed="false">
      <c r="A20" s="4" t="s">
        <v>229</v>
      </c>
      <c r="B20" s="65" t="n">
        <f aca="false">IF($G$5=0,0,G20/$G$5)</f>
        <v>0.0160684902621922</v>
      </c>
      <c r="C20" s="19" t="n">
        <f aca="false">経費前提!B55</f>
        <v>15</v>
      </c>
      <c r="D20" s="19" t="n">
        <f aca="false">経費前提!C55</f>
        <v>28</v>
      </c>
      <c r="E20" s="19" t="n">
        <f aca="false">経費前提!D55</f>
        <v>40</v>
      </c>
      <c r="F20" s="19" t="n">
        <f aca="false">経費前提!E55</f>
        <v>48</v>
      </c>
      <c r="G20" s="19" t="n">
        <f aca="false">経費前提!F55</f>
        <v>55</v>
      </c>
      <c r="H20" s="57" t="n">
        <f aca="false">SUM(C20:G20)</f>
        <v>186</v>
      </c>
    </row>
    <row r="21" customFormat="false" ht="15" hidden="false" customHeight="false" outlineLevel="0" collapsed="false">
      <c r="A21" s="10" t="s">
        <v>35</v>
      </c>
      <c r="B21" s="65" t="n">
        <f aca="false">IF($G$5=0,0,G21/$G$5)</f>
        <v>0.126345304925395</v>
      </c>
      <c r="C21" s="58" t="n">
        <f aca="false">C19-C20</f>
        <v>31.090865525</v>
      </c>
      <c r="D21" s="58" t="n">
        <f aca="false">D19-D20</f>
        <v>85.91583817025</v>
      </c>
      <c r="E21" s="58" t="n">
        <f aca="false">E19-E20</f>
        <v>193.66663078425</v>
      </c>
      <c r="F21" s="58" t="n">
        <f aca="false">F19-F20</f>
        <v>312.56370348425</v>
      </c>
      <c r="G21" s="58" t="n">
        <f aca="false">G19-G20</f>
        <v>432.46077618425</v>
      </c>
      <c r="H21" s="57" t="n">
        <f aca="false">SUM(C21:G21)</f>
        <v>1055.697814148</v>
      </c>
    </row>
    <row r="22" customFormat="false" ht="15" hidden="false" customHeight="false" outlineLevel="0" collapsed="false">
      <c r="A22" s="10" t="s">
        <v>25</v>
      </c>
      <c r="C22" s="17" t="n">
        <f aca="false">IF(C5=0,0,C21/C5)</f>
        <v>0.0815986007554931</v>
      </c>
      <c r="D22" s="17" t="n">
        <f aca="false">IF(D5=0,0,D21/D5)</f>
        <v>0.0964081035268368</v>
      </c>
      <c r="E22" s="17" t="n">
        <f aca="false">IF(E5=0,0,E21/E5)</f>
        <v>0.111983785683633</v>
      </c>
      <c r="F22" s="17" t="n">
        <f aca="false">IF(F5=0,0,F21/F5)</f>
        <v>0.121330606965564</v>
      </c>
      <c r="G22" s="17" t="n">
        <f aca="false">IF(G5=0,0,G21/G5)</f>
        <v>0.126345304925395</v>
      </c>
      <c r="H22" s="51" t="n">
        <f aca="false">H21/H5</f>
        <v>0.117292102390821</v>
      </c>
    </row>
    <row r="23" customFormat="false" ht="15" hidden="false" customHeight="false" outlineLevel="0" collapsed="false">
      <c r="A23" s="4" t="s">
        <v>23</v>
      </c>
      <c r="B23" s="65" t="n">
        <f aca="false">IF($G$5=0,0,G23/$G$5)</f>
        <v>0.0494270412394638</v>
      </c>
      <c r="C23" s="19" t="n">
        <f aca="false">店舗群別PL!C24+店舗群別PL!C46+店舗群別PL!C68+店舗群別PL!C90+店舗群別PL!C112</f>
        <v>20.825</v>
      </c>
      <c r="D23" s="19" t="n">
        <f aca="false">店舗群別PL!D24+店舗群別PL!D46+店舗群別PL!D68+店舗群別PL!D90+店舗群別PL!D112</f>
        <v>46.85625</v>
      </c>
      <c r="E23" s="19" t="n">
        <f aca="false">店舗群別PL!E24+店舗群別PL!E46+店舗群別PL!E68+店舗群別PL!E90+店舗群別PL!E112</f>
        <v>87.88125</v>
      </c>
      <c r="F23" s="19" t="n">
        <f aca="false">店舗群別PL!F24+店舗群別PL!F46+店舗群別PL!F68+店舗群別PL!F90+店舗群別PL!F112</f>
        <v>128.53125</v>
      </c>
      <c r="G23" s="19" t="n">
        <f aca="false">店舗群別PL!G24+店舗群別PL!G46+店舗群別PL!G68+店舗群別PL!G90+店舗群別PL!G112</f>
        <v>169.18125</v>
      </c>
      <c r="H23" s="57" t="n">
        <f aca="false">SUM(C23:G23)</f>
        <v>453.275</v>
      </c>
    </row>
    <row r="24" customFormat="false" ht="15" hidden="false" customHeight="false" outlineLevel="0" collapsed="false">
      <c r="A24" s="10" t="s">
        <v>24</v>
      </c>
      <c r="B24" s="65" t="n">
        <f aca="false">IF($G$5=0,0,G24/$G$5)</f>
        <v>0.076918263685931</v>
      </c>
      <c r="C24" s="58" t="n">
        <f aca="false">C21-C23</f>
        <v>10.265865525</v>
      </c>
      <c r="D24" s="58" t="n">
        <f aca="false">D21-D23</f>
        <v>39.05958817025</v>
      </c>
      <c r="E24" s="58" t="n">
        <f aca="false">E21-E23</f>
        <v>105.78538078425</v>
      </c>
      <c r="F24" s="58" t="n">
        <f aca="false">F21-F23</f>
        <v>184.03245348425</v>
      </c>
      <c r="G24" s="58" t="n">
        <f aca="false">G21-G23</f>
        <v>263.27952618425</v>
      </c>
      <c r="H24" s="57" t="n">
        <f aca="false">SUM(C24:G24)</f>
        <v>602.422814148</v>
      </c>
    </row>
    <row r="25" customFormat="false" ht="15" hidden="false" customHeight="false" outlineLevel="0" collapsed="false">
      <c r="A25" s="10" t="s">
        <v>26</v>
      </c>
      <c r="C25" s="17" t="n">
        <f aca="false">IF(C5=0,0,C24/C5)</f>
        <v>0.0269429701695014</v>
      </c>
      <c r="D25" s="17" t="n">
        <f aca="false">IF(D5=0,0,D24/D5)</f>
        <v>0.0438296465498139</v>
      </c>
      <c r="E25" s="17" t="n">
        <f aca="false">IF(E5=0,0,E24/E5)</f>
        <v>0.0611682423669671</v>
      </c>
      <c r="F25" s="17" t="n">
        <f aca="false">IF(F5=0,0,F24/F5)</f>
        <v>0.0714374990880255</v>
      </c>
      <c r="G25" s="17" t="n">
        <f aca="false">IF(G5=0,0,G24/G5)</f>
        <v>0.076918263685931</v>
      </c>
      <c r="H25" s="51" t="n">
        <f aca="false">H24/H5</f>
        <v>0.0669315001439491</v>
      </c>
    </row>
    <row r="27" customFormat="false" ht="15" hidden="false" customHeight="false" outlineLevel="0" collapsed="false">
      <c r="A27" s="3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26" t="s">
        <v>231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18" t="s">
        <v>233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2" t="s">
        <v>15</v>
      </c>
      <c r="B5" s="13" t="s">
        <v>234</v>
      </c>
      <c r="C5" s="14" t="s">
        <v>17</v>
      </c>
      <c r="D5" s="14" t="s">
        <v>18</v>
      </c>
      <c r="E5" s="14" t="s">
        <v>235</v>
      </c>
      <c r="F5" s="14" t="s">
        <v>236</v>
      </c>
      <c r="G5" s="14" t="s">
        <v>237</v>
      </c>
    </row>
    <row r="6" customFormat="false" ht="15" hidden="false" customHeight="false" outlineLevel="0" collapsed="false">
      <c r="A6" s="15" t="s">
        <v>22</v>
      </c>
      <c r="B6" s="42" t="n">
        <v>0</v>
      </c>
      <c r="C6" s="9" t="n">
        <f aca="false">単店PL!C22</f>
        <v>46.090865525</v>
      </c>
      <c r="D6" s="9" t="n">
        <f aca="false">単店PL!D22</f>
        <v>56.302256264</v>
      </c>
      <c r="E6" s="9" t="n">
        <f aca="false">単店PL!E22</f>
        <v>63.44853635</v>
      </c>
      <c r="F6" s="9" t="n">
        <f aca="false">単店PL!E22</f>
        <v>63.44853635</v>
      </c>
      <c r="G6" s="9" t="n">
        <f aca="false">単店PL!E22</f>
        <v>63.44853635</v>
      </c>
    </row>
    <row r="7" customFormat="false" ht="15" hidden="false" customHeight="false" outlineLevel="0" collapsed="false">
      <c r="A7" s="4" t="s">
        <v>238</v>
      </c>
      <c r="B7" s="42" t="n">
        <f aca="false">-経費前提!$B$48</f>
        <v>-158.35</v>
      </c>
      <c r="C7" s="42" t="n">
        <v>0</v>
      </c>
      <c r="D7" s="42" t="n">
        <v>0</v>
      </c>
      <c r="E7" s="42" t="n">
        <v>0</v>
      </c>
      <c r="F7" s="42" t="n">
        <v>0</v>
      </c>
      <c r="G7" s="42" t="n">
        <v>0</v>
      </c>
    </row>
    <row r="8" customFormat="false" ht="15" hidden="false" customHeight="false" outlineLevel="0" collapsed="false">
      <c r="A8" s="4" t="s">
        <v>239</v>
      </c>
      <c r="B8" s="42" t="n">
        <v>0</v>
      </c>
      <c r="C8" s="42" t="n">
        <f aca="false">-経費前提!$B$49</f>
        <v>-15.5571428571429</v>
      </c>
      <c r="D8" s="42" t="n">
        <f aca="false">-経費前提!$B$49</f>
        <v>-15.5571428571429</v>
      </c>
      <c r="E8" s="42" t="n">
        <f aca="false">-経費前提!$B$49</f>
        <v>-15.5571428571429</v>
      </c>
      <c r="F8" s="42" t="n">
        <f aca="false">-経費前提!$B$49</f>
        <v>-15.5571428571429</v>
      </c>
      <c r="G8" s="42" t="n">
        <f aca="false">-経費前提!$B$49</f>
        <v>-15.5571428571429</v>
      </c>
    </row>
    <row r="9" customFormat="false" ht="15" hidden="false" customHeight="false" outlineLevel="0" collapsed="false">
      <c r="A9" s="10" t="s">
        <v>240</v>
      </c>
      <c r="B9" s="48" t="n">
        <f aca="false">B6+B7+B8</f>
        <v>-158.35</v>
      </c>
      <c r="C9" s="48" t="n">
        <f aca="false">C6+C7+C8</f>
        <v>30.5337226678571</v>
      </c>
      <c r="D9" s="48" t="n">
        <f aca="false">D6+D7+D8</f>
        <v>40.7451134068571</v>
      </c>
      <c r="E9" s="48" t="n">
        <f aca="false">E6+E7+E8</f>
        <v>47.8913934928572</v>
      </c>
      <c r="F9" s="48" t="n">
        <f aca="false">F6+F7+F8</f>
        <v>47.8913934928572</v>
      </c>
      <c r="G9" s="48" t="n">
        <f aca="false">G6+G7+G8</f>
        <v>47.8913934928572</v>
      </c>
    </row>
    <row r="10" customFormat="false" ht="15" hidden="false" customHeight="false" outlineLevel="0" collapsed="false">
      <c r="A10" s="10" t="s">
        <v>241</v>
      </c>
      <c r="B10" s="50" t="n">
        <f aca="false">B9</f>
        <v>-158.35</v>
      </c>
      <c r="C10" s="50" t="n">
        <f aca="false">B10+C9</f>
        <v>-127.816277332143</v>
      </c>
      <c r="D10" s="50" t="n">
        <f aca="false">C10+D9</f>
        <v>-87.0711639252857</v>
      </c>
      <c r="E10" s="50" t="n">
        <f aca="false">D10+E9</f>
        <v>-39.1797704324286</v>
      </c>
      <c r="F10" s="50" t="n">
        <f aca="false">E10+F9</f>
        <v>8.71162306042861</v>
      </c>
      <c r="G10" s="50" t="n">
        <f aca="false">F10+G9</f>
        <v>56.6030165532858</v>
      </c>
    </row>
    <row r="12" customFormat="false" ht="15" hidden="false" customHeight="false" outlineLevel="0" collapsed="false">
      <c r="A12" s="4" t="s">
        <v>242</v>
      </c>
      <c r="B12" s="41" t="n">
        <f aca="false">COUNTIF(C10:G10,"&lt;0")</f>
        <v>3</v>
      </c>
    </row>
    <row r="13" customFormat="false" ht="15" hidden="false" customHeight="false" outlineLevel="0" collapsed="false">
      <c r="A13" s="10" t="s">
        <v>243</v>
      </c>
      <c r="B13" s="24" t="str">
        <f aca="false">IF(B12&gt;=5,"5年内に未回収",B12+1&amp;"年目")</f>
        <v>4年目</v>
      </c>
    </row>
    <row r="14" customFormat="false" ht="15" hidden="false" customHeight="false" outlineLevel="0" collapsed="false">
      <c r="A14" s="10" t="s">
        <v>244</v>
      </c>
      <c r="B14" s="66" t="n">
        <f aca="false">IF(B12&gt;=5,"",IF(INDEX(B9:G9,B12+2)=0,"",B12+(-INDEX(B10:G10,B12+1))/INDEX(B9:G9,B12+2)))</f>
        <v>3.81809627106115</v>
      </c>
    </row>
    <row r="16" customFormat="false" ht="15" hidden="false" customHeight="false" outlineLevel="0" collapsed="false">
      <c r="A16" s="67" t="str">
        <f aca="false">"→ 1号店は開業"&amp;B13&amp;"に累計FCFが黒字転換（投資回収 約"&amp;TEXT(B14,"0.0")&amp;"年）。"</f>
        <v>→ 1号店は開業4年目に累計FCFが黒字転換（投資回収 約3.8年）。</v>
      </c>
    </row>
    <row r="18" customFormat="false" ht="15" hidden="false" customHeight="false" outlineLevel="0" collapsed="false">
      <c r="A18" s="3" t="s">
        <v>245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2" t="s">
        <v>15</v>
      </c>
      <c r="C19" s="14" t="s">
        <v>28</v>
      </c>
      <c r="D19" s="14" t="s">
        <v>29</v>
      </c>
      <c r="E19" s="14" t="s">
        <v>30</v>
      </c>
      <c r="F19" s="14" t="s">
        <v>31</v>
      </c>
      <c r="G19" s="14" t="s">
        <v>32</v>
      </c>
      <c r="H19" s="14" t="s">
        <v>33</v>
      </c>
    </row>
    <row r="20" customFormat="false" ht="15" hidden="false" customHeight="false" outlineLevel="0" collapsed="false">
      <c r="A20" s="4" t="s">
        <v>246</v>
      </c>
      <c r="C20" s="5" t="n">
        <f aca="false">経費前提!B53</f>
        <v>1</v>
      </c>
      <c r="D20" s="5" t="n">
        <f aca="false">経費前提!C53</f>
        <v>2</v>
      </c>
      <c r="E20" s="5" t="n">
        <f aca="false">経費前提!D53</f>
        <v>2</v>
      </c>
      <c r="F20" s="5" t="n">
        <f aca="false">経費前提!E53</f>
        <v>2</v>
      </c>
      <c r="G20" s="5" t="n">
        <f aca="false">経費前提!F53</f>
        <v>2</v>
      </c>
      <c r="H20" s="49" t="n">
        <f aca="false">SUM(C20:G20)</f>
        <v>9</v>
      </c>
    </row>
    <row r="21" customFormat="false" ht="15" hidden="false" customHeight="false" outlineLevel="0" collapsed="false">
      <c r="A21" s="4" t="s">
        <v>34</v>
      </c>
      <c r="C21" s="5" t="n">
        <f aca="false">経費前提!B54</f>
        <v>1</v>
      </c>
      <c r="D21" s="5" t="n">
        <f aca="false">経費前提!C54</f>
        <v>3</v>
      </c>
      <c r="E21" s="5" t="n">
        <f aca="false">経費前提!D54</f>
        <v>5</v>
      </c>
      <c r="F21" s="5" t="n">
        <f aca="false">経費前提!E54</f>
        <v>7</v>
      </c>
      <c r="G21" s="5" t="n">
        <f aca="false">経費前提!F54</f>
        <v>9</v>
      </c>
    </row>
    <row r="22" customFormat="false" ht="15" hidden="false" customHeight="false" outlineLevel="0" collapsed="false">
      <c r="A22" s="4" t="s">
        <v>247</v>
      </c>
      <c r="C22" s="44" t="n">
        <f aca="false">-C20*経費前提!$B$39</f>
        <v>-297.25</v>
      </c>
      <c r="D22" s="44" t="n">
        <f aca="false">-D20*経費前提!$C$39</f>
        <v>-514.5</v>
      </c>
      <c r="E22" s="44" t="n">
        <f aca="false">-E20*経費前提!$D$39</f>
        <v>-504.5</v>
      </c>
      <c r="F22" s="44" t="n">
        <f aca="false">-F20*経費前提!$D$39</f>
        <v>-504.5</v>
      </c>
      <c r="G22" s="44" t="n">
        <f aca="false">-G20*経費前提!$D$39</f>
        <v>-504.5</v>
      </c>
      <c r="H22" s="57" t="n">
        <f aca="false">SUM(C22:G22)</f>
        <v>-2325.25</v>
      </c>
    </row>
    <row r="23" customFormat="false" ht="15" hidden="false" customHeight="false" outlineLevel="0" collapsed="false">
      <c r="A23" s="4" t="s">
        <v>248</v>
      </c>
      <c r="C23" s="44" t="n">
        <f aca="false">C20*経費前提!$B$47</f>
        <v>138.9</v>
      </c>
      <c r="D23" s="44" t="n">
        <f aca="false">D20*経費前提!$C$47</f>
        <v>277.8</v>
      </c>
      <c r="E23" s="44" t="n">
        <f aca="false">E20*経費前提!$D$47</f>
        <v>277.8</v>
      </c>
      <c r="F23" s="44" t="n">
        <f aca="false">F20*経費前提!$D$47</f>
        <v>277.8</v>
      </c>
      <c r="G23" s="44" t="n">
        <f aca="false">G20*経費前提!$D$47</f>
        <v>277.8</v>
      </c>
      <c r="H23" s="57" t="n">
        <f aca="false">SUM(C23:G23)</f>
        <v>1250.1</v>
      </c>
    </row>
    <row r="24" customFormat="false" ht="15" hidden="false" customHeight="false" outlineLevel="0" collapsed="false">
      <c r="A24" s="10" t="s">
        <v>238</v>
      </c>
      <c r="C24" s="57" t="n">
        <f aca="false">C22+C23</f>
        <v>-158.35</v>
      </c>
      <c r="D24" s="57" t="n">
        <f aca="false">D22+D23</f>
        <v>-236.7</v>
      </c>
      <c r="E24" s="57" t="n">
        <f aca="false">E22+E23</f>
        <v>-226.7</v>
      </c>
      <c r="F24" s="57" t="n">
        <f aca="false">F22+F23</f>
        <v>-226.7</v>
      </c>
      <c r="G24" s="57" t="n">
        <f aca="false">G22+G23</f>
        <v>-226.7</v>
      </c>
      <c r="H24" s="57" t="n">
        <f aca="false">SUM(C24:G24)</f>
        <v>-1075.15</v>
      </c>
    </row>
    <row r="25" customFormat="false" ht="15" hidden="false" customHeight="false" outlineLevel="0" collapsed="false">
      <c r="A25" s="4" t="s">
        <v>249</v>
      </c>
      <c r="C25" s="44" t="n">
        <f aca="false">-(IF(店舗群別PL!C8=0,0,経費前提!$B$49*店舗群別PL!$B$6*IF(店舗群別PL!C8=1,店舗群別PL!$B$7/12,1))+IF(店舗群別PL!C30=0,0,経費前提!$C$49*店舗群別PL!$B$28*IF(店舗群別PL!C30=1,店舗群別PL!$B$29/12,1))+IF(店舗群別PL!C52=0,0,経費前提!$D$49*店舗群別PL!$B$50*IF(店舗群別PL!C52=1,店舗群別PL!$B$51/12,1))+IF(店舗群別PL!C74=0,0,経費前提!$D$49*店舗群別PL!$B$72*IF(店舗群別PL!C74=1,店舗群別PL!$B$73/12,1))+IF(店舗群別PL!C96=0,0,経費前提!$D$49*店舗群別PL!$B$94*IF(店舗群別PL!C96=1,店舗群別PL!$B$95/12,1)))</f>
        <v>-15.5571428571429</v>
      </c>
      <c r="D25" s="44" t="n">
        <f aca="false">-(IF(店舗群別PL!D8=0,0,経費前提!$B$49*店舗群別PL!$B$6*IF(店舗群別PL!D8=1,店舗群別PL!$B$7/12,1))+IF(店舗群別PL!D30=0,0,経費前提!$C$49*店舗群別PL!$B$28*IF(店舗群別PL!D30=1,店舗群別PL!$B$29/12,1))+IF(店舗群別PL!D52=0,0,経費前提!$D$49*店舗群別PL!$B$50*IF(店舗群別PL!D52=1,店舗群別PL!$B$51/12,1))+IF(店舗群別PL!D74=0,0,経費前提!$D$49*店舗群別PL!$B$72*IF(店舗群別PL!D74=1,店舗群別PL!$B$73/12,1))+IF(店舗群別PL!D96=0,0,経費前提!$D$49*店舗群別PL!$B$94*IF(店舗群別PL!D96=1,店舗群別PL!$B$95/12,1)))</f>
        <v>-35.0035714285714</v>
      </c>
      <c r="E25" s="44" t="n">
        <f aca="false">-(IF(店舗群別PL!E8=0,0,経費前提!$B$49*店舗群別PL!$B$6*IF(店舗群別PL!E8=1,店舗群別PL!$B$7/12,1))+IF(店舗群別PL!E30=0,0,経費前提!$C$49*店舗群別PL!$B$28*IF(店舗群別PL!E30=1,店舗群別PL!$B$29/12,1))+IF(店舗群別PL!E52=0,0,経費前提!$D$49*店舗群別PL!$B$50*IF(店舗群別PL!E52=1,店舗群別PL!$B$51/12,1))+IF(店舗群別PL!E74=0,0,経費前提!$D$49*店舗群別PL!$B$72*IF(店舗群別PL!E74=1,店舗群別PL!$B$73/12,1))+IF(店舗群別PL!E96=0,0,経費前提!$D$49*店舗群別PL!$B$94*IF(店舗群別PL!E96=1,店舗群別PL!$B$95/12,1)))</f>
        <v>-66.1178571428571</v>
      </c>
      <c r="F25" s="44" t="n">
        <f aca="false">-(IF(店舗群別PL!F8=0,0,経費前提!$B$49*店舗群別PL!$B$6*IF(店舗群別PL!F8=1,店舗群別PL!$B$7/12,1))+IF(店舗群別PL!F30=0,0,経費前提!$C$49*店舗群別PL!$B$28*IF(店舗群別PL!F30=1,店舗群別PL!$B$29/12,1))+IF(店舗群別PL!F52=0,0,経費前提!$D$49*店舗群別PL!$B$50*IF(店舗群別PL!F52=1,店舗群別PL!$B$51/12,1))+IF(店舗群別PL!F74=0,0,経費前提!$D$49*店舗群別PL!$B$72*IF(店舗群別PL!F74=1,店舗群別PL!$B$73/12,1))+IF(店舗群別PL!F96=0,0,経費前提!$D$49*店舗群別PL!$B$94*IF(店舗群別PL!F96=1,店舗群別PL!$B$95/12,1)))</f>
        <v>-97.2321428571429</v>
      </c>
      <c r="G25" s="44" t="n">
        <f aca="false">-(IF(店舗群別PL!G8=0,0,経費前提!$B$49*店舗群別PL!$B$6*IF(店舗群別PL!G8=1,店舗群別PL!$B$7/12,1))+IF(店舗群別PL!G30=0,0,経費前提!$C$49*店舗群別PL!$B$28*IF(店舗群別PL!G30=1,店舗群別PL!$B$29/12,1))+IF(店舗群別PL!G52=0,0,経費前提!$D$49*店舗群別PL!$B$50*IF(店舗群別PL!G52=1,店舗群別PL!$B$51/12,1))+IF(店舗群別PL!G74=0,0,経費前提!$D$49*店舗群別PL!$B$72*IF(店舗群別PL!G74=1,店舗群別PL!$B$73/12,1))+IF(店舗群別PL!G96=0,0,経費前提!$D$49*店舗群別PL!$B$94*IF(店舗群別PL!G96=1,店舗群別PL!$B$95/12,1)))</f>
        <v>-128.346428571429</v>
      </c>
      <c r="H25" s="57" t="n">
        <f aca="false">SUM(C25:G25)</f>
        <v>-342.257142857143</v>
      </c>
    </row>
    <row r="26" customFormat="false" ht="15" hidden="false" customHeight="false" outlineLevel="0" collapsed="false">
      <c r="A26" s="10" t="s">
        <v>250</v>
      </c>
      <c r="C26" s="57" t="n">
        <f aca="false">C24+C25</f>
        <v>-173.907142857143</v>
      </c>
      <c r="D26" s="57" t="n">
        <f aca="false">D24+D25</f>
        <v>-271.703571428571</v>
      </c>
      <c r="E26" s="57" t="n">
        <f aca="false">E24+E25</f>
        <v>-292.817857142857</v>
      </c>
      <c r="F26" s="57" t="n">
        <f aca="false">F24+F25</f>
        <v>-323.932142857143</v>
      </c>
      <c r="G26" s="57" t="n">
        <f aca="false">G24+G25</f>
        <v>-355.046428571429</v>
      </c>
      <c r="H26" s="57" t="n">
        <f aca="false">SUM(C26:G26)</f>
        <v>-1417.40714285714</v>
      </c>
    </row>
    <row r="27" customFormat="false" ht="15" hidden="false" customHeight="false" outlineLevel="0" collapsed="false">
      <c r="A27" s="10" t="s">
        <v>35</v>
      </c>
      <c r="C27" s="55" t="n">
        <f aca="false">連結PL!C21</f>
        <v>31.090865525</v>
      </c>
      <c r="D27" s="55" t="n">
        <f aca="false">連結PL!D21</f>
        <v>85.91583817025</v>
      </c>
      <c r="E27" s="55" t="n">
        <f aca="false">連結PL!E21</f>
        <v>193.66663078425</v>
      </c>
      <c r="F27" s="55" t="n">
        <f aca="false">連結PL!F21</f>
        <v>312.56370348425</v>
      </c>
      <c r="G27" s="55" t="n">
        <f aca="false">連結PL!G21</f>
        <v>432.46077618425</v>
      </c>
      <c r="H27" s="57" t="n">
        <f aca="false">SUM(C27:G27)</f>
        <v>1055.697814148</v>
      </c>
    </row>
    <row r="28" customFormat="false" ht="15" hidden="false" customHeight="false" outlineLevel="0" collapsed="false">
      <c r="A28" s="4" t="s">
        <v>251</v>
      </c>
      <c r="C28" s="44" t="n">
        <f aca="false">-MAX(0,連結PL!C24)*$B$33</f>
        <v>-3.0797596575</v>
      </c>
      <c r="D28" s="44" t="n">
        <f aca="false">-MAX(0,連結PL!D24)*$B$33</f>
        <v>-11.717876451075</v>
      </c>
      <c r="E28" s="44" t="n">
        <f aca="false">-MAX(0,連結PL!E24)*$B$33</f>
        <v>-31.735614235275</v>
      </c>
      <c r="F28" s="44" t="n">
        <f aca="false">-MAX(0,連結PL!F24)*$B$33</f>
        <v>-55.209736045275</v>
      </c>
      <c r="G28" s="44" t="n">
        <f aca="false">-MAX(0,連結PL!G24)*$B$33</f>
        <v>-78.983857855275</v>
      </c>
      <c r="H28" s="57" t="n">
        <f aca="false">SUM(C28:G28)</f>
        <v>-180.7268442444</v>
      </c>
    </row>
    <row r="29" customFormat="false" ht="15" hidden="false" customHeight="false" outlineLevel="0" collapsed="false">
      <c r="A29" s="10" t="s">
        <v>252</v>
      </c>
      <c r="C29" s="58" t="n">
        <f aca="false">C27+C28+C26</f>
        <v>-145.896036989643</v>
      </c>
      <c r="D29" s="58" t="n">
        <f aca="false">D27+D28+D26</f>
        <v>-197.505609709396</v>
      </c>
      <c r="E29" s="58" t="n">
        <f aca="false">E27+E28+E26</f>
        <v>-130.886840593882</v>
      </c>
      <c r="F29" s="58" t="n">
        <f aca="false">F27+F28+F26</f>
        <v>-66.5781754181678</v>
      </c>
      <c r="G29" s="58" t="n">
        <f aca="false">G27+G28+G26</f>
        <v>-1.56951024245348</v>
      </c>
      <c r="H29" s="57" t="n">
        <f aca="false">SUM(C29:G29)</f>
        <v>-542.436172953543</v>
      </c>
    </row>
    <row r="30" customFormat="false" ht="15" hidden="false" customHeight="false" outlineLevel="0" collapsed="false">
      <c r="A30" s="10" t="s">
        <v>253</v>
      </c>
      <c r="C30" s="58" t="n">
        <f aca="false">C29</f>
        <v>-145.896036989643</v>
      </c>
      <c r="D30" s="58" t="n">
        <f aca="false">C30+D29</f>
        <v>-343.401646699039</v>
      </c>
      <c r="E30" s="58" t="n">
        <f aca="false">D30+E29</f>
        <v>-474.288487292921</v>
      </c>
      <c r="F30" s="58" t="n">
        <f aca="false">E30+F29</f>
        <v>-540.866662711089</v>
      </c>
      <c r="G30" s="58" t="n">
        <f aca="false">F30+G29</f>
        <v>-542.436172953543</v>
      </c>
    </row>
    <row r="32" customFormat="false" ht="15" hidden="false" customHeight="false" outlineLevel="0" collapsed="false">
      <c r="A32" s="3" t="s">
        <v>254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4" t="s">
        <v>255</v>
      </c>
      <c r="B33" s="29" t="n">
        <v>0.3</v>
      </c>
      <c r="J33" s="2" t="s">
        <v>256</v>
      </c>
    </row>
    <row r="34" customFormat="false" ht="15" hidden="false" customHeight="false" outlineLevel="0" collapsed="false">
      <c r="A34" s="4" t="s">
        <v>257</v>
      </c>
      <c r="B34" s="42" t="n">
        <f aca="false">-MIN(C30:G30)</f>
        <v>542.436172953543</v>
      </c>
      <c r="J34" s="2" t="s">
        <v>258</v>
      </c>
    </row>
    <row r="35" customFormat="false" ht="15" hidden="false" customHeight="false" outlineLevel="0" collapsed="false">
      <c r="A35" s="4" t="s">
        <v>259</v>
      </c>
      <c r="B35" s="28" t="n">
        <v>0</v>
      </c>
      <c r="J35" s="2" t="s">
        <v>260</v>
      </c>
    </row>
    <row r="36" customFormat="false" ht="15" hidden="false" customHeight="false" outlineLevel="0" collapsed="false">
      <c r="A36" s="68" t="s">
        <v>261</v>
      </c>
      <c r="B36" s="28" t="n">
        <v>70</v>
      </c>
      <c r="J36" s="30" t="s">
        <v>262</v>
      </c>
    </row>
    <row r="37" customFormat="false" ht="15" hidden="false" customHeight="false" outlineLevel="0" collapsed="false">
      <c r="A37" s="68" t="s">
        <v>263</v>
      </c>
      <c r="B37" s="28" t="n">
        <v>20</v>
      </c>
      <c r="J37" s="30" t="s">
        <v>264</v>
      </c>
    </row>
    <row r="38" customFormat="false" ht="15" hidden="false" customHeight="false" outlineLevel="0" collapsed="false">
      <c r="A38" s="68" t="s">
        <v>265</v>
      </c>
      <c r="B38" s="28" t="n">
        <v>90</v>
      </c>
      <c r="J38" s="2" t="s">
        <v>266</v>
      </c>
    </row>
    <row r="39" customFormat="false" ht="15" hidden="false" customHeight="false" outlineLevel="0" collapsed="false">
      <c r="A39" s="10" t="s">
        <v>267</v>
      </c>
      <c r="B39" s="48" t="n">
        <f aca="false">SUM(B35:B38)</f>
        <v>180</v>
      </c>
      <c r="J39" s="2"/>
    </row>
    <row r="40" customFormat="false" ht="15" hidden="false" customHeight="false" outlineLevel="0" collapsed="false">
      <c r="A40" s="10" t="s">
        <v>268</v>
      </c>
      <c r="B40" s="50" t="n">
        <f aca="false">B39-B34</f>
        <v>-362.436172953543</v>
      </c>
      <c r="J40" s="2" t="s">
        <v>269</v>
      </c>
    </row>
    <row r="42" customFormat="false" ht="15" hidden="false" customHeight="false" outlineLevel="0" collapsed="false">
      <c r="A42" s="2" t="s">
        <v>270</v>
      </c>
    </row>
    <row r="44" customFormat="false" ht="15" hidden="false" customHeight="false" outlineLevel="0" collapsed="false">
      <c r="A44" s="18" t="s">
        <v>271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12" t="s">
        <v>15</v>
      </c>
      <c r="B45" s="13" t="s">
        <v>272</v>
      </c>
      <c r="J45" s="2" t="s">
        <v>273</v>
      </c>
    </row>
    <row r="46" customFormat="false" ht="15" hidden="false" customHeight="false" outlineLevel="0" collapsed="false">
      <c r="A46" s="4" t="s">
        <v>164</v>
      </c>
      <c r="B46" s="42" t="n">
        <f aca="false">経費前提!$B$32</f>
        <v>10</v>
      </c>
      <c r="J46" s="2"/>
    </row>
    <row r="47" customFormat="false" ht="15" hidden="false" customHeight="false" outlineLevel="0" collapsed="false">
      <c r="A47" s="4" t="s">
        <v>166</v>
      </c>
      <c r="B47" s="42" t="n">
        <f aca="false">経費前提!$B$35</f>
        <v>194.25</v>
      </c>
      <c r="J47" s="2"/>
    </row>
    <row r="48" customFormat="false" ht="15" hidden="false" customHeight="false" outlineLevel="0" collapsed="false">
      <c r="A48" s="6" t="s">
        <v>274</v>
      </c>
      <c r="B48" s="69" t="n">
        <f aca="false">-経費前提!$B$45</f>
        <v>-100</v>
      </c>
      <c r="J48" s="2" t="s">
        <v>275</v>
      </c>
    </row>
    <row r="49" customFormat="false" ht="15" hidden="false" customHeight="false" outlineLevel="0" collapsed="false">
      <c r="A49" s="4" t="s">
        <v>172</v>
      </c>
      <c r="B49" s="42" t="n">
        <f aca="false">経費前提!$B$36</f>
        <v>4</v>
      </c>
      <c r="J49" s="2"/>
    </row>
    <row r="50" customFormat="false" ht="15" hidden="false" customHeight="false" outlineLevel="0" collapsed="false">
      <c r="A50" s="4" t="s">
        <v>173</v>
      </c>
      <c r="B50" s="42" t="n">
        <f aca="false">経費前提!$B$37</f>
        <v>39</v>
      </c>
      <c r="J50" s="2"/>
    </row>
    <row r="51" customFormat="false" ht="15" hidden="false" customHeight="false" outlineLevel="0" collapsed="false">
      <c r="A51" s="6" t="s">
        <v>276</v>
      </c>
      <c r="B51" s="69" t="n">
        <f aca="false">-経費前提!$B$46</f>
        <v>-38.9</v>
      </c>
      <c r="J51" s="2" t="s">
        <v>277</v>
      </c>
    </row>
    <row r="52" customFormat="false" ht="15" hidden="false" customHeight="false" outlineLevel="0" collapsed="false">
      <c r="A52" s="4" t="s">
        <v>175</v>
      </c>
      <c r="B52" s="42" t="n">
        <f aca="false">経費前提!$B$38</f>
        <v>50</v>
      </c>
      <c r="J52" s="2"/>
    </row>
    <row r="53" customFormat="false" ht="15" hidden="false" customHeight="false" outlineLevel="0" collapsed="false">
      <c r="A53" s="10" t="s">
        <v>278</v>
      </c>
      <c r="B53" s="50" t="n">
        <f aca="false">SUM(B46:B52)</f>
        <v>158.35</v>
      </c>
      <c r="J53" s="2" t="s">
        <v>279</v>
      </c>
    </row>
    <row r="54" customFormat="false" ht="15" hidden="false" customHeight="false" outlineLevel="0" collapsed="false">
      <c r="A54" s="4" t="s">
        <v>280</v>
      </c>
      <c r="B54" s="42" t="n">
        <f aca="false">-経費前提!$B$49</f>
        <v>-15.5571428571429</v>
      </c>
      <c r="J54" s="2" t="s">
        <v>281</v>
      </c>
    </row>
    <row r="55" customFormat="false" ht="15" hidden="false" customHeight="false" outlineLevel="0" collapsed="false">
      <c r="A55" s="4" t="s">
        <v>282</v>
      </c>
      <c r="B55" s="42" t="n">
        <f aca="false">単店PL!C22</f>
        <v>46.090865525</v>
      </c>
      <c r="J55" s="2" t="s">
        <v>283</v>
      </c>
    </row>
    <row r="56" customFormat="false" ht="15" hidden="false" customHeight="false" outlineLevel="0" collapsed="false">
      <c r="A56" s="4" t="s">
        <v>284</v>
      </c>
      <c r="B56" s="42" t="n">
        <f aca="false">-経費前提!$B$55</f>
        <v>-15</v>
      </c>
      <c r="J56" s="2"/>
    </row>
    <row r="57" customFormat="false" ht="15" hidden="false" customHeight="false" outlineLevel="0" collapsed="false">
      <c r="A57" s="4" t="s">
        <v>285</v>
      </c>
      <c r="B57" s="42" t="n">
        <f aca="false">-MAX(0,連結PL!C24)*$B$33</f>
        <v>-3.0797596575</v>
      </c>
      <c r="J57" s="2" t="s">
        <v>286</v>
      </c>
    </row>
    <row r="58" customFormat="false" ht="15" hidden="false" customHeight="false" outlineLevel="0" collapsed="false">
      <c r="A58" s="16" t="s">
        <v>287</v>
      </c>
      <c r="B58" s="50" t="n">
        <f aca="false">B53-SUM(B54:B57)</f>
        <v>145.896036989643</v>
      </c>
      <c r="J58" s="2" t="s">
        <v>288</v>
      </c>
    </row>
    <row r="60" customFormat="false" ht="15" hidden="false" customHeight="false" outlineLevel="0" collapsed="false">
      <c r="A60" s="12" t="s">
        <v>289</v>
      </c>
      <c r="B60" s="13" t="s">
        <v>272</v>
      </c>
    </row>
    <row r="61" customFormat="false" ht="15" hidden="false" customHeight="false" outlineLevel="0" collapsed="false">
      <c r="A61" s="4" t="s">
        <v>290</v>
      </c>
      <c r="B61" s="42" t="n">
        <f aca="false">B35+B36+B37</f>
        <v>90</v>
      </c>
      <c r="J61" s="2" t="s">
        <v>291</v>
      </c>
    </row>
    <row r="62" customFormat="false" ht="15" hidden="false" customHeight="false" outlineLevel="0" collapsed="false">
      <c r="A62" s="4" t="s">
        <v>292</v>
      </c>
      <c r="B62" s="42" t="n">
        <f aca="false">B38</f>
        <v>90</v>
      </c>
      <c r="J62" s="2" t="s">
        <v>266</v>
      </c>
    </row>
    <row r="63" customFormat="false" ht="15" hidden="false" customHeight="false" outlineLevel="0" collapsed="false">
      <c r="A63" s="10" t="s">
        <v>293</v>
      </c>
      <c r="B63" s="50" t="n">
        <f aca="false">B61+B62</f>
        <v>180</v>
      </c>
      <c r="J63" s="2"/>
    </row>
    <row r="64" customFormat="false" ht="15" hidden="false" customHeight="false" outlineLevel="0" collapsed="false">
      <c r="A64" s="10" t="s">
        <v>294</v>
      </c>
      <c r="B64" s="50" t="n">
        <f aca="false">B61-B53</f>
        <v>-68.35</v>
      </c>
      <c r="J64" s="2" t="s">
        <v>295</v>
      </c>
    </row>
    <row r="65" customFormat="false" ht="15" hidden="false" customHeight="false" outlineLevel="0" collapsed="false">
      <c r="A65" s="10" t="s">
        <v>296</v>
      </c>
      <c r="B65" s="50" t="n">
        <f aca="false">B63-B53</f>
        <v>21.65</v>
      </c>
      <c r="J65" s="2" t="s">
        <v>297</v>
      </c>
    </row>
    <row r="66" customFormat="false" ht="15" hidden="false" customHeight="false" outlineLevel="0" collapsed="false">
      <c r="A66" s="10" t="s">
        <v>298</v>
      </c>
      <c r="B66" s="50" t="n">
        <f aca="false">B63-B58</f>
        <v>34.1039630103572</v>
      </c>
      <c r="J66" s="2" t="s">
        <v>299</v>
      </c>
    </row>
    <row r="67" customFormat="false" ht="15" hidden="false" customHeight="false" outlineLevel="0" collapsed="false">
      <c r="A67" s="10" t="s">
        <v>300</v>
      </c>
      <c r="B67" s="50" t="n">
        <f aca="false">B40</f>
        <v>-362.436172953543</v>
      </c>
      <c r="J67" s="2" t="s">
        <v>301</v>
      </c>
    </row>
    <row r="69" customFormat="false" ht="15" hidden="false" customHeight="false" outlineLevel="0" collapsed="false">
      <c r="A69" s="46" t="s">
        <v>302</v>
      </c>
    </row>
    <row r="70" customFormat="false" ht="15" hidden="false" customHeight="false" outlineLevel="0" collapsed="false">
      <c r="A70" s="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6" t="s">
        <v>304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305</v>
      </c>
    </row>
    <row r="4" customFormat="false" ht="15" hidden="false" customHeight="false" outlineLevel="0" collapsed="false">
      <c r="A4" s="3" t="s">
        <v>306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6" t="s">
        <v>307</v>
      </c>
      <c r="B5" s="70" t="n">
        <v>0.7</v>
      </c>
      <c r="C5" s="70" t="n">
        <v>0.8</v>
      </c>
      <c r="D5" s="70" t="n">
        <v>0.9</v>
      </c>
      <c r="E5" s="70" t="n">
        <v>1</v>
      </c>
      <c r="F5" s="70" t="n">
        <v>1.1</v>
      </c>
    </row>
    <row r="6" customFormat="false" ht="15" hidden="false" customHeight="false" outlineLevel="0" collapsed="false">
      <c r="A6" s="71" t="n">
        <v>0.65</v>
      </c>
      <c r="B6" s="42" t="n">
        <f aca="false">((売上前提!$C$22*$A6*売上前提!$E$22*売上前提!$H$22+売上前提!$C$24*$A6*売上前提!$E$24*売上前提!$H$24+売上前提!$C$26*$A6*B$5*売上前提!$H$26)+(売上前提!$J$23+売上前提!$J$25+売上前提!$J$27))*売上前提!$B$5/1000000</f>
        <v>335.922015</v>
      </c>
      <c r="C6" s="42" t="n">
        <f aca="false">((売上前提!$C$22*$A6*売上前提!$E$22*売上前提!$H$22+売上前提!$C$24*$A6*売上前提!$E$24*売上前提!$H$24+売上前提!$C$26*$A6*C$5*売上前提!$H$26)+(売上前提!$J$23+売上前提!$J$25+売上前提!$J$27))*売上前提!$B$5/1000000</f>
        <v>357.865365</v>
      </c>
      <c r="D6" s="42" t="n">
        <f aca="false">((売上前提!$C$22*$A6*売上前提!$E$22*売上前提!$H$22+売上前提!$C$24*$A6*売上前提!$E$24*売上前提!$H$24+売上前提!$C$26*$A6*D$5*売上前提!$H$26)+(売上前提!$J$23+売上前提!$J$25+売上前提!$J$27))*売上前提!$B$5/1000000</f>
        <v>379.808715</v>
      </c>
      <c r="E6" s="42" t="n">
        <f aca="false">((売上前提!$C$22*$A6*売上前提!$E$22*売上前提!$H$22+売上前提!$C$24*$A6*売上前提!$E$24*売上前提!$H$24+売上前提!$C$26*$A6*E$5*売上前提!$H$26)+(売上前提!$J$23+売上前提!$J$25+売上前提!$J$27))*売上前提!$B$5/1000000</f>
        <v>401.752065</v>
      </c>
      <c r="F6" s="42" t="n">
        <f aca="false">((売上前提!$C$22*$A6*売上前提!$E$22*売上前提!$H$22+売上前提!$C$24*$A6*売上前提!$E$24*売上前提!$H$24+売上前提!$C$26*$A6*F$5*売上前提!$H$26)+(売上前提!$J$23+売上前提!$J$25+売上前提!$J$27))*売上前提!$B$5/1000000</f>
        <v>423.695415</v>
      </c>
    </row>
    <row r="7" customFormat="false" ht="15" hidden="false" customHeight="false" outlineLevel="0" collapsed="false">
      <c r="A7" s="71" t="n">
        <v>0.7</v>
      </c>
      <c r="B7" s="42" t="n">
        <f aca="false">((売上前提!$C$22*$A7*売上前提!$E$22*売上前提!$H$22+売上前提!$C$24*$A7*売上前提!$E$24*売上前提!$H$24+売上前提!$C$26*$A7*B$5*売上前提!$H$26)+(売上前提!$J$23+売上前提!$J$25+売上前提!$J$27))*売上前提!$B$5/1000000</f>
        <v>354.32067</v>
      </c>
      <c r="C7" s="42" t="n">
        <f aca="false">((売上前提!$C$22*$A7*売上前提!$E$22*売上前提!$H$22+売上前提!$C$24*$A7*売上前提!$E$24*売上前提!$H$24+売上前提!$C$26*$A7*C$5*売上前提!$H$26)+(売上前提!$J$23+売上前提!$J$25+売上前提!$J$27))*売上前提!$B$5/1000000</f>
        <v>377.95197</v>
      </c>
      <c r="D7" s="42" t="n">
        <f aca="false">((売上前提!$C$22*$A7*売上前提!$E$22*売上前提!$H$22+売上前提!$C$24*$A7*売上前提!$E$24*売上前提!$H$24+売上前提!$C$26*$A7*D$5*売上前提!$H$26)+(売上前提!$J$23+売上前提!$J$25+売上前提!$J$27))*売上前提!$B$5/1000000</f>
        <v>401.58327</v>
      </c>
      <c r="E7" s="42" t="n">
        <f aca="false">((売上前提!$C$22*$A7*売上前提!$E$22*売上前提!$H$22+売上前提!$C$24*$A7*売上前提!$E$24*売上前提!$H$24+売上前提!$C$26*$A7*E$5*売上前提!$H$26)+(売上前提!$J$23+売上前提!$J$25+売上前提!$J$27))*売上前提!$B$5/1000000</f>
        <v>425.21457</v>
      </c>
      <c r="F7" s="42" t="n">
        <f aca="false">((売上前提!$C$22*$A7*売上前提!$E$22*売上前提!$H$22+売上前提!$C$24*$A7*売上前提!$E$24*売上前提!$H$24+売上前提!$C$26*$A7*F$5*売上前提!$H$26)+(売上前提!$J$23+売上前提!$J$25+売上前提!$J$27))*売上前提!$B$5/1000000</f>
        <v>448.84587</v>
      </c>
    </row>
    <row r="8" customFormat="false" ht="15" hidden="false" customHeight="false" outlineLevel="0" collapsed="false">
      <c r="A8" s="71" t="n">
        <v>0.75</v>
      </c>
      <c r="B8" s="42" t="n">
        <f aca="false">((売上前提!$C$22*$A8*売上前提!$E$22*売上前提!$H$22+売上前提!$C$24*$A8*売上前提!$E$24*売上前提!$H$24+売上前提!$C$26*$A8*B$5*売上前提!$H$26)+(売上前提!$J$23+売上前提!$J$25+売上前提!$J$27))*売上前提!$B$5/1000000</f>
        <v>372.719325</v>
      </c>
      <c r="C8" s="42" t="n">
        <f aca="false">((売上前提!$C$22*$A8*売上前提!$E$22*売上前提!$H$22+売上前提!$C$24*$A8*売上前提!$E$24*売上前提!$H$24+売上前提!$C$26*$A8*C$5*売上前提!$H$26)+(売上前提!$J$23+売上前提!$J$25+売上前提!$J$27))*売上前提!$B$5/1000000</f>
        <v>398.038575</v>
      </c>
      <c r="D8" s="42" t="n">
        <f aca="false">((売上前提!$C$22*$A8*売上前提!$E$22*売上前提!$H$22+売上前提!$C$24*$A8*売上前提!$E$24*売上前提!$H$24+売上前提!$C$26*$A8*D$5*売上前提!$H$26)+(売上前提!$J$23+売上前提!$J$25+売上前提!$J$27))*売上前提!$B$5/1000000</f>
        <v>423.357825</v>
      </c>
      <c r="E8" s="42" t="n">
        <f aca="false">((売上前提!$C$22*$A8*売上前提!$E$22*売上前提!$H$22+売上前提!$C$24*$A8*売上前提!$E$24*売上前提!$H$24+売上前提!$C$26*$A8*E$5*売上前提!$H$26)+(売上前提!$J$23+売上前提!$J$25+売上前提!$J$27))*売上前提!$B$5/1000000</f>
        <v>448.677075</v>
      </c>
      <c r="F8" s="42" t="n">
        <f aca="false">((売上前提!$C$22*$A8*売上前提!$E$22*売上前提!$H$22+売上前提!$C$24*$A8*売上前提!$E$24*売上前提!$H$24+売上前提!$C$26*$A8*F$5*売上前提!$H$26)+(売上前提!$J$23+売上前提!$J$25+売上前提!$J$27))*売上前提!$B$5/1000000</f>
        <v>473.996325</v>
      </c>
    </row>
    <row r="9" customFormat="false" ht="15" hidden="false" customHeight="false" outlineLevel="0" collapsed="false">
      <c r="A9" s="71" t="n">
        <v>0.8</v>
      </c>
      <c r="B9" s="42" t="n">
        <f aca="false">((売上前提!$C$22*$A9*売上前提!$E$22*売上前提!$H$22+売上前提!$C$24*$A9*売上前提!$E$24*売上前提!$H$24+売上前提!$C$26*$A9*B$5*売上前提!$H$26)+(売上前提!$J$23+売上前提!$J$25+売上前提!$J$27))*売上前提!$B$5/1000000</f>
        <v>391.11798</v>
      </c>
      <c r="C9" s="42" t="n">
        <f aca="false">((売上前提!$C$22*$A9*売上前提!$E$22*売上前提!$H$22+売上前提!$C$24*$A9*売上前提!$E$24*売上前提!$H$24+売上前提!$C$26*$A9*C$5*売上前提!$H$26)+(売上前提!$J$23+売上前提!$J$25+売上前提!$J$27))*売上前提!$B$5/1000000</f>
        <v>418.12518</v>
      </c>
      <c r="D9" s="42" t="n">
        <f aca="false">((売上前提!$C$22*$A9*売上前提!$E$22*売上前提!$H$22+売上前提!$C$24*$A9*売上前提!$E$24*売上前提!$H$24+売上前提!$C$26*$A9*D$5*売上前提!$H$26)+(売上前提!$J$23+売上前提!$J$25+売上前提!$J$27))*売上前提!$B$5/1000000</f>
        <v>445.13238</v>
      </c>
      <c r="E9" s="42" t="n">
        <f aca="false">((売上前提!$C$22*$A9*売上前提!$E$22*売上前提!$H$22+売上前提!$C$24*$A9*売上前提!$E$24*売上前提!$H$24+売上前提!$C$26*$A9*E$5*売上前提!$H$26)+(売上前提!$J$23+売上前提!$J$25+売上前提!$J$27))*売上前提!$B$5/1000000</f>
        <v>472.13958</v>
      </c>
      <c r="F9" s="42" t="n">
        <f aca="false">((売上前提!$C$22*$A9*売上前提!$E$22*売上前提!$H$22+売上前提!$C$24*$A9*売上前提!$E$24*売上前提!$H$24+売上前提!$C$26*$A9*F$5*売上前提!$H$26)+(売上前提!$J$23+売上前提!$J$25+売上前提!$J$27))*売上前提!$B$5/1000000</f>
        <v>499.14678</v>
      </c>
    </row>
    <row r="10" customFormat="false" ht="15" hidden="false" customHeight="false" outlineLevel="0" collapsed="false">
      <c r="A10" s="71" t="n">
        <v>0.85</v>
      </c>
      <c r="B10" s="42" t="n">
        <f aca="false">((売上前提!$C$22*$A10*売上前提!$E$22*売上前提!$H$22+売上前提!$C$24*$A10*売上前提!$E$24*売上前提!$H$24+売上前提!$C$26*$A10*B$5*売上前提!$H$26)+(売上前提!$J$23+売上前提!$J$25+売上前提!$J$27))*売上前提!$B$5/1000000</f>
        <v>409.516635</v>
      </c>
      <c r="C10" s="42" t="n">
        <f aca="false">((売上前提!$C$22*$A10*売上前提!$E$22*売上前提!$H$22+売上前提!$C$24*$A10*売上前提!$E$24*売上前提!$H$24+売上前提!$C$26*$A10*C$5*売上前提!$H$26)+(売上前提!$J$23+売上前提!$J$25+売上前提!$J$27))*売上前提!$B$5/1000000</f>
        <v>438.211785</v>
      </c>
      <c r="D10" s="42" t="n">
        <f aca="false">((売上前提!$C$22*$A10*売上前提!$E$22*売上前提!$H$22+売上前提!$C$24*$A10*売上前提!$E$24*売上前提!$H$24+売上前提!$C$26*$A10*D$5*売上前提!$H$26)+(売上前提!$J$23+売上前提!$J$25+売上前提!$J$27))*売上前提!$B$5/1000000</f>
        <v>466.906935</v>
      </c>
      <c r="E10" s="42" t="n">
        <f aca="false">((売上前提!$C$22*$A10*売上前提!$E$22*売上前提!$H$22+売上前提!$C$24*$A10*売上前提!$E$24*売上前提!$H$24+売上前提!$C$26*$A10*E$5*売上前提!$H$26)+(売上前提!$J$23+売上前提!$J$25+売上前提!$J$27))*売上前提!$B$5/1000000</f>
        <v>495.602085</v>
      </c>
      <c r="F10" s="42" t="n">
        <f aca="false">((売上前提!$C$22*$A10*売上前提!$E$22*売上前提!$H$22+売上前提!$C$24*$A10*売上前提!$E$24*売上前提!$H$24+売上前提!$C$26*$A10*F$5*売上前提!$H$26)+(売上前提!$J$23+売上前提!$J$25+売上前提!$J$27))*売上前提!$B$5/1000000</f>
        <v>524.297235</v>
      </c>
    </row>
    <row r="12" customFormat="false" ht="15" hidden="false" customHeight="false" outlineLevel="0" collapsed="false">
      <c r="A12" s="3" t="s">
        <v>308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6" t="s">
        <v>307</v>
      </c>
      <c r="B13" s="70" t="n">
        <v>0.7</v>
      </c>
      <c r="C13" s="70" t="n">
        <v>0.8</v>
      </c>
      <c r="D13" s="70" t="n">
        <v>0.9</v>
      </c>
      <c r="E13" s="70" t="n">
        <v>1</v>
      </c>
      <c r="F13" s="70" t="n">
        <v>1.1</v>
      </c>
    </row>
    <row r="14" customFormat="false" ht="15" hidden="false" customHeight="false" outlineLevel="0" collapsed="false">
      <c r="A14" s="71" t="n">
        <v>0.65</v>
      </c>
      <c r="B14" s="42" t="n">
        <f aca="false">((((売上前提!$C$22*$A14*売上前提!$E$22*売上前提!$H$22+売上前提!$C$24*$A14*売上前提!$E$24*売上前提!$H$24+売上前提!$C$26*$A14*B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B$13*売上前提!$H$26)+(売上前提!$J$23+売上前提!$J$25+売上前提!$J$27))*売上前提!$B$5/1000000)-経費前提!$B$27)*経費前提!$B$26-経費前提!$B$42)</f>
        <v>19.40286195</v>
      </c>
      <c r="C14" s="42" t="n">
        <f aca="false">((((売上前提!$C$22*$A14*売上前提!$E$22*売上前提!$H$22+売上前提!$C$24*$A14*売上前提!$E$24*売上前提!$H$24+売上前提!$C$26*$A14*C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C$13*売上前提!$H$26)+(売上前提!$J$23+売上前提!$J$25+売上前提!$J$27))*売上前提!$B$5/1000000)-経費前提!$B$27)*経費前提!$B$26-経費前提!$B$42)</f>
        <v>22.25549745</v>
      </c>
      <c r="D14" s="42" t="n">
        <f aca="false">((((売上前提!$C$22*$A14*売上前提!$E$22*売上前提!$H$22+売上前提!$C$24*$A14*売上前提!$E$24*売上前提!$H$24+売上前提!$C$26*$A14*D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D$13*売上前提!$H$26)+(売上前提!$J$23+売上前提!$J$25+売上前提!$J$27))*売上前提!$B$5/1000000)-経費前提!$B$27)*経費前提!$B$26-経費前提!$B$42)</f>
        <v>25.10813295</v>
      </c>
      <c r="E14" s="42" t="n">
        <f aca="false">((((売上前提!$C$22*$A14*売上前提!$E$22*売上前提!$H$22+売上前提!$C$24*$A14*売上前提!$E$24*売上前提!$H$24+売上前提!$C$26*$A14*E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E$13*売上前提!$H$26)+(売上前提!$J$23+売上前提!$J$25+売上前提!$J$27))*売上前提!$B$5/1000000)-経費前提!$B$27)*経費前提!$B$26-経費前提!$B$42)</f>
        <v>27.96076845</v>
      </c>
      <c r="F14" s="42" t="n">
        <f aca="false">((((売上前提!$C$22*$A14*売上前提!$E$22*売上前提!$H$22+売上前提!$C$24*$A14*売上前提!$E$24*売上前提!$H$24+売上前提!$C$26*$A14*F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F$13*売上前提!$H$26)+(売上前提!$J$23+売上前提!$J$25+売上前提!$J$27))*売上前提!$B$5/1000000)-経費前提!$B$27)*経費前提!$B$26-経費前提!$B$42)</f>
        <v>30.81340395</v>
      </c>
    </row>
    <row r="15" customFormat="false" ht="15" hidden="false" customHeight="false" outlineLevel="0" collapsed="false">
      <c r="A15" s="71" t="n">
        <v>0.7</v>
      </c>
      <c r="B15" s="42" t="n">
        <f aca="false">((((売上前提!$C$22*$A15*売上前提!$E$22*売上前提!$H$22+売上前提!$C$24*$A15*売上前提!$E$24*売上前提!$H$24+売上前提!$C$26*$A15*B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B$13*売上前提!$H$26)+(売上前提!$J$23+売上前提!$J$25+売上前提!$J$27))*売上前提!$B$5/1000000)-経費前提!$B$27)*経費前提!$B$26-経費前提!$B$42)</f>
        <v>21.7946871</v>
      </c>
      <c r="C15" s="42" t="n">
        <f aca="false">((((売上前提!$C$22*$A15*売上前提!$E$22*売上前提!$H$22+売上前提!$C$24*$A15*売上前提!$E$24*売上前提!$H$24+売上前提!$C$26*$A15*C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C$13*売上前提!$H$26)+(売上前提!$J$23+売上前提!$J$25+売上前提!$J$27))*売上前提!$B$5/1000000)-経費前提!$B$27)*経費前提!$B$26-経費前提!$B$42)</f>
        <v>24.8667561</v>
      </c>
      <c r="D15" s="42" t="n">
        <f aca="false">((((売上前提!$C$22*$A15*売上前提!$E$22*売上前提!$H$22+売上前提!$C$24*$A15*売上前提!$E$24*売上前提!$H$24+売上前提!$C$26*$A15*D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D$13*売上前提!$H$26)+(売上前提!$J$23+売上前提!$J$25+売上前提!$J$27))*売上前提!$B$5/1000000)-経費前提!$B$27)*経費前提!$B$26-経費前提!$B$42)</f>
        <v>27.9388251</v>
      </c>
      <c r="E15" s="42" t="n">
        <f aca="false">((((売上前提!$C$22*$A15*売上前提!$E$22*売上前提!$H$22+売上前提!$C$24*$A15*売上前提!$E$24*売上前提!$H$24+売上前提!$C$26*$A15*E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E$13*売上前提!$H$26)+(売上前提!$J$23+売上前提!$J$25+売上前提!$J$27))*売上前提!$B$5/1000000)-経費前提!$B$27)*経費前提!$B$26-経費前提!$B$42)</f>
        <v>31.0108941</v>
      </c>
      <c r="F15" s="42" t="n">
        <f aca="false">((((売上前提!$C$22*$A15*売上前提!$E$22*売上前提!$H$22+売上前提!$C$24*$A15*売上前提!$E$24*売上前提!$H$24+売上前提!$C$26*$A15*F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F$13*売上前提!$H$26)+(売上前提!$J$23+売上前提!$J$25+売上前提!$J$27))*売上前提!$B$5/1000000)-経費前提!$B$27)*経費前提!$B$26-経費前提!$B$42)</f>
        <v>34.0829631</v>
      </c>
    </row>
    <row r="16" customFormat="false" ht="15" hidden="false" customHeight="false" outlineLevel="0" collapsed="false">
      <c r="A16" s="71" t="n">
        <v>0.75</v>
      </c>
      <c r="B16" s="42" t="n">
        <f aca="false">((((売上前提!$C$22*$A16*売上前提!$E$22*売上前提!$H$22+売上前提!$C$24*$A16*売上前提!$E$24*売上前提!$H$24+売上前提!$C$26*$A16*B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B$13*売上前提!$H$26)+(売上前提!$J$23+売上前提!$J$25+売上前提!$J$27))*売上前提!$B$5/1000000)-経費前提!$B$27)*経費前提!$B$26-経費前提!$B$42)</f>
        <v>24.18651225</v>
      </c>
      <c r="C16" s="42" t="n">
        <f aca="false">((((売上前提!$C$22*$A16*売上前提!$E$22*売上前提!$H$22+売上前提!$C$24*$A16*売上前提!$E$24*売上前提!$H$24+売上前提!$C$26*$A16*C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C$13*売上前提!$H$26)+(売上前提!$J$23+売上前提!$J$25+売上前提!$J$27))*売上前提!$B$5/1000000)-経費前提!$B$27)*経費前提!$B$26-経費前提!$B$42)</f>
        <v>27.47801475</v>
      </c>
      <c r="D16" s="42" t="n">
        <f aca="false">((((売上前提!$C$22*$A16*売上前提!$E$22*売上前提!$H$22+売上前提!$C$24*$A16*売上前提!$E$24*売上前提!$H$24+売上前提!$C$26*$A16*D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D$13*売上前提!$H$26)+(売上前提!$J$23+売上前提!$J$25+売上前提!$J$27))*売上前提!$B$5/1000000)-経費前提!$B$27)*経費前提!$B$26-経費前提!$B$42)</f>
        <v>30.76951725</v>
      </c>
      <c r="E16" s="42" t="n">
        <f aca="false">((((売上前提!$C$22*$A16*売上前提!$E$22*売上前提!$H$22+売上前提!$C$24*$A16*売上前提!$E$24*売上前提!$H$24+売上前提!$C$26*$A16*E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E$13*売上前提!$H$26)+(売上前提!$J$23+売上前提!$J$25+売上前提!$J$27))*売上前提!$B$5/1000000)-経費前提!$B$27)*経費前提!$B$26-経費前提!$B$42)</f>
        <v>34.06101975</v>
      </c>
      <c r="F16" s="42" t="n">
        <f aca="false">((((売上前提!$C$22*$A16*売上前提!$E$22*売上前提!$H$22+売上前提!$C$24*$A16*売上前提!$E$24*売上前提!$H$24+売上前提!$C$26*$A16*F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F$13*売上前提!$H$26)+(売上前提!$J$23+売上前提!$J$25+売上前提!$J$27))*売上前提!$B$5/1000000)-経費前提!$B$27)*経費前提!$B$26-経費前提!$B$42)</f>
        <v>37.35252225</v>
      </c>
    </row>
    <row r="17" customFormat="false" ht="15" hidden="false" customHeight="false" outlineLevel="0" collapsed="false">
      <c r="A17" s="71" t="n">
        <v>0.8</v>
      </c>
      <c r="B17" s="42" t="n">
        <f aca="false">((((売上前提!$C$22*$A17*売上前提!$E$22*売上前提!$H$22+売上前提!$C$24*$A17*売上前提!$E$24*売上前提!$H$24+売上前提!$C$26*$A17*B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B$13*売上前提!$H$26)+(売上前提!$J$23+売上前提!$J$25+売上前提!$J$27))*売上前提!$B$5/1000000)-経費前提!$B$27)*経費前提!$B$26-経費前提!$B$42)</f>
        <v>26.5783374</v>
      </c>
      <c r="C17" s="42" t="n">
        <f aca="false">((((売上前提!$C$22*$A17*売上前提!$E$22*売上前提!$H$22+売上前提!$C$24*$A17*売上前提!$E$24*売上前提!$H$24+売上前提!$C$26*$A17*C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C$13*売上前提!$H$26)+(売上前提!$J$23+売上前提!$J$25+売上前提!$J$27))*売上前提!$B$5/1000000)-経費前提!$B$27)*経費前提!$B$26-経費前提!$B$42)</f>
        <v>30.0892734</v>
      </c>
      <c r="D17" s="42" t="n">
        <f aca="false">((((売上前提!$C$22*$A17*売上前提!$E$22*売上前提!$H$22+売上前提!$C$24*$A17*売上前提!$E$24*売上前提!$H$24+売上前提!$C$26*$A17*D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D$13*売上前提!$H$26)+(売上前提!$J$23+売上前提!$J$25+売上前提!$J$27))*売上前提!$B$5/1000000)-経費前提!$B$27)*経費前提!$B$26-経費前提!$B$42)</f>
        <v>33.6002094</v>
      </c>
      <c r="E17" s="42" t="n">
        <f aca="false">((((売上前提!$C$22*$A17*売上前提!$E$22*売上前提!$H$22+売上前提!$C$24*$A17*売上前提!$E$24*売上前提!$H$24+売上前提!$C$26*$A17*E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E$13*売上前提!$H$26)+(売上前提!$J$23+売上前提!$J$25+売上前提!$J$27))*売上前提!$B$5/1000000)-経費前提!$B$27)*経費前提!$B$26-経費前提!$B$42)</f>
        <v>37.1111454</v>
      </c>
      <c r="F17" s="42" t="n">
        <f aca="false">((((売上前提!$C$22*$A17*売上前提!$E$22*売上前提!$H$22+売上前提!$C$24*$A17*売上前提!$E$24*売上前提!$H$24+売上前提!$C$26*$A17*F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F$13*売上前提!$H$26)+(売上前提!$J$23+売上前提!$J$25+売上前提!$J$27))*売上前提!$B$5/1000000)-経費前提!$B$27)*経費前提!$B$26-経費前提!$B$42)</f>
        <v>40.6220814</v>
      </c>
    </row>
    <row r="18" customFormat="false" ht="15" hidden="false" customHeight="false" outlineLevel="0" collapsed="false">
      <c r="A18" s="71" t="n">
        <v>0.85</v>
      </c>
      <c r="B18" s="42" t="n">
        <f aca="false">((((売上前提!$C$22*$A18*売上前提!$E$22*売上前提!$H$22+売上前提!$C$24*$A18*売上前提!$E$24*売上前提!$H$24+売上前提!$C$26*$A18*B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B$13*売上前提!$H$26)+(売上前提!$J$23+売上前提!$J$25+売上前提!$J$27))*売上前提!$B$5/1000000)-経費前提!$B$27)*経費前提!$B$26-経費前提!$B$42)</f>
        <v>28.97016255</v>
      </c>
      <c r="C18" s="42" t="n">
        <f aca="false">((((売上前提!$C$22*$A18*売上前提!$E$22*売上前提!$H$22+売上前提!$C$24*$A18*売上前提!$E$24*売上前提!$H$24+売上前提!$C$26*$A18*C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C$13*売上前提!$H$26)+(売上前提!$J$23+売上前提!$J$25+売上前提!$J$27))*売上前提!$B$5/1000000)-経費前提!$B$27)*経費前提!$B$26-経費前提!$B$42)</f>
        <v>32.70053205</v>
      </c>
      <c r="D18" s="42" t="n">
        <f aca="false">((((売上前提!$C$22*$A18*売上前提!$E$22*売上前提!$H$22+売上前提!$C$24*$A18*売上前提!$E$24*売上前提!$H$24+売上前提!$C$26*$A18*D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D$13*売上前提!$H$26)+(売上前提!$J$23+売上前提!$J$25+売上前提!$J$27))*売上前提!$B$5/1000000)-経費前提!$B$27)*経費前提!$B$26-経費前提!$B$42)</f>
        <v>36.43090155</v>
      </c>
      <c r="E18" s="42" t="n">
        <f aca="false">((((売上前提!$C$22*$A18*売上前提!$E$22*売上前提!$H$22+売上前提!$C$24*$A18*売上前提!$E$24*売上前提!$H$24+売上前提!$C$26*$A18*E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E$13*売上前提!$H$26)+(売上前提!$J$23+売上前提!$J$25+売上前提!$J$27))*売上前提!$B$5/1000000)-経費前提!$B$27)*経費前提!$B$26-経費前提!$B$42)</f>
        <v>40.16127105</v>
      </c>
      <c r="F18" s="42" t="n">
        <f aca="false">((((売上前提!$C$22*$A18*売上前提!$E$22*売上前提!$H$22+売上前提!$C$24*$A18*売上前提!$E$24*売上前提!$H$24+売上前提!$C$26*$A18*F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F$13*売上前提!$H$26)+(売上前提!$J$23+売上前提!$J$25+売上前提!$J$27))*売上前提!$B$5/1000000)-経費前提!$B$27)*経費前提!$B$26-経費前提!$B$42)</f>
        <v>43.89164055</v>
      </c>
    </row>
    <row r="20" customFormat="false" ht="15" hidden="false" customHeight="false" outlineLevel="0" collapsed="false">
      <c r="A20" s="3" t="s">
        <v>309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6" t="s">
        <v>307</v>
      </c>
      <c r="B21" s="70" t="n">
        <v>0.7</v>
      </c>
      <c r="C21" s="70" t="n">
        <v>0.8</v>
      </c>
      <c r="D21" s="70" t="n">
        <v>0.9</v>
      </c>
      <c r="E21" s="70" t="n">
        <v>1</v>
      </c>
      <c r="F21" s="70" t="n">
        <v>1.1</v>
      </c>
    </row>
    <row r="22" customFormat="false" ht="15" hidden="false" customHeight="false" outlineLevel="0" collapsed="false">
      <c r="A22" s="71" t="n">
        <v>0.65</v>
      </c>
      <c r="B22" s="45" t="n">
        <f aca="false">IF((((売上前提!$C$22*$A22*売上前提!$E$22*売上前提!$H$22+売上前提!$C$24*$A22*売上前提!$E$24*売上前提!$H$24+売上前提!$C$26*$A22*B$21*売上前提!$H$26)+(売上前提!$J$23+売上前提!$J$25+売上前提!$J$27))*売上前提!$B$5/1000000)=0,0,((((売上前提!$C$22*$A22*売上前提!$E$22*売上前提!$H$22+売上前提!$C$24*$A22*売上前提!$E$24*売上前提!$H$24+売上前提!$C$26*$A22*B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B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B$21*売上前提!$H$26)+(売上前提!$J$23+売上前提!$J$25+売上前提!$J$27))*売上前提!$B$5/1000000))</f>
        <v>0.0577600189436825</v>
      </c>
      <c r="C22" s="45" t="n">
        <f aca="false">IF((((売上前提!$C$22*$A22*売上前提!$E$22*売上前提!$H$22+売上前提!$C$24*$A22*売上前提!$E$24*売上前提!$H$24+売上前提!$C$26*$A22*C$21*売上前提!$H$26)+(売上前提!$J$23+売上前提!$J$25+売上前提!$J$27))*売上前提!$B$5/1000000)=0,0,((((売上前提!$C$22*$A22*売上前提!$E$22*売上前提!$H$22+売上前提!$C$24*$A22*売上前提!$E$24*売上前提!$H$24+売上前提!$C$26*$A22*C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C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C$21*売上前提!$H$26)+(売上前提!$J$23+売上前提!$J$25+売上前提!$J$27))*売上前提!$B$5/1000000))</f>
        <v>0.0621895819675089</v>
      </c>
      <c r="D22" s="45" t="n">
        <f aca="false">IF((((売上前提!$C$22*$A22*売上前提!$E$22*売上前提!$H$22+売上前提!$C$24*$A22*売上前提!$E$24*売上前提!$H$24+売上前提!$C$26*$A22*D$21*売上前提!$H$26)+(売上前提!$J$23+売上前提!$J$25+売上前提!$J$27))*売上前提!$B$5/1000000)=0,0,((((売上前提!$C$22*$A22*売上前提!$E$22*売上前提!$H$22+売上前提!$C$24*$A22*売上前提!$E$24*売上前提!$H$24+売上前提!$C$26*$A22*D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D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D$21*売上前提!$H$26)+(売上前提!$J$23+売上前提!$J$25+売上前提!$J$27))*売上前提!$B$5/1000000))</f>
        <v>0.0661073112816803</v>
      </c>
      <c r="E22" s="45" t="n">
        <f aca="false">IF((((売上前提!$C$22*$A22*売上前提!$E$22*売上前提!$H$22+売上前提!$C$24*$A22*売上前提!$E$24*売上前提!$H$24+売上前提!$C$26*$A22*E$21*売上前提!$H$26)+(売上前提!$J$23+売上前提!$J$25+売上前提!$J$27))*売上前提!$B$5/1000000)=0,0,((((売上前提!$C$22*$A22*売上前提!$E$22*売上前提!$H$22+売上前提!$C$24*$A22*売上前提!$E$24*売上前提!$H$24+売上前提!$C$26*$A22*E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E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E$21*売上前提!$H$26)+(売上前提!$J$23+売上前提!$J$25+売上前提!$J$27))*売上前提!$B$5/1000000))</f>
        <v>0.0695970746286021</v>
      </c>
      <c r="F22" s="45" t="n">
        <f aca="false">IF((((売上前提!$C$22*$A22*売上前提!$E$22*売上前提!$H$22+売上前提!$C$24*$A22*売上前提!$E$24*売上前提!$H$24+売上前提!$C$26*$A22*F$21*売上前提!$H$26)+(売上前提!$J$23+売上前提!$J$25+売上前提!$J$27))*売上前提!$B$5/1000000)=0,0,((((売上前提!$C$22*$A22*売上前提!$E$22*売上前提!$H$22+売上前提!$C$24*$A22*売上前提!$E$24*売上前提!$H$24+売上前提!$C$26*$A22*F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F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F$21*売上前提!$H$26)+(売上前提!$J$23+売上前提!$J$25+売上前提!$J$27))*売上前提!$B$5/1000000))</f>
        <v>0.0727253655789501</v>
      </c>
    </row>
    <row r="23" customFormat="false" ht="15" hidden="false" customHeight="false" outlineLevel="0" collapsed="false">
      <c r="A23" s="71" t="n">
        <v>0.7</v>
      </c>
      <c r="B23" s="45" t="n">
        <f aca="false">IF((((売上前提!$C$22*$A23*売上前提!$E$22*売上前提!$H$22+売上前提!$C$24*$A23*売上前提!$E$24*売上前提!$H$24+売上前提!$C$26*$A23*B$21*売上前提!$H$26)+(売上前提!$J$23+売上前提!$J$25+売上前提!$J$27))*売上前提!$B$5/1000000)=0,0,((((売上前提!$C$22*$A23*売上前提!$E$22*売上前提!$H$22+売上前提!$C$24*$A23*売上前提!$E$24*売上前提!$H$24+売上前提!$C$26*$A23*B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B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B$21*売上前提!$H$26)+(売上前提!$J$23+売上前提!$J$25+売上前提!$J$27))*売上前提!$B$5/1000000))</f>
        <v>0.0615111929541113</v>
      </c>
      <c r="C23" s="45" t="n">
        <f aca="false">IF((((売上前提!$C$22*$A23*売上前提!$E$22*売上前提!$H$22+売上前提!$C$24*$A23*売上前提!$E$24*売上前提!$H$24+売上前提!$C$26*$A23*C$21*売上前提!$H$26)+(売上前提!$J$23+売上前提!$J$25+売上前提!$J$27))*売上前提!$B$5/1000000)=0,0,((((売上前提!$C$22*$A23*売上前提!$E$22*売上前提!$H$22+売上前提!$C$24*$A23*売上前提!$E$24*売上前提!$H$24+売上前提!$C$26*$A23*C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C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C$21*売上前提!$H$26)+(売上前提!$J$23+売上前提!$J$25+売上前提!$J$27))*売上前提!$B$5/1000000))</f>
        <v>0.0657934289904614</v>
      </c>
      <c r="D23" s="45" t="n">
        <f aca="false">IF((((売上前提!$C$22*$A23*売上前提!$E$22*売上前提!$H$22+売上前提!$C$24*$A23*売上前提!$E$24*売上前提!$H$24+売上前提!$C$26*$A23*D$21*売上前提!$H$26)+(売上前提!$J$23+売上前提!$J$25+売上前提!$J$27))*売上前提!$B$5/1000000)=0,0,((((売上前提!$C$22*$A23*売上前提!$E$22*売上前提!$H$22+売上前提!$C$24*$A23*売上前提!$E$24*売上前提!$H$24+売上前提!$C$26*$A23*D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D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D$21*売上前提!$H$26)+(売上前提!$J$23+売上前提!$J$25+売上前提!$J$27))*売上前提!$B$5/1000000))</f>
        <v>0.0695716858423908</v>
      </c>
      <c r="E23" s="45" t="n">
        <f aca="false">IF((((売上前提!$C$22*$A23*売上前提!$E$22*売上前提!$H$22+売上前提!$C$24*$A23*売上前提!$E$24*売上前提!$H$24+売上前提!$C$26*$A23*E$21*売上前提!$H$26)+(売上前提!$J$23+売上前提!$J$25+売上前提!$J$27))*売上前提!$B$5/1000000)=0,0,((((売上前提!$C$22*$A23*売上前提!$E$22*売上前提!$H$22+売上前提!$C$24*$A23*売上前提!$E$24*売上前提!$H$24+売上前提!$C$26*$A23*E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E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E$21*売上前提!$H$26)+(売上前提!$J$23+売上前提!$J$25+売上前提!$J$27))*売上前提!$B$5/1000000))</f>
        <v>0.07292998944039</v>
      </c>
      <c r="F23" s="45" t="n">
        <f aca="false">IF((((売上前提!$C$22*$A23*売上前提!$E$22*売上前提!$H$22+売上前提!$C$24*$A23*売上前提!$E$24*売上前提!$H$24+売上前提!$C$26*$A23*F$21*売上前提!$H$26)+(売上前提!$J$23+売上前提!$J$25+売上前提!$J$27))*売上前提!$B$5/1000000)=0,0,((((売上前提!$C$22*$A23*売上前提!$E$22*売上前提!$H$22+売上前提!$C$24*$A23*売上前提!$E$24*売上前提!$H$24+売上前提!$C$26*$A23*F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F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F$21*売上前提!$H$26)+(売上前提!$J$23+売上前提!$J$25+売上前提!$J$27))*売上前提!$B$5/1000000))</f>
        <v>0.0759346701797657</v>
      </c>
    </row>
    <row r="24" customFormat="false" ht="15" hidden="false" customHeight="false" outlineLevel="0" collapsed="false">
      <c r="A24" s="71" t="n">
        <v>0.75</v>
      </c>
      <c r="B24" s="45" t="n">
        <f aca="false">IF((((売上前提!$C$22*$A24*売上前提!$E$22*売上前提!$H$22+売上前提!$C$24*$A24*売上前提!$E$24*売上前提!$H$24+売上前提!$C$26*$A24*B$21*売上前提!$H$26)+(売上前提!$J$23+売上前提!$J$25+売上前提!$J$27))*売上前提!$B$5/1000000)=0,0,((((売上前提!$C$22*$A24*売上前提!$E$22*売上前提!$H$22+売上前提!$C$24*$A24*売上前提!$E$24*売上前提!$H$24+売上前提!$C$26*$A24*B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B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B$21*売上前提!$H$26)+(売上前提!$J$23+売上前提!$J$25+売上前提!$J$27))*売上前提!$B$5/1000000))</f>
        <v>0.0648920263257076</v>
      </c>
      <c r="C24" s="45" t="n">
        <f aca="false">IF((((売上前提!$C$22*$A24*売上前提!$E$22*売上前提!$H$22+売上前提!$C$24*$A24*売上前提!$E$24*売上前提!$H$24+売上前提!$C$26*$A24*C$21*売上前提!$H$26)+(売上前提!$J$23+売上前提!$J$25+売上前提!$J$27))*売上前提!$B$5/1000000)=0,0,((((売上前提!$C$22*$A24*売上前提!$E$22*売上前提!$H$22+売上前提!$C$24*$A24*売上前提!$E$24*売上前提!$H$24+売上前提!$C$26*$A24*C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C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C$21*売上前提!$H$26)+(売上前提!$J$23+売上前提!$J$25+売上前提!$J$27))*売上前提!$B$5/1000000))</f>
        <v>0.0690335471882342</v>
      </c>
      <c r="D24" s="45" t="n">
        <f aca="false">IF((((売上前提!$C$22*$A24*売上前提!$E$22*売上前提!$H$22+売上前提!$C$24*$A24*売上前提!$E$24*売上前提!$H$24+売上前提!$C$26*$A24*D$21*売上前提!$H$26)+(売上前提!$J$23+売上前提!$J$25+売上前提!$J$27))*売上前提!$B$5/1000000)=0,0,((((売上前提!$C$22*$A24*売上前提!$E$22*売上前提!$H$22+売上前提!$C$24*$A24*売上前提!$E$24*売上前提!$H$24+売上前提!$C$26*$A24*D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D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D$21*売上前提!$H$26)+(売上前提!$J$23+売上前提!$J$25+売上前提!$J$27))*売上前提!$B$5/1000000))</f>
        <v>0.072679694180685</v>
      </c>
      <c r="E24" s="45" t="n">
        <f aca="false">IF((((売上前提!$C$22*$A24*売上前提!$E$22*売上前提!$H$22+売上前提!$C$24*$A24*売上前提!$E$24*売上前提!$H$24+売上前提!$C$26*$A24*E$21*売上前提!$H$26)+(売上前提!$J$23+売上前提!$J$25+売上前提!$J$27))*売上前提!$B$5/1000000)=0,0,((((売上前提!$C$22*$A24*売上前提!$E$22*売上前提!$H$22+売上前提!$C$24*$A24*売上前提!$E$24*売上前提!$H$24+売上前提!$C$26*$A24*E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E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E$21*売上前提!$H$26)+(売上前提!$J$23+売上前提!$J$25+売上前提!$J$27))*売上前提!$B$5/1000000))</f>
        <v>0.0759143304792204</v>
      </c>
      <c r="F24" s="45" t="n">
        <f aca="false">IF((((売上前提!$C$22*$A24*売上前提!$E$22*売上前提!$H$22+売上前提!$C$24*$A24*売上前提!$E$24*売上前提!$H$24+売上前提!$C$26*$A24*F$21*売上前提!$H$26)+(売上前提!$J$23+売上前提!$J$25+売上前提!$J$27))*売上前提!$B$5/1000000)=0,0,((((売上前提!$C$22*$A24*売上前提!$E$22*売上前提!$H$22+売上前提!$C$24*$A24*売上前提!$E$24*売上前提!$H$24+売上前提!$C$26*$A24*F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F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F$21*売上前提!$H$26)+(売上前提!$J$23+売上前提!$J$25+売上前提!$J$27))*売上前提!$B$5/1000000))</f>
        <v>0.078803400532694</v>
      </c>
    </row>
    <row r="25" customFormat="false" ht="15" hidden="false" customHeight="false" outlineLevel="0" collapsed="false">
      <c r="A25" s="71" t="n">
        <v>0.8</v>
      </c>
      <c r="B25" s="45" t="n">
        <f aca="false">IF((((売上前提!$C$22*$A25*売上前提!$E$22*売上前提!$H$22+売上前提!$C$24*$A25*売上前提!$E$24*売上前提!$H$24+売上前提!$C$26*$A25*B$21*売上前提!$H$26)+(売上前提!$J$23+売上前提!$J$25+売上前提!$J$27))*売上前提!$B$5/1000000)=0,0,((((売上前提!$C$22*$A25*売上前提!$E$22*売上前提!$H$22+売上前提!$C$24*$A25*売上前提!$E$24*売上前提!$H$24+売上前提!$C$26*$A25*B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B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B$21*売上前提!$H$26)+(売上前提!$J$23+売上前提!$J$25+売上前提!$J$27))*売上前提!$B$5/1000000))</f>
        <v>0.0679547828509443</v>
      </c>
      <c r="C25" s="45" t="n">
        <f aca="false">IF((((売上前提!$C$22*$A25*売上前提!$E$22*売上前提!$H$22+売上前提!$C$24*$A25*売上前提!$E$24*売上前提!$H$24+売上前提!$C$26*$A25*C$21*売上前提!$H$26)+(売上前提!$J$23+売上前提!$J$25+売上前提!$J$27))*売上前提!$B$5/1000000)=0,0,((((売上前提!$C$22*$A25*売上前提!$E$22*売上前提!$H$22+売上前提!$C$24*$A25*売上前提!$E$24*売上前提!$H$24+売上前提!$C$26*$A25*C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C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C$21*売上前提!$H$26)+(売上前提!$J$23+売上前提!$J$25+売上前提!$J$27))*売上前提!$B$5/1000000))</f>
        <v>0.07196235682338</v>
      </c>
      <c r="D25" s="45" t="n">
        <f aca="false">IF((((売上前提!$C$22*$A25*売上前提!$E$22*売上前提!$H$22+売上前提!$C$24*$A25*売上前提!$E$24*売上前提!$H$24+売上前提!$C$26*$A25*D$21*売上前提!$H$26)+(売上前提!$J$23+売上前提!$J$25+売上前提!$J$27))*売上前提!$B$5/1000000)=0,0,((((売上前提!$C$22*$A25*売上前提!$E$22*売上前提!$H$22+売上前提!$C$24*$A25*売上前提!$E$24*売上前提!$H$24+売上前提!$C$26*$A25*D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D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D$21*売上前提!$H$26)+(売上前提!$J$23+売上前提!$J$25+売上前提!$J$27))*売上前提!$B$5/1000000))</f>
        <v>0.0754836334305763</v>
      </c>
      <c r="E25" s="45" t="n">
        <f aca="false">IF((((売上前提!$C$22*$A25*売上前提!$E$22*売上前提!$H$22+売上前提!$C$24*$A25*売上前提!$E$24*売上前提!$H$24+売上前提!$C$26*$A25*E$21*売上前提!$H$26)+(売上前提!$J$23+売上前提!$J$25+売上前提!$J$27))*売上前提!$B$5/1000000)=0,0,((((売上前提!$C$22*$A25*売上前提!$E$22*売上前提!$H$22+売上前提!$C$24*$A25*売上前提!$E$24*売上前提!$H$24+売上前提!$C$26*$A25*E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E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E$21*売上前提!$H$26)+(売上前提!$J$23+売上前提!$J$25+売上前提!$J$27))*売上前提!$B$5/1000000))</f>
        <v>0.0786020638218892</v>
      </c>
      <c r="F25" s="45" t="n">
        <f aca="false">IF((((売上前提!$C$22*$A25*売上前提!$E$22*売上前提!$H$22+売上前提!$C$24*$A25*売上前提!$E$24*売上前提!$H$24+売上前提!$C$26*$A25*F$21*売上前提!$H$26)+(売上前提!$J$23+売上前提!$J$25+売上前提!$J$27))*売上前提!$B$5/1000000)=0,0,((((売上前提!$C$22*$A25*売上前提!$E$22*売上前提!$H$22+売上前提!$C$24*$A25*売上前提!$E$24*売上前提!$H$24+売上前提!$C$26*$A25*F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F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F$21*売上前提!$H$26)+(売上前提!$J$23+売上前提!$J$25+売上前提!$J$27))*売上前提!$B$5/1000000))</f>
        <v>0.0813830380714867</v>
      </c>
    </row>
    <row r="26" customFormat="false" ht="15" hidden="false" customHeight="false" outlineLevel="0" collapsed="false">
      <c r="A26" s="71" t="n">
        <v>0.85</v>
      </c>
      <c r="B26" s="45" t="n">
        <f aca="false">IF((((売上前提!$C$22*$A26*売上前提!$E$22*売上前提!$H$22+売上前提!$C$24*$A26*売上前提!$E$24*売上前提!$H$24+売上前提!$C$26*$A26*B$21*売上前提!$H$26)+(売上前提!$J$23+売上前提!$J$25+売上前提!$J$27))*売上前提!$B$5/1000000)=0,0,((((売上前提!$C$22*$A26*売上前提!$E$22*売上前提!$H$22+売上前提!$C$24*$A26*売上前提!$E$24*売上前提!$H$24+売上前提!$C$26*$A26*B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B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B$21*売上前提!$H$26)+(売上前提!$J$23+売上前提!$J$25+売上前提!$J$27))*売上前提!$B$5/1000000))</f>
        <v>0.070742333946947</v>
      </c>
      <c r="C26" s="45" t="n">
        <f aca="false">IF((((売上前提!$C$22*$A26*売上前提!$E$22*売上前提!$H$22+売上前提!$C$24*$A26*売上前提!$E$24*売上前提!$H$24+売上前提!$C$26*$A26*C$21*売上前提!$H$26)+(売上前提!$J$23+売上前提!$J$25+売上前提!$J$27))*売上前提!$B$5/1000000)=0,0,((((売上前提!$C$22*$A26*売上前提!$E$22*売上前提!$H$22+売上前提!$C$24*$A26*売上前提!$E$24*売上前提!$H$24+売上前提!$C$26*$A26*C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C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C$21*売上前提!$H$26)+(売上前提!$J$23+売上前提!$J$25+売上前提!$J$27))*売上前提!$B$5/1000000))</f>
        <v>0.0746226668687151</v>
      </c>
      <c r="D26" s="45" t="n">
        <f aca="false">IF((((売上前提!$C$22*$A26*売上前提!$E$22*売上前提!$H$22+売上前提!$C$24*$A26*売上前提!$E$24*売上前提!$H$24+売上前提!$C$26*$A26*D$21*売上前提!$H$26)+(売上前提!$J$23+売上前提!$J$25+売上前提!$J$27))*売上前提!$B$5/1000000)=0,0,((((売上前提!$C$22*$A26*売上前提!$E$22*売上前提!$H$22+売上前提!$C$24*$A26*売上前提!$E$24*売上前提!$H$24+売上前提!$C$26*$A26*D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D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D$21*売上前提!$H$26)+(売上前提!$J$23+売上前提!$J$25+売上前提!$J$27))*売上前提!$B$5/1000000))</f>
        <v>0.0780260450618494</v>
      </c>
      <c r="E26" s="45" t="n">
        <f aca="false">IF((((売上前提!$C$22*$A26*売上前提!$E$22*売上前提!$H$22+売上前提!$C$24*$A26*売上前提!$E$24*売上前提!$H$24+売上前提!$C$26*$A26*E$21*売上前提!$H$26)+(売上前提!$J$23+売上前提!$J$25+売上前提!$J$27))*売上前提!$B$5/1000000)=0,0,((((売上前提!$C$22*$A26*売上前提!$E$22*売上前提!$H$22+売上前提!$C$24*$A26*売上前提!$E$24*売上前提!$H$24+売上前提!$C$26*$A26*E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E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E$21*売上前提!$H$26)+(売上前提!$J$23+売上前提!$J$25+売上前提!$J$27))*売上前提!$B$5/1000000))</f>
        <v>0.0810353149543347</v>
      </c>
      <c r="F26" s="45" t="n">
        <f aca="false">IF((((売上前提!$C$22*$A26*売上前提!$E$22*売上前提!$H$22+売上前提!$C$24*$A26*売上前提!$E$24*売上前提!$H$24+売上前提!$C$26*$A26*F$21*売上前提!$H$26)+(売上前提!$J$23+売上前提!$J$25+売上前提!$J$27))*売上前提!$B$5/1000000)=0,0,((((売上前提!$C$22*$A26*売上前提!$E$22*売上前提!$H$22+売上前提!$C$24*$A26*売上前提!$E$24*売上前提!$H$24+売上前提!$C$26*$A26*F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F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F$21*売上前提!$H$26)+(売上前提!$J$23+売上前提!$J$25+売上前提!$J$27))*売上前提!$B$5/1000000))</f>
        <v>0.0837151860051293</v>
      </c>
    </row>
    <row r="28" customFormat="false" ht="15" hidden="false" customHeight="false" outlineLevel="0" collapsed="false">
      <c r="A28" s="46" t="s">
        <v>310</v>
      </c>
    </row>
  </sheetData>
  <conditionalFormatting sqref="B6:F10">
    <cfRule type="expression" priority="2" aboveAverage="0" equalAverage="0" bottom="0" percent="0" rank="0" text="" dxfId="0">
      <formula>AND(ROUND($A6,4)=ROUND(売上前提!$D$22,4),ROUND(B$5,4)=ROUND(売上前提!$E$26,4))</formula>
    </cfRule>
  </conditionalFormatting>
  <conditionalFormatting sqref="B14:F18">
    <cfRule type="expression" priority="3" aboveAverage="0" equalAverage="0" bottom="0" percent="0" rank="0" text="" dxfId="0">
      <formula>AND(ROUND($A14,4)=ROUND(売上前提!$D$22,4),ROUND(B$13,4)=ROUND(売上前提!$E$26,4))</formula>
    </cfRule>
  </conditionalFormatting>
  <conditionalFormatting sqref="B22:F26">
    <cfRule type="expression" priority="4" aboveAverage="0" equalAverage="0" bottom="0" percent="0" rank="0" text="" dxfId="0">
      <formula>AND(ROUND($A22,4)=ROUND(売上前提!$D$22,4),ROUND(B$21,4)=ROUND(売上前提!$E$26,4))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2026-10-16T07:07:56Z</dcterms:created>
  <dc:creator>openpyxl</dc:creator>
  <dc:description/>
  <dc:language>en-US</dc:language>
  <cp:lastModifiedBy/>
  <dcterms:modified xsi:type="dcterms:W3CDTF">2026-10-16T07:07:56Z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