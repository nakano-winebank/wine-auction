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<sst xmlns="http://schemas.openxmlformats.org/spreadsheetml/2006/main" count="472" uniqueCount="261">
  <si>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</si>
  <si>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</si>
  <si>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</si>
  <si>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</si>
  <si>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</si>
  <si>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</si>
  <si>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</si>
  <si>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</si>
  <si>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</si>
  <si>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</si>
  <si>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</si>
  <si>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</si>
  <si>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</si>
  <si>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</si>
  <si>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</si>
  <si>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</si>
  <si>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</si>
  <si>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</si>
  <si>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</si>
  <si>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</si>
  <si>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</si>
  <si>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</si>
  <si>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</si>
  <si>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</si>
  <si>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</si>
  <si>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</si>
  <si>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</si>
  <si>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</si>
  <si>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</si>
  <si>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</si>
  <si>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</si>
  <si>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</si>
  <si>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</si>
  <si>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</si>
  <si>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</si>
  <si>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</si>
  <si>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</si>
  <si>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</si>
  <si>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</si>
  <si>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</si>
  <si>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</si>
  <si>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</si>
  <si>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</si>
  <si>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</si>
  <si>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</si>
  <si>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</si>
  <si>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</si>
  <si>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WenQuanYi Zen Hei"/>
        <family val="2"/>
      </rPr>
      <t xml:space="preserve">調達額 計（既存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億＋今回</t>
    </r>
    <r>
      <rPr>
        <sz val="10"/>
        <color rgb="FF000000"/>
        <rFont val="Meiryo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億）</t>
    </r>
  </si>
  <si>
    <t xml:space="preserve">過不足（マイナスが不足）</t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</si>
  <si>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</si>
  <si>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</si>
  <si>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</si>
  <si>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</si>
  <si>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</si>
  <si>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</si>
  <si>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</si>
  <si>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</si>
  <si>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</si>
  <si>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</si>
  <si>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</si>
  <si>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</si>
  <si>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</si>
  <si>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</si>
  <si>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</si>
  <si>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月時点：店内</t>
    </r>
    <r>
      <rPr>
        <sz val="9"/>
        <color rgb="FF7F7F7F"/>
        <rFont val="Meiryo"/>
        <family val="0"/>
        <charset val="1"/>
      </rPr>
      <t xml:space="preserve">63</t>
    </r>
    <r>
      <rPr>
        <sz val="9"/>
        <color rgb="FF7F7F7F"/>
        <rFont val="WenQuanYi Zen Hei"/>
        <family val="2"/>
      </rPr>
      <t xml:space="preserve">席＋テラス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115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</si>
  <si>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</si>
  <si>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</si>
  <si>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</si>
  <si>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</si>
  <si>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</si>
  <si>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</si>
  <si>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</si>
  <si>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</si>
  <si>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</si>
  <si>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</si>
  <si>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</si>
  <si>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</si>
  <si>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</si>
  <si>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</si>
  <si>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</si>
  <si>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</si>
  <si>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</si>
  <si>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</si>
  <si>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</si>
  <si>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</si>
  <si>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</si>
  <si>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</si>
  <si>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</si>
  <si>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</si>
  <si>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</si>
  <si>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</si>
  <si>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</si>
  <si>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</si>
  <si>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</si>
  <si>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</si>
  <si>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</si>
  <si>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</si>
  <si>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</si>
  <si>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</si>
  <si>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</si>
  <si>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</si>
  <si>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</si>
  <si>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</si>
  <si>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</si>
  <si>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</si>
  <si>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</si>
  <si>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</si>
  <si>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</si>
  <si>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</si>
  <si>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</si>
  <si>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</si>
  <si>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</si>
  <si>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</si>
  <si>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</si>
  <si>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</si>
  <si>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</si>
  <si>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</si>
  <si>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</si>
  <si>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</si>
  <si>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</si>
  <si>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</si>
  <si>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</si>
  <si>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</si>
  <si>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</si>
  <si>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</si>
  <si>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</si>
  <si>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</si>
  <si>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</si>
  <si>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</si>
  <si>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</si>
  <si>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</si>
  <si>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</si>
  <si>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</si>
  <si>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</si>
  <si>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</si>
  <si>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</si>
  <si>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</si>
  <si>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</si>
  <si>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</si>
  <si>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</si>
  <si>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</si>
  <si>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</si>
  <si>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</si>
  <si>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</si>
  <si>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</si>
  <si>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</si>
  <si>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</si>
  <si>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</si>
  <si>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</si>
  <si>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</si>
  <si>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</si>
  <si>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</si>
  <si>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</si>
  <si>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</si>
  <si>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</si>
  <si>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</si>
  <si>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</si>
  <si>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</si>
  <si>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</si>
  <si>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</si>
  <si>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</si>
  <si>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</si>
  <si>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</si>
  <si>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</si>
  <si>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</si>
  <si>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</si>
  <si>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</si>
  <si>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</si>
  <si>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</si>
  <si>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</si>
  <si>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</si>
  <si>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</si>
  <si>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</si>
  <si>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</si>
  <si>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</si>
  <si>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</si>
  <si>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</si>
  <si>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</si>
  <si>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sz val="10"/>
        <color rgb="FF000000"/>
        <rFont val="WenQuanYi Zen Hei"/>
        <family val="2"/>
      </rPr>
      <t xml:space="preserve">年間分割弁済額／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</si>
  <si>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月額合計</t>
    </r>
    <r>
      <rPr>
        <sz val="9"/>
        <color rgb="FF7F7F7F"/>
        <rFont val="Meiryo"/>
        <family val="0"/>
        <charset val="1"/>
      </rPr>
      <t xml:space="preserve">1,296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</t>
    </r>
    <r>
      <rPr>
        <sz val="9"/>
        <color rgb="FF7F7F7F"/>
        <rFont val="WenQuanYi Zen Hei"/>
        <family val="2"/>
      </rPr>
      <t xml:space="preserve">か月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</si>
  <si>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</si>
  <si>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</si>
  <si>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</si>
  <si>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</si>
  <si>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</si>
  <si>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</si>
  <si>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</si>
  <si>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</si>
  <si>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</si>
  <si>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</si>
  <si>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</si>
  <si>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</si>
  <si>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</si>
  <si>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</si>
  <si>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</si>
  <si>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</si>
  <si>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</si>
  <si>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</si>
  <si>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</si>
  <si>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</si>
  <si>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</si>
  <si>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</si>
  <si>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</si>
  <si>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</si>
  <si>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</si>
  <si>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</si>
  <si>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</si>
  <si>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</si>
  <si>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</si>
  <si>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</si>
  <si>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</si>
  <si>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</si>
  <si>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</si>
  <si>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</si>
  <si>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</si>
  <si>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</si>
  <si>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</si>
  <si>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</si>
  <si>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</si>
  <si>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</si>
  <si>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</si>
  <si>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</si>
  <si>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</si>
  <si>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</si>
  <si>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</si>
  <si>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</si>
  <si>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</si>
  <si>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</si>
  <si>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</si>
  <si>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</si>
  <si>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</si>
  <si>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</si>
  <si>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</si>
  <si>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</si>
  <si>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</si>
  <si>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</si>
  <si>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</si>
  <si>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</si>
  <si>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</si>
  <si>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</si>
  <si>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</si>
  <si>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</si>
  <si>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</si>
  <si>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</si>
  <si>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</si>
  <si>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</si>
  <si>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</si>
  <si>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既存調達額（エクイティ＋デット）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</si>
  <si>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億調達済み」</t>
    </r>
  </si>
  <si>
    <r>
      <rPr>
        <sz val="10"/>
        <color rgb="FF000000"/>
        <rFont val="WenQuanYi Zen Hei"/>
        <family val="2"/>
      </rPr>
      <t xml:space="preserve">第三者割当①（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月）</t>
    </r>
  </si>
  <si>
    <r>
      <rPr>
        <sz val="9"/>
        <color rgb="FF7F7F7F"/>
        <rFont val="Meiryo"/>
        <family val="0"/>
        <charset val="1"/>
      </rPr>
      <t xml:space="preserve">Pre3</t>
    </r>
    <r>
      <rPr>
        <sz val="9"/>
        <color rgb="FF7F7F7F"/>
        <rFont val="WenQuanYi Zen Hei"/>
        <family val="2"/>
      </rPr>
      <t xml:space="preserve">億・</t>
    </r>
    <r>
      <rPr>
        <sz val="9"/>
        <color rgb="FF7F7F7F"/>
        <rFont val="Meiryo"/>
        <family val="0"/>
        <charset val="1"/>
      </rPr>
      <t xml:space="preserve">Post4.5</t>
    </r>
    <r>
      <rPr>
        <sz val="9"/>
        <color rgb="FF7F7F7F"/>
        <rFont val="WenQuanYi Zen Hei"/>
        <family val="2"/>
      </rPr>
      <t xml:space="preserve">億</t>
    </r>
  </si>
  <si>
    <t xml:space="preserve">調達額　計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</si>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</sst>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115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63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52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428.6258625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428.6258625</v>
      </c>
      <c r="C19" s="9" t="n">
        <f aca="false">単店PL!C6</f>
        <v>385.76327625</v>
      </c>
      <c r="D19" s="9" t="n">
        <f aca="false">単店PL!D6</f>
        <v>420.05334525</v>
      </c>
      <c r="E19" s="9" t="n">
        <f aca="false">単店PL!E6</f>
        <v>428.6258625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116.5862346</v>
      </c>
      <c r="C20" s="9" t="n">
        <f aca="false">単店PL!C16</f>
        <v>104.92761114</v>
      </c>
      <c r="D20" s="9" t="n">
        <f aca="false">単店PL!D16</f>
        <v>120.1352567415</v>
      </c>
      <c r="E20" s="9" t="n">
        <f aca="false">単店PL!E16</f>
        <v>128.58775875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52.279362125</v>
      </c>
      <c r="C21" s="11" t="n">
        <f aca="false">単店PL!C22</f>
        <v>46.7072259125</v>
      </c>
      <c r="D21" s="11" t="n">
        <f aca="false">単店PL!D22</f>
        <v>57.045681716</v>
      </c>
      <c r="E21" s="11" t="n">
        <f aca="false">単店PL!E22</f>
        <v>64.280886275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20.825</v>
      </c>
      <c r="C22" s="9" t="n">
        <f aca="false">単店PL!C23</f>
        <v>20.825</v>
      </c>
      <c r="D22" s="9" t="n">
        <f aca="false">単店PL!D23</f>
        <v>20.825</v>
      </c>
      <c r="E22" s="9" t="n">
        <f aca="false">単店PL!E23</f>
        <v>20.825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31.454362125</v>
      </c>
      <c r="C23" s="11" t="n">
        <f aca="false">単店PL!C24</f>
        <v>25.8822259125</v>
      </c>
      <c r="D23" s="11" t="n">
        <f aca="false">単店PL!D24</f>
        <v>36.220681716</v>
      </c>
      <c r="E23" s="11" t="n">
        <f aca="false">単店PL!E24</f>
        <v>43.455886275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0.121969686616845</v>
      </c>
      <c r="C24" s="17" t="n">
        <f aca="false">IF(単店PL!C6=0,0,単店PL!C22/単店PL!C6)</f>
        <v>0.121077429574273</v>
      </c>
      <c r="D24" s="17" t="n">
        <f aca="false">IF(単店PL!D6=0,0,単店PL!D22/単店PL!D6)</f>
        <v>0.13580580267025</v>
      </c>
      <c r="E24" s="17" t="n">
        <f aca="false">IF(単店PL!E6=0,0,単店PL!E22/単店PL!E6)</f>
        <v>0.149969686616845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0.0733841909154513</v>
      </c>
      <c r="C25" s="17" t="n">
        <f aca="false">IF(単店PL!C6=0,0,単店PL!C24/単店PL!C6)</f>
        <v>0.0670935454616127</v>
      </c>
      <c r="D25" s="17" t="n">
        <f aca="false">IF(単店PL!D6=0,0,単店PL!D24/単店PL!D6)</f>
        <v>0.0862287662402565</v>
      </c>
      <c r="E25" s="17" t="n">
        <f aca="false">IF(単店PL!E6=0,0,単店PL!E24/単店PL!E6)</f>
        <v>0.101384190915451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385.76327625</v>
      </c>
      <c r="D30" s="19" t="n">
        <f aca="false">連結PL!D5</f>
        <v>902.2574405625</v>
      </c>
      <c r="E30" s="19" t="n">
        <f aca="false">連結PL!E5</f>
        <v>1750.9366483125</v>
      </c>
      <c r="F30" s="19" t="n">
        <f aca="false">連結PL!F5</f>
        <v>2608.1883733125</v>
      </c>
      <c r="G30" s="19" t="n">
        <f aca="false">連結PL!G5</f>
        <v>3465.4400983125</v>
      </c>
      <c r="H30" s="20" t="n">
        <f aca="false">連結PL!H5</f>
        <v>9112.58583675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31.7072259125</v>
      </c>
      <c r="D31" s="21" t="n">
        <f aca="false">連結PL!D21</f>
        <v>87.4297141066251</v>
      </c>
      <c r="E31" s="21" t="n">
        <f aca="false">連結PL!E21</f>
        <v>196.756282097625</v>
      </c>
      <c r="F31" s="21" t="n">
        <f aca="false">連結PL!F21</f>
        <v>317.318054647625</v>
      </c>
      <c r="G31" s="21" t="n">
        <f aca="false">連結PL!G21</f>
        <v>438.879827197625</v>
      </c>
      <c r="H31" s="20" t="n">
        <f aca="false">連結PL!H21</f>
        <v>1072.091103962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0.0821934794331009</v>
      </c>
      <c r="D32" s="22" t="n">
        <f aca="false">連結PL!D22</f>
        <v>0.0969010729932227</v>
      </c>
      <c r="E32" s="22" t="n">
        <f aca="false">連結PL!E22</f>
        <v>0.112372016593092</v>
      </c>
      <c r="F32" s="22" t="n">
        <f aca="false">連結PL!F22</f>
        <v>0.121662245677684</v>
      </c>
      <c r="G32" s="22" t="n">
        <f aca="false">連結PL!G22</f>
        <v>0.126644759322586</v>
      </c>
      <c r="H32" s="23" t="n">
        <f aca="false">連結PL!H22</f>
        <v>0.117649493038341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10.8822259125</v>
      </c>
      <c r="D33" s="21" t="n">
        <f aca="false">連結PL!D24</f>
        <v>40.5734641066251</v>
      </c>
      <c r="E33" s="21" t="n">
        <f aca="false">連結PL!E24</f>
        <v>108.875032097625</v>
      </c>
      <c r="F33" s="21" t="n">
        <f aca="false">連結PL!F24</f>
        <v>188.786804647625</v>
      </c>
      <c r="G33" s="21" t="n">
        <f aca="false">連結PL!G24</f>
        <v>269.698577197625</v>
      </c>
      <c r="H33" s="20" t="n">
        <f aca="false">連結PL!H24</f>
        <v>618.816103962001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0.028209595320441</v>
      </c>
      <c r="D34" s="22" t="n">
        <f aca="false">連結PL!D25</f>
        <v>0.0449688329323504</v>
      </c>
      <c r="E34" s="22" t="n">
        <f aca="false">連結PL!E25</f>
        <v>0.0621810230556061</v>
      </c>
      <c r="F34" s="22" t="n">
        <f aca="false">連結PL!F25</f>
        <v>0.072382350362163</v>
      </c>
      <c r="G34" s="22" t="n">
        <f aca="false">連結PL!G25</f>
        <v>0.0778252024407969</v>
      </c>
      <c r="H34" s="23" t="n">
        <f aca="false">連結PL!H25</f>
        <v>0.0679078491053974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FY2029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25" t="str">
        <f aca="false">投資・CF!B13</f>
        <v>4年目</v>
      </c>
    </row>
    <row r="42" customFormat="false" ht="15" hidden="false" customHeight="false" outlineLevel="0" collapsed="false">
      <c r="A42" s="15" t="s">
        <v>43</v>
      </c>
      <c r="B42" s="8" t="n">
        <f aca="false">投資・CF!B14</f>
        <v>3.76243899683398</v>
      </c>
    </row>
    <row r="43" customFormat="false" ht="15" hidden="false" customHeight="false" outlineLevel="0" collapsed="false">
      <c r="A43" s="4" t="s">
        <v>44</v>
      </c>
      <c r="B43" s="9" t="n">
        <f aca="false">投資・CF!H22</f>
        <v>-2325.25</v>
      </c>
    </row>
    <row r="44" customFormat="false" ht="15" hidden="false" customHeight="false" outlineLevel="0" collapsed="false">
      <c r="A44" s="4" t="s">
        <v>45</v>
      </c>
      <c r="B44" s="9" t="n">
        <f aca="false">投資・CF!H24</f>
        <v>-1075.15</v>
      </c>
    </row>
    <row r="45" customFormat="false" ht="15" hidden="false" customHeight="false" outlineLevel="0" collapsed="false">
      <c r="A45" s="4" t="s">
        <v>46</v>
      </c>
      <c r="B45" s="9" t="n">
        <f aca="false">投資・CF!B34</f>
        <v>534.473981264937</v>
      </c>
    </row>
    <row r="46" customFormat="false" ht="15" hidden="false" customHeight="false" outlineLevel="0" collapsed="false">
      <c r="A46" s="4" t="s">
        <v>47</v>
      </c>
      <c r="B46" s="9" t="n">
        <f aca="false">投資・CF!B37</f>
        <v>350</v>
      </c>
    </row>
    <row r="47" customFormat="false" ht="15" hidden="false" customHeight="false" outlineLevel="0" collapsed="false">
      <c r="A47" s="10" t="s">
        <v>48</v>
      </c>
      <c r="B47" s="11" t="n">
        <f aca="false">投資・CF!B38</f>
        <v>-184.473981264937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52</v>
      </c>
    </row>
    <row r="6" customFormat="false" ht="15" hidden="false" customHeight="false" outlineLevel="0" collapsed="false">
      <c r="A6" s="27" t="s">
        <v>53</v>
      </c>
      <c r="B6" s="29" t="n">
        <v>0.9</v>
      </c>
      <c r="N6" s="2" t="s">
        <v>54</v>
      </c>
    </row>
    <row r="7" customFormat="false" ht="15" hidden="false" customHeight="false" outlineLevel="0" collapsed="false">
      <c r="A7" s="27" t="s">
        <v>55</v>
      </c>
      <c r="B7" s="29" t="n">
        <v>0.98</v>
      </c>
      <c r="N7" s="2"/>
    </row>
    <row r="8" customFormat="false" ht="15" hidden="false" customHeight="false" outlineLevel="0" collapsed="false">
      <c r="A8" s="27" t="s">
        <v>56</v>
      </c>
      <c r="B8" s="29" t="n">
        <v>1</v>
      </c>
      <c r="N8" s="2" t="s">
        <v>57</v>
      </c>
    </row>
    <row r="9" customFormat="false" ht="15" hidden="false" customHeight="false" outlineLevel="0" collapsed="false">
      <c r="A9" s="27" t="s">
        <v>58</v>
      </c>
      <c r="B9" s="28" t="n">
        <v>7.5</v>
      </c>
      <c r="N9" s="30" t="s">
        <v>59</v>
      </c>
    </row>
    <row r="10" customFormat="false" ht="15" hidden="false" customHeight="false" outlineLevel="0" collapsed="false">
      <c r="A10" s="31" t="s">
        <v>60</v>
      </c>
      <c r="B10" s="28" t="n">
        <v>12</v>
      </c>
      <c r="N10" s="30" t="s">
        <v>61</v>
      </c>
    </row>
    <row r="12" customFormat="false" ht="15" hidden="false" customHeight="false" outlineLevel="0" collapsed="false">
      <c r="A12" s="3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63</v>
      </c>
      <c r="B13" s="32" t="n">
        <v>14</v>
      </c>
      <c r="N13" s="30" t="s">
        <v>64</v>
      </c>
    </row>
    <row r="14" customFormat="false" ht="15" hidden="false" customHeight="false" outlineLevel="0" collapsed="false">
      <c r="A14" s="27" t="s">
        <v>65</v>
      </c>
      <c r="B14" s="32" t="n">
        <v>24</v>
      </c>
    </row>
    <row r="15" customFormat="false" ht="15" hidden="false" customHeight="false" outlineLevel="0" collapsed="false">
      <c r="A15" s="27" t="s">
        <v>66</v>
      </c>
      <c r="B15" s="32" t="n">
        <v>25</v>
      </c>
    </row>
    <row r="16" customFormat="false" ht="15" hidden="false" customHeight="false" outlineLevel="0" collapsed="false">
      <c r="A16" s="33" t="s">
        <v>67</v>
      </c>
      <c r="B16" s="34" t="n">
        <f aca="false">SUM(B13:B15)</f>
        <v>63</v>
      </c>
    </row>
    <row r="17" customFormat="false" ht="15" hidden="false" customHeight="false" outlineLevel="0" collapsed="false">
      <c r="A17" s="27" t="s">
        <v>68</v>
      </c>
      <c r="B17" s="32" t="n">
        <v>52</v>
      </c>
    </row>
    <row r="18" customFormat="false" ht="15" hidden="false" customHeight="false" outlineLevel="0" collapsed="false">
      <c r="A18" s="33" t="s">
        <v>69</v>
      </c>
      <c r="B18" s="35" t="n">
        <f aca="false">B16+B17</f>
        <v>115</v>
      </c>
    </row>
    <row r="20" customFormat="false" ht="15" hidden="false" customHeight="false" outlineLevel="0" collapsed="false">
      <c r="A20" s="3" t="s">
        <v>70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71</v>
      </c>
      <c r="B21" s="36" t="s">
        <v>72</v>
      </c>
      <c r="C21" s="36" t="s">
        <v>73</v>
      </c>
      <c r="D21" s="36" t="s">
        <v>74</v>
      </c>
      <c r="E21" s="36" t="s">
        <v>75</v>
      </c>
      <c r="F21" s="36" t="s">
        <v>76</v>
      </c>
      <c r="G21" s="36" t="s">
        <v>77</v>
      </c>
      <c r="H21" s="36" t="s">
        <v>78</v>
      </c>
      <c r="I21" s="37" t="s">
        <v>79</v>
      </c>
      <c r="J21" s="36" t="s">
        <v>80</v>
      </c>
      <c r="K21" s="36" t="s">
        <v>81</v>
      </c>
      <c r="L21" s="36" t="s">
        <v>82</v>
      </c>
    </row>
    <row r="22" customFormat="false" ht="15" hidden="false" customHeight="false" outlineLevel="0" collapsed="false">
      <c r="A22" s="38" t="s">
        <v>83</v>
      </c>
      <c r="B22" s="39" t="s">
        <v>84</v>
      </c>
      <c r="C22" s="5" t="n">
        <f aca="false">$B$16</f>
        <v>63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54.3375</v>
      </c>
      <c r="J22" s="43" t="n">
        <f aca="false">I22*H22</f>
        <v>217350</v>
      </c>
      <c r="K22" s="44" t="n">
        <f aca="false">J22*$B$5/1000000</f>
        <v>78.89805</v>
      </c>
      <c r="L22" s="45" t="n">
        <f aca="false">IF($K$28=0,0,K22/$K$28)</f>
        <v>0.18407207054614</v>
      </c>
      <c r="N22" s="46" t="s">
        <v>85</v>
      </c>
    </row>
    <row r="23" customFormat="false" ht="15" hidden="false" customHeight="false" outlineLevel="0" collapsed="false">
      <c r="A23" s="38" t="s">
        <v>83</v>
      </c>
      <c r="B23" s="39" t="s">
        <v>68</v>
      </c>
      <c r="C23" s="5" t="n">
        <f aca="false">$B$17</f>
        <v>52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26</v>
      </c>
      <c r="J23" s="43" t="n">
        <f aca="false">I23*H23</f>
        <v>104000</v>
      </c>
      <c r="K23" s="44" t="n">
        <f aca="false">J23*$B$5/1000000</f>
        <v>37.752</v>
      </c>
      <c r="L23" s="45" t="n">
        <f aca="false">IF($K$28=0,0,K23/$K$28)</f>
        <v>0.0880768131437706</v>
      </c>
    </row>
    <row r="24" customFormat="false" ht="15" hidden="false" customHeight="false" outlineLevel="0" collapsed="false">
      <c r="A24" s="38" t="s">
        <v>86</v>
      </c>
      <c r="B24" s="39" t="s">
        <v>84</v>
      </c>
      <c r="C24" s="5" t="n">
        <f aca="false">$B$16</f>
        <v>63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23.625</v>
      </c>
      <c r="J24" s="43" t="n">
        <f aca="false">I24*H24</f>
        <v>59062.5</v>
      </c>
      <c r="K24" s="44" t="n">
        <f aca="false">J24*$B$5/1000000</f>
        <v>21.4396875</v>
      </c>
      <c r="L24" s="45" t="n">
        <f aca="false">IF($K$28=0,0,K24/$K$28)</f>
        <v>0.050019584387538</v>
      </c>
    </row>
    <row r="25" customFormat="false" ht="15" hidden="false" customHeight="false" outlineLevel="0" collapsed="false">
      <c r="A25" s="38" t="s">
        <v>86</v>
      </c>
      <c r="B25" s="39" t="s">
        <v>68</v>
      </c>
      <c r="C25" s="5" t="n">
        <f aca="false">$B$17</f>
        <v>52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13</v>
      </c>
      <c r="J25" s="43" t="n">
        <f aca="false">I25*H25</f>
        <v>32500</v>
      </c>
      <c r="K25" s="44" t="n">
        <f aca="false">J25*$B$5/1000000</f>
        <v>11.7975</v>
      </c>
      <c r="L25" s="45" t="n">
        <f aca="false">IF($K$28=0,0,K25/$K$28)</f>
        <v>0.0275240041074283</v>
      </c>
    </row>
    <row r="26" customFormat="false" ht="15" hidden="false" customHeight="false" outlineLevel="0" collapsed="false">
      <c r="A26" s="38" t="s">
        <v>87</v>
      </c>
      <c r="B26" s="39" t="s">
        <v>84</v>
      </c>
      <c r="C26" s="5" t="n">
        <f aca="false">$B$16</f>
        <v>63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42.525</v>
      </c>
      <c r="J26" s="43" t="n">
        <f aca="false">I26*H26</f>
        <v>637875</v>
      </c>
      <c r="K26" s="44" t="n">
        <f aca="false">J26*$B$5/1000000</f>
        <v>231.548625</v>
      </c>
      <c r="L26" s="45" t="n">
        <f aca="false">IF($K$28=0,0,K26/$K$28)</f>
        <v>0.54021151138541</v>
      </c>
    </row>
    <row r="27" customFormat="false" ht="15" hidden="false" customHeight="false" outlineLevel="0" collapsed="false">
      <c r="A27" s="38" t="s">
        <v>87</v>
      </c>
      <c r="B27" s="39" t="s">
        <v>68</v>
      </c>
      <c r="C27" s="5" t="n">
        <f aca="false">$B$17</f>
        <v>52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13</v>
      </c>
      <c r="J27" s="43" t="n">
        <f aca="false">I27*H27</f>
        <v>130000</v>
      </c>
      <c r="K27" s="44" t="n">
        <f aca="false">J27*$B$5/1000000</f>
        <v>47.19</v>
      </c>
      <c r="L27" s="45" t="n">
        <f aca="false">IF($K$28=0,0,K27/$K$28)</f>
        <v>0.110096016429713</v>
      </c>
    </row>
    <row r="28" customFormat="false" ht="15" hidden="false" customHeight="false" outlineLevel="0" collapsed="false">
      <c r="A28" s="10" t="s">
        <v>69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172.4875</v>
      </c>
      <c r="J28" s="49" t="n">
        <f aca="false">SUM(J22:J27)</f>
        <v>1180787.5</v>
      </c>
      <c r="K28" s="50" t="n">
        <f aca="false">SUM(K22:K27)</f>
        <v>428.6258625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88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89</v>
      </c>
      <c r="B30" s="42" t="n">
        <f aca="false">SUMPRODUCT(I22:I27,F22:F27)*$B$5/1000000</f>
        <v>269.954025</v>
      </c>
    </row>
    <row r="31" customFormat="false" ht="15" hidden="false" customHeight="false" outlineLevel="0" collapsed="false">
      <c r="A31" s="27" t="s">
        <v>90</v>
      </c>
      <c r="B31" s="42" t="n">
        <f aca="false">SUMPRODUCT(I22:I27,G22:G27)*$B$5/1000000</f>
        <v>158.6718375</v>
      </c>
    </row>
    <row r="32" customFormat="false" ht="15" hidden="false" customHeight="false" outlineLevel="0" collapsed="false">
      <c r="A32" s="33" t="s">
        <v>69</v>
      </c>
      <c r="B32" s="48" t="n">
        <f aca="false">B30+B31</f>
        <v>428.6258625</v>
      </c>
    </row>
    <row r="33" customFormat="false" ht="15" hidden="false" customHeight="false" outlineLevel="0" collapsed="false">
      <c r="A33" s="27" t="s">
        <v>91</v>
      </c>
      <c r="B33" s="45" t="n">
        <f aca="false">IF($B$32=0,0,B30/$B$32)</f>
        <v>0.629812730910515</v>
      </c>
    </row>
    <row r="34" customFormat="false" ht="15" hidden="false" customHeight="false" outlineLevel="0" collapsed="false">
      <c r="A34" s="27" t="s">
        <v>92</v>
      </c>
      <c r="B34" s="45" t="n">
        <f aca="false">IF($B$32=0,0,B31/$B$32)</f>
        <v>0.370187269089485</v>
      </c>
    </row>
    <row r="35" customFormat="false" ht="15" hidden="false" customHeight="false" outlineLevel="0" collapsed="false">
      <c r="A35" s="3" t="s">
        <v>93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94</v>
      </c>
      <c r="B36" s="41" t="n">
        <f aca="false">J28</f>
        <v>1180787.5</v>
      </c>
      <c r="N36" s="2"/>
    </row>
    <row r="37" customFormat="false" ht="15" hidden="false" customHeight="false" outlineLevel="0" collapsed="false">
      <c r="A37" s="27" t="s">
        <v>95</v>
      </c>
      <c r="B37" s="42" t="n">
        <f aca="false">K28/12</f>
        <v>35.718821875</v>
      </c>
      <c r="N37" s="2"/>
    </row>
    <row r="38" customFormat="false" ht="15" hidden="false" customHeight="false" outlineLevel="0" collapsed="false">
      <c r="A38" s="27" t="s">
        <v>96</v>
      </c>
      <c r="B38" s="42" t="n">
        <f aca="false">K28</f>
        <v>428.6258625</v>
      </c>
      <c r="N38" s="2" t="s">
        <v>97</v>
      </c>
    </row>
    <row r="39" customFormat="false" ht="15" hidden="false" customHeight="false" outlineLevel="0" collapsed="false">
      <c r="A39" s="31" t="s">
        <v>98</v>
      </c>
      <c r="B39" s="42" t="n">
        <f aca="false">I28</f>
        <v>172.4875</v>
      </c>
      <c r="N39" s="2"/>
    </row>
    <row r="40" customFormat="false" ht="15" hidden="false" customHeight="false" outlineLevel="0" collapsed="false">
      <c r="A40" s="27" t="s">
        <v>99</v>
      </c>
      <c r="B40" s="41" t="n">
        <f aca="false">IF(I28=0,0,J28/I28)</f>
        <v>6845.64098847743</v>
      </c>
      <c r="N40" s="2"/>
    </row>
    <row r="41" customFormat="false" ht="15" hidden="false" customHeight="false" outlineLevel="0" collapsed="false">
      <c r="A41" s="27" t="s">
        <v>100</v>
      </c>
      <c r="B41" s="52" t="n">
        <f aca="false">IF($B$18=0,0,I28/$B$18)</f>
        <v>1.49989130434783</v>
      </c>
      <c r="N41" s="2"/>
    </row>
    <row r="42" customFormat="false" ht="15" hidden="false" customHeight="false" outlineLevel="0" collapsed="false">
      <c r="A42" s="27" t="s">
        <v>101</v>
      </c>
      <c r="B42" s="28" t="n">
        <v>55.5</v>
      </c>
      <c r="N42" s="30" t="s">
        <v>102</v>
      </c>
    </row>
    <row r="43" customFormat="false" ht="15" hidden="false" customHeight="false" outlineLevel="0" collapsed="false">
      <c r="A43" s="27" t="s">
        <v>103</v>
      </c>
      <c r="B43" s="42" t="n">
        <f aca="false">IF(B42=0,0,K28/B42)</f>
        <v>7.72298851351351</v>
      </c>
      <c r="N43" s="2"/>
    </row>
    <row r="44" customFormat="false" ht="15" hidden="false" customHeight="false" outlineLevel="0" collapsed="false">
      <c r="A44" s="31" t="s">
        <v>104</v>
      </c>
      <c r="B44" s="42" t="n">
        <f aca="false">IF($B$18=0,0,K28/$B$18)</f>
        <v>3.72718141304348</v>
      </c>
      <c r="N44" s="2" t="s">
        <v>105</v>
      </c>
    </row>
    <row r="45" customFormat="false" ht="15" hidden="false" customHeight="false" outlineLevel="0" collapsed="false">
      <c r="A45" s="3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107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108</v>
      </c>
      <c r="B48" s="50" t="n">
        <f aca="false">$K$28*B47</f>
        <v>428.6258625</v>
      </c>
      <c r="C48" s="50" t="n">
        <f aca="false">$K$28*C47</f>
        <v>385.76327625</v>
      </c>
      <c r="D48" s="50" t="n">
        <f aca="false">$K$28*D47</f>
        <v>420.05334525</v>
      </c>
      <c r="E48" s="50" t="n">
        <f aca="false">$K$28*E47</f>
        <v>428.6258625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109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112</v>
      </c>
      <c r="B5" s="32" t="n">
        <v>2</v>
      </c>
      <c r="H5" s="30" t="s">
        <v>113</v>
      </c>
    </row>
    <row r="7" customFormat="false" ht="15" hidden="false" customHeight="false" outlineLevel="0" collapsed="false">
      <c r="A7" s="3" t="s">
        <v>114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115</v>
      </c>
      <c r="B8" s="36" t="s">
        <v>116</v>
      </c>
      <c r="C8" s="37" t="s">
        <v>117</v>
      </c>
      <c r="D8" s="37" t="s">
        <v>118</v>
      </c>
    </row>
    <row r="9" customFormat="false" ht="15" hidden="false" customHeight="false" outlineLevel="0" collapsed="false">
      <c r="A9" s="4" t="s">
        <v>119</v>
      </c>
      <c r="B9" s="29" t="n">
        <v>0.295</v>
      </c>
      <c r="C9" s="29" t="n">
        <v>0.29</v>
      </c>
      <c r="D9" s="29" t="n">
        <v>0.285</v>
      </c>
      <c r="H9" s="2" t="s">
        <v>120</v>
      </c>
    </row>
    <row r="10" customFormat="false" ht="15" hidden="false" customHeight="false" outlineLevel="0" collapsed="false">
      <c r="A10" s="6" t="s">
        <v>121</v>
      </c>
      <c r="B10" s="53" t="n">
        <v>0.3</v>
      </c>
      <c r="C10" s="53" t="n">
        <v>0.3</v>
      </c>
      <c r="D10" s="53" t="n">
        <v>0.3</v>
      </c>
      <c r="H10" s="2" t="s">
        <v>122</v>
      </c>
    </row>
    <row r="11" customFormat="false" ht="15" hidden="false" customHeight="false" outlineLevel="0" collapsed="false">
      <c r="A11" s="6" t="s">
        <v>123</v>
      </c>
      <c r="B11" s="53" t="n">
        <v>0.3</v>
      </c>
      <c r="C11" s="53" t="n">
        <v>0.3</v>
      </c>
      <c r="D11" s="53" t="n">
        <v>0.3</v>
      </c>
      <c r="H11" s="2" t="s">
        <v>124</v>
      </c>
    </row>
    <row r="12" customFormat="false" ht="15" hidden="false" customHeight="false" outlineLevel="0" collapsed="false">
      <c r="A12" s="10" t="s">
        <v>125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126</v>
      </c>
    </row>
    <row r="13" customFormat="false" ht="15" hidden="false" customHeight="false" outlineLevel="0" collapsed="false">
      <c r="A13" s="4" t="s">
        <v>127</v>
      </c>
      <c r="B13" s="29" t="n">
        <v>0.345</v>
      </c>
      <c r="C13" s="29" t="n">
        <v>0.335</v>
      </c>
      <c r="D13" s="29" t="n">
        <v>0.325</v>
      </c>
      <c r="H13" s="2" t="s">
        <v>128</v>
      </c>
    </row>
    <row r="14" customFormat="false" ht="15" hidden="false" customHeight="false" outlineLevel="0" collapsed="false">
      <c r="A14" s="4" t="s">
        <v>129</v>
      </c>
      <c r="B14" s="29" t="n">
        <v>0.024</v>
      </c>
      <c r="C14" s="29" t="n">
        <v>0.022</v>
      </c>
      <c r="D14" s="29" t="n">
        <v>0.02</v>
      </c>
      <c r="H14" s="2" t="s">
        <v>130</v>
      </c>
    </row>
    <row r="15" customFormat="false" ht="15" hidden="false" customHeight="false" outlineLevel="0" collapsed="false">
      <c r="A15" s="4" t="s">
        <v>131</v>
      </c>
      <c r="B15" s="29" t="n">
        <v>0.014</v>
      </c>
      <c r="C15" s="29" t="n">
        <v>0.014</v>
      </c>
      <c r="D15" s="29" t="n">
        <v>0.014</v>
      </c>
      <c r="H15" s="2" t="s">
        <v>132</v>
      </c>
    </row>
    <row r="16" customFormat="false" ht="15" hidden="false" customHeight="false" outlineLevel="0" collapsed="false">
      <c r="A16" s="4" t="s">
        <v>133</v>
      </c>
      <c r="B16" s="29" t="n">
        <v>0.005</v>
      </c>
      <c r="C16" s="29" t="n">
        <v>0.005</v>
      </c>
      <c r="D16" s="29" t="n">
        <v>0.005</v>
      </c>
      <c r="H16" s="2" t="s">
        <v>132</v>
      </c>
    </row>
    <row r="17" customFormat="false" ht="15" hidden="false" customHeight="false" outlineLevel="0" collapsed="false">
      <c r="A17" s="4" t="s">
        <v>134</v>
      </c>
      <c r="B17" s="29" t="n">
        <v>0.04</v>
      </c>
      <c r="C17" s="29" t="n">
        <v>0.038</v>
      </c>
      <c r="D17" s="29" t="n">
        <v>0.036</v>
      </c>
      <c r="H17" s="2" t="s">
        <v>135</v>
      </c>
    </row>
    <row r="18" customFormat="false" ht="15" hidden="false" customHeight="false" outlineLevel="0" collapsed="false">
      <c r="A18" s="4" t="s">
        <v>136</v>
      </c>
      <c r="B18" s="29" t="n">
        <v>0.04</v>
      </c>
      <c r="C18" s="29" t="n">
        <v>0.04</v>
      </c>
      <c r="D18" s="29" t="n">
        <v>0.04</v>
      </c>
      <c r="H18" s="2" t="s">
        <v>137</v>
      </c>
    </row>
    <row r="19" customFormat="false" ht="15" hidden="false" customHeight="false" outlineLevel="0" collapsed="false">
      <c r="A19" s="4" t="s">
        <v>138</v>
      </c>
      <c r="B19" s="29" t="n">
        <v>0.007</v>
      </c>
      <c r="C19" s="29" t="n">
        <v>0.007</v>
      </c>
      <c r="D19" s="29" t="n">
        <v>0.007</v>
      </c>
      <c r="H19" s="2" t="s">
        <v>132</v>
      </c>
    </row>
    <row r="20" customFormat="false" ht="15" hidden="false" customHeight="false" outlineLevel="0" collapsed="false">
      <c r="A20" s="4" t="s">
        <v>139</v>
      </c>
      <c r="B20" s="29" t="n">
        <v>0.025</v>
      </c>
      <c r="C20" s="29" t="n">
        <v>0.025</v>
      </c>
      <c r="D20" s="29" t="n">
        <v>0.025</v>
      </c>
      <c r="H20" s="2" t="s">
        <v>132</v>
      </c>
    </row>
    <row r="21" customFormat="false" ht="15" hidden="false" customHeight="false" outlineLevel="0" collapsed="false">
      <c r="A21" s="10" t="s">
        <v>140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141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142</v>
      </c>
      <c r="B24" s="28" t="n">
        <v>2.22</v>
      </c>
      <c r="H24" s="2" t="s">
        <v>143</v>
      </c>
    </row>
    <row r="25" customFormat="false" ht="15" hidden="false" customHeight="false" outlineLevel="0" collapsed="false">
      <c r="A25" s="27" t="s">
        <v>144</v>
      </c>
      <c r="B25" s="42" t="n">
        <f aca="false">B24*12</f>
        <v>26.64</v>
      </c>
      <c r="H25" s="2" t="s">
        <v>145</v>
      </c>
    </row>
    <row r="26" customFormat="false" ht="15" hidden="false" customHeight="false" outlineLevel="0" collapsed="false">
      <c r="A26" s="27" t="s">
        <v>146</v>
      </c>
      <c r="B26" s="29" t="n">
        <v>0.07</v>
      </c>
      <c r="H26" s="2" t="s">
        <v>147</v>
      </c>
    </row>
    <row r="27" customFormat="false" ht="15" hidden="false" customHeight="false" outlineLevel="0" collapsed="false">
      <c r="A27" s="27" t="s">
        <v>148</v>
      </c>
      <c r="B27" s="28" t="n">
        <v>331.4</v>
      </c>
      <c r="H27" s="2" t="s">
        <v>149</v>
      </c>
    </row>
    <row r="28" customFormat="false" ht="15" hidden="false" customHeight="false" outlineLevel="0" collapsed="false">
      <c r="A28" s="27" t="s">
        <v>150</v>
      </c>
      <c r="B28" s="32" t="n">
        <v>26</v>
      </c>
      <c r="H28" s="2" t="s">
        <v>151</v>
      </c>
    </row>
    <row r="30" customFormat="false" ht="15" hidden="false" customHeight="false" outlineLevel="0" collapsed="false">
      <c r="A30" s="3" t="s">
        <v>152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153</v>
      </c>
      <c r="C31" s="37" t="s">
        <v>154</v>
      </c>
      <c r="D31" s="37" t="s">
        <v>155</v>
      </c>
    </row>
    <row r="32" customFormat="false" ht="15" hidden="false" customHeight="false" outlineLevel="0" collapsed="false">
      <c r="A32" s="4" t="s">
        <v>156</v>
      </c>
      <c r="B32" s="28" t="n">
        <v>10</v>
      </c>
      <c r="C32" s="28" t="n">
        <v>10</v>
      </c>
      <c r="D32" s="28" t="n">
        <v>5</v>
      </c>
      <c r="H32" s="2" t="s">
        <v>157</v>
      </c>
    </row>
    <row r="33" customFormat="false" ht="15" hidden="false" customHeight="false" outlineLevel="0" collapsed="false">
      <c r="A33" s="4" t="s">
        <v>158</v>
      </c>
      <c r="B33" s="28" t="n">
        <v>194.25</v>
      </c>
      <c r="C33" s="28" t="n">
        <v>194.25</v>
      </c>
      <c r="D33" s="28" t="n">
        <v>194.25</v>
      </c>
      <c r="H33" s="30" t="s">
        <v>159</v>
      </c>
    </row>
    <row r="34" customFormat="false" ht="15" hidden="false" customHeight="false" outlineLevel="0" collapsed="false">
      <c r="A34" s="4" t="s">
        <v>160</v>
      </c>
      <c r="B34" s="28" t="n">
        <v>4</v>
      </c>
      <c r="C34" s="28" t="n">
        <v>4</v>
      </c>
      <c r="D34" s="28" t="n">
        <v>4</v>
      </c>
      <c r="H34" s="2"/>
    </row>
    <row r="35" customFormat="false" ht="15" hidden="false" customHeight="false" outlineLevel="0" collapsed="false">
      <c r="A35" s="4" t="s">
        <v>161</v>
      </c>
      <c r="B35" s="28" t="n">
        <v>39</v>
      </c>
      <c r="C35" s="28" t="n">
        <v>39</v>
      </c>
      <c r="D35" s="28" t="n">
        <v>39</v>
      </c>
      <c r="H35" s="2" t="s">
        <v>162</v>
      </c>
    </row>
    <row r="36" customFormat="false" ht="15" hidden="false" customHeight="false" outlineLevel="0" collapsed="false">
      <c r="A36" s="4" t="s">
        <v>163</v>
      </c>
      <c r="B36" s="28" t="n">
        <v>50</v>
      </c>
      <c r="C36" s="28" t="n">
        <v>10</v>
      </c>
      <c r="D36" s="28" t="n">
        <v>10</v>
      </c>
      <c r="H36" s="30" t="s">
        <v>164</v>
      </c>
    </row>
    <row r="37" customFormat="false" ht="15" hidden="false" customHeight="false" outlineLevel="0" collapsed="false">
      <c r="A37" s="10" t="s">
        <v>165</v>
      </c>
      <c r="B37" s="50" t="n">
        <f aca="false">SUM(B32:B36)</f>
        <v>297.25</v>
      </c>
      <c r="C37" s="50" t="n">
        <f aca="false">SUM(C32:C36)</f>
        <v>257.25</v>
      </c>
      <c r="D37" s="50" t="n">
        <f aca="false">SUM(D32:D36)</f>
        <v>252.25</v>
      </c>
    </row>
    <row r="38" customFormat="false" ht="15" hidden="false" customHeight="false" outlineLevel="0" collapsed="false">
      <c r="A38" s="10" t="s">
        <v>166</v>
      </c>
      <c r="B38" s="48" t="n">
        <f aca="false">B37-B35-B36</f>
        <v>208.25</v>
      </c>
      <c r="C38" s="48" t="n">
        <f aca="false">C37-C35-C36</f>
        <v>208.25</v>
      </c>
      <c r="D38" s="48" t="n">
        <f aca="false">D37-D35-D36</f>
        <v>203.25</v>
      </c>
      <c r="H38" s="46" t="s">
        <v>167</v>
      </c>
    </row>
    <row r="39" customFormat="false" ht="15" hidden="false" customHeight="false" outlineLevel="0" collapsed="false">
      <c r="A39" s="4" t="s">
        <v>168</v>
      </c>
      <c r="B39" s="28" t="n">
        <v>10</v>
      </c>
      <c r="C39" s="28" t="n">
        <v>10</v>
      </c>
      <c r="D39" s="28" t="n">
        <v>10</v>
      </c>
    </row>
    <row r="40" customFormat="false" ht="15" hidden="false" customHeight="false" outlineLevel="0" collapsed="false">
      <c r="A40" s="10" t="s">
        <v>169</v>
      </c>
      <c r="B40" s="48" t="n">
        <f aca="false">B38/B39</f>
        <v>20.825</v>
      </c>
      <c r="C40" s="48" t="n">
        <f aca="false">C38/C39</f>
        <v>20.825</v>
      </c>
      <c r="D40" s="48" t="n">
        <f aca="false">D38/D39</f>
        <v>20.325</v>
      </c>
    </row>
    <row r="42" customFormat="false" ht="15" hidden="false" customHeight="false" outlineLevel="0" collapsed="false">
      <c r="A42" s="3" t="s">
        <v>170</v>
      </c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27" t="s">
        <v>171</v>
      </c>
      <c r="B43" s="28" t="n">
        <v>100</v>
      </c>
      <c r="H43" s="2" t="s">
        <v>172</v>
      </c>
    </row>
    <row r="44" customFormat="false" ht="15" hidden="false" customHeight="false" outlineLevel="0" collapsed="false">
      <c r="A44" s="27" t="s">
        <v>173</v>
      </c>
      <c r="B44" s="28" t="n">
        <v>38.9</v>
      </c>
      <c r="H44" s="2" t="s">
        <v>174</v>
      </c>
    </row>
    <row r="45" customFormat="false" ht="15" hidden="false" customHeight="false" outlineLevel="0" collapsed="false">
      <c r="A45" s="33" t="s">
        <v>175</v>
      </c>
      <c r="B45" s="48" t="n">
        <f aca="false">B43+B44</f>
        <v>138.9</v>
      </c>
      <c r="H45" s="2"/>
    </row>
    <row r="46" customFormat="false" ht="15" hidden="false" customHeight="false" outlineLevel="0" collapsed="false">
      <c r="A46" s="33" t="s">
        <v>176</v>
      </c>
      <c r="B46" s="48" t="n">
        <f aca="false">B37-$B$45</f>
        <v>158.35</v>
      </c>
      <c r="C46" s="48" t="n">
        <f aca="false">C37-$B$45</f>
        <v>118.35</v>
      </c>
      <c r="D46" s="48" t="n">
        <f aca="false">D37-$B$45</f>
        <v>113.35</v>
      </c>
      <c r="H46" s="2" t="s">
        <v>177</v>
      </c>
    </row>
    <row r="47" customFormat="false" ht="15" hidden="false" customHeight="false" outlineLevel="0" collapsed="false">
      <c r="A47" s="27" t="s">
        <v>178</v>
      </c>
      <c r="B47" s="28" t="n">
        <v>15.6</v>
      </c>
      <c r="H47" s="2" t="s">
        <v>179</v>
      </c>
    </row>
    <row r="49" customFormat="false" ht="15" hidden="false" customHeight="false" outlineLevel="0" collapsed="false">
      <c r="A49" s="3" t="s">
        <v>180</v>
      </c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12" t="s">
        <v>15</v>
      </c>
      <c r="B50" s="14" t="s">
        <v>28</v>
      </c>
      <c r="C50" s="14" t="s">
        <v>29</v>
      </c>
      <c r="D50" s="14" t="s">
        <v>30</v>
      </c>
      <c r="E50" s="14" t="s">
        <v>31</v>
      </c>
      <c r="F50" s="14" t="s">
        <v>32</v>
      </c>
    </row>
    <row r="51" customFormat="false" ht="15" hidden="false" customHeight="false" outlineLevel="0" collapsed="false">
      <c r="A51" s="27" t="s">
        <v>181</v>
      </c>
      <c r="B51" s="32" t="n">
        <v>1</v>
      </c>
      <c r="C51" s="32" t="n">
        <v>2</v>
      </c>
      <c r="D51" s="32" t="n">
        <v>2</v>
      </c>
      <c r="E51" s="32" t="n">
        <v>2</v>
      </c>
      <c r="F51" s="32" t="n">
        <v>2</v>
      </c>
      <c r="H51" s="30" t="s">
        <v>182</v>
      </c>
    </row>
    <row r="52" customFormat="false" ht="15" hidden="false" customHeight="false" outlineLevel="0" collapsed="false">
      <c r="A52" s="33" t="s">
        <v>34</v>
      </c>
      <c r="B52" s="34" t="n">
        <f aca="false">B51</f>
        <v>1</v>
      </c>
      <c r="C52" s="34" t="n">
        <f aca="false">B52+C51</f>
        <v>3</v>
      </c>
      <c r="D52" s="34" t="n">
        <f aca="false">C52+D51</f>
        <v>5</v>
      </c>
      <c r="E52" s="34" t="n">
        <f aca="false">D52+E51</f>
        <v>7</v>
      </c>
      <c r="F52" s="34" t="n">
        <f aca="false">E52+F51</f>
        <v>9</v>
      </c>
    </row>
    <row r="53" customFormat="false" ht="15" hidden="false" customHeight="false" outlineLevel="0" collapsed="false">
      <c r="A53" s="27" t="s">
        <v>183</v>
      </c>
      <c r="B53" s="28" t="n">
        <v>15</v>
      </c>
      <c r="C53" s="28" t="n">
        <v>28</v>
      </c>
      <c r="D53" s="28" t="n">
        <v>40</v>
      </c>
      <c r="E53" s="28" t="n">
        <v>48</v>
      </c>
      <c r="F53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184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185</v>
      </c>
    </row>
    <row r="4" customFormat="false" ht="30" hidden="false" customHeight="true" outlineLevel="0" collapsed="false">
      <c r="A4" s="12" t="s">
        <v>186</v>
      </c>
      <c r="B4" s="36" t="s">
        <v>187</v>
      </c>
      <c r="C4" s="37" t="s">
        <v>188</v>
      </c>
      <c r="D4" s="37" t="s">
        <v>117</v>
      </c>
      <c r="E4" s="37" t="s">
        <v>118</v>
      </c>
    </row>
    <row r="5" customFormat="false" ht="15" hidden="false" customHeight="false" outlineLevel="0" collapsed="false">
      <c r="A5" s="27" t="s">
        <v>107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5" t="n">
        <f aca="false">売上前提!B$48</f>
        <v>428.6258625</v>
      </c>
      <c r="C6" s="55" t="n">
        <f aca="false">売上前提!C$48</f>
        <v>385.76327625</v>
      </c>
      <c r="D6" s="55" t="n">
        <f aca="false">売上前提!D$48</f>
        <v>420.05334525</v>
      </c>
      <c r="E6" s="55" t="n">
        <f aca="false">売上前提!E$48</f>
        <v>428.6258625</v>
      </c>
    </row>
    <row r="7" customFormat="false" ht="15" hidden="false" customHeight="false" outlineLevel="0" collapsed="false">
      <c r="A7" s="6" t="s">
        <v>189</v>
      </c>
      <c r="B7" s="56" t="n">
        <f aca="false">B$6*売上前提!$B$33</f>
        <v>269.954025</v>
      </c>
      <c r="C7" s="56" t="n">
        <f aca="false">C$6*売上前提!$B$33</f>
        <v>242.9586225</v>
      </c>
      <c r="D7" s="56" t="n">
        <f aca="false">D$6*売上前提!$B$33</f>
        <v>264.5549445</v>
      </c>
      <c r="E7" s="56" t="n">
        <f aca="false">E$6*売上前提!$B$33</f>
        <v>269.954025</v>
      </c>
    </row>
    <row r="8" customFormat="false" ht="15" hidden="false" customHeight="false" outlineLevel="0" collapsed="false">
      <c r="A8" s="6" t="s">
        <v>190</v>
      </c>
      <c r="B8" s="56" t="n">
        <f aca="false">B$6*売上前提!$B$34</f>
        <v>158.6718375</v>
      </c>
      <c r="C8" s="56" t="n">
        <f aca="false">C$6*売上前提!$B$34</f>
        <v>142.80465375</v>
      </c>
      <c r="D8" s="56" t="n">
        <f aca="false">D$6*売上前提!$B$34</f>
        <v>155.49840075</v>
      </c>
      <c r="E8" s="56" t="n">
        <f aca="false">E$6*売上前提!$B$34</f>
        <v>158.6718375</v>
      </c>
    </row>
    <row r="9" customFormat="false" ht="15" hidden="false" customHeight="false" outlineLevel="0" collapsed="false">
      <c r="A9" s="4" t="s">
        <v>191</v>
      </c>
      <c r="B9" s="44" t="n">
        <f aca="false">B$6*経費前提!$B$12</f>
        <v>128.58775875</v>
      </c>
      <c r="C9" s="44" t="n">
        <f aca="false">C$6*経費前提!$B$12</f>
        <v>115.728982875</v>
      </c>
      <c r="D9" s="44" t="n">
        <f aca="false">D$6*経費前提!$C$12</f>
        <v>126.016003575</v>
      </c>
      <c r="E9" s="44" t="n">
        <f aca="false">E$6*経費前提!$D$12</f>
        <v>128.58775875</v>
      </c>
    </row>
    <row r="10" customFormat="false" ht="15" hidden="false" customHeight="false" outlineLevel="0" collapsed="false">
      <c r="A10" s="4" t="s">
        <v>127</v>
      </c>
      <c r="B10" s="44" t="n">
        <f aca="false">B$6*経費前提!$B$13</f>
        <v>147.8759225625</v>
      </c>
      <c r="C10" s="44" t="n">
        <f aca="false">C$6*経費前提!$B$13</f>
        <v>133.08833030625</v>
      </c>
      <c r="D10" s="44" t="n">
        <f aca="false">D$6*経費前提!$C$13</f>
        <v>140.71787065875</v>
      </c>
      <c r="E10" s="44" t="n">
        <f aca="false">E$6*経費前提!$D$13</f>
        <v>139.3034053125</v>
      </c>
    </row>
    <row r="11" customFormat="false" ht="15" hidden="false" customHeight="false" outlineLevel="0" collapsed="false">
      <c r="A11" s="4" t="s">
        <v>129</v>
      </c>
      <c r="B11" s="44" t="n">
        <f aca="false">B$6*経費前提!$B$14</f>
        <v>10.2870207</v>
      </c>
      <c r="C11" s="44" t="n">
        <f aca="false">C$6*経費前提!$B$14</f>
        <v>9.25831863</v>
      </c>
      <c r="D11" s="44" t="n">
        <f aca="false">D$6*経費前提!$C$14</f>
        <v>9.2411735955</v>
      </c>
      <c r="E11" s="44" t="n">
        <f aca="false">E$6*経費前提!$D$14</f>
        <v>8.57251725</v>
      </c>
    </row>
    <row r="12" customFormat="false" ht="15" hidden="false" customHeight="false" outlineLevel="0" collapsed="false">
      <c r="A12" s="10" t="s">
        <v>192</v>
      </c>
      <c r="B12" s="57" t="n">
        <f aca="false">B6-B9-B10-B11</f>
        <v>141.8751604875</v>
      </c>
      <c r="C12" s="57" t="n">
        <f aca="false">C6-C9-C10-C11</f>
        <v>127.68764443875</v>
      </c>
      <c r="D12" s="57" t="n">
        <f aca="false">D6-D9-D10-D11</f>
        <v>144.07829742075</v>
      </c>
      <c r="E12" s="57" t="n">
        <f aca="false">E6-E9-E10-E11</f>
        <v>152.1621811875</v>
      </c>
    </row>
    <row r="13" customFormat="false" ht="15" hidden="false" customHeight="false" outlineLevel="0" collapsed="false">
      <c r="A13" s="4" t="s">
        <v>131</v>
      </c>
      <c r="B13" s="44" t="n">
        <f aca="false">B$6*経費前提!$B$15</f>
        <v>6.000762075</v>
      </c>
      <c r="C13" s="44" t="n">
        <f aca="false">C$6*経費前提!$B$15</f>
        <v>5.4006858675</v>
      </c>
      <c r="D13" s="44" t="n">
        <f aca="false">D$6*経費前提!$C$15</f>
        <v>5.8807468335</v>
      </c>
      <c r="E13" s="44" t="n">
        <f aca="false">E$6*経費前提!$D$15</f>
        <v>6.000762075</v>
      </c>
    </row>
    <row r="14" customFormat="false" ht="15" hidden="false" customHeight="false" outlineLevel="0" collapsed="false">
      <c r="A14" s="4" t="s">
        <v>133</v>
      </c>
      <c r="B14" s="44" t="n">
        <f aca="false">B$6*経費前提!$B$16</f>
        <v>2.1431293125</v>
      </c>
      <c r="C14" s="44" t="n">
        <f aca="false">C$6*経費前提!$B$16</f>
        <v>1.92881638125</v>
      </c>
      <c r="D14" s="44" t="n">
        <f aca="false">D$6*経費前提!$C$16</f>
        <v>2.10026672625</v>
      </c>
      <c r="E14" s="44" t="n">
        <f aca="false">E$6*経費前提!$D$16</f>
        <v>2.1431293125</v>
      </c>
    </row>
    <row r="15" customFormat="false" ht="15" hidden="false" customHeight="false" outlineLevel="0" collapsed="false">
      <c r="A15" s="4" t="s">
        <v>134</v>
      </c>
      <c r="B15" s="44" t="n">
        <f aca="false">B$6*経費前提!$B$17</f>
        <v>17.1450345</v>
      </c>
      <c r="C15" s="44" t="n">
        <f aca="false">C$6*経費前提!$B$17</f>
        <v>15.43053105</v>
      </c>
      <c r="D15" s="44" t="n">
        <f aca="false">D$6*経費前提!$C$17</f>
        <v>15.9620271195</v>
      </c>
      <c r="E15" s="44" t="n">
        <f aca="false">E$6*経費前提!$D$17</f>
        <v>15.43053105</v>
      </c>
    </row>
    <row r="16" customFormat="false" ht="15" hidden="false" customHeight="false" outlineLevel="0" collapsed="false">
      <c r="A16" s="16" t="s">
        <v>193</v>
      </c>
      <c r="B16" s="57" t="n">
        <f aca="false">B12-B13-B14-B15</f>
        <v>116.5862346</v>
      </c>
      <c r="C16" s="57" t="n">
        <f aca="false">C12-C13-C14-C15</f>
        <v>104.92761114</v>
      </c>
      <c r="D16" s="57" t="n">
        <f aca="false">D12-D13-D14-D15</f>
        <v>120.1352567415</v>
      </c>
      <c r="E16" s="57" t="n">
        <f aca="false">E12-E13-E14-E15</f>
        <v>128.58775875</v>
      </c>
    </row>
    <row r="17" customFormat="false" ht="15" hidden="false" customHeight="false" outlineLevel="0" collapsed="false">
      <c r="A17" s="4" t="s">
        <v>136</v>
      </c>
      <c r="B17" s="44" t="n">
        <f aca="false">B$6*経費前提!$B$18</f>
        <v>17.1450345</v>
      </c>
      <c r="C17" s="44" t="n">
        <f aca="false">C$6*経費前提!$B$18</f>
        <v>15.43053105</v>
      </c>
      <c r="D17" s="44" t="n">
        <f aca="false">D$6*経費前提!$C$18</f>
        <v>16.80213381</v>
      </c>
      <c r="E17" s="44" t="n">
        <f aca="false">E$6*経費前提!$D$18</f>
        <v>17.1450345</v>
      </c>
    </row>
    <row r="18" customFormat="false" ht="15" hidden="false" customHeight="false" outlineLevel="0" collapsed="false">
      <c r="A18" s="4" t="s">
        <v>138</v>
      </c>
      <c r="B18" s="44" t="n">
        <f aca="false">B$6*経費前提!$B$19</f>
        <v>3.0003810375</v>
      </c>
      <c r="C18" s="44" t="n">
        <f aca="false">C$6*経費前提!$B$19</f>
        <v>2.70034293375</v>
      </c>
      <c r="D18" s="44" t="n">
        <f aca="false">D$6*経費前提!$C$19</f>
        <v>2.94037341675</v>
      </c>
      <c r="E18" s="44" t="n">
        <f aca="false">E$6*経費前提!$D$19</f>
        <v>3.0003810375</v>
      </c>
    </row>
    <row r="19" customFormat="false" ht="15" hidden="false" customHeight="false" outlineLevel="0" collapsed="false">
      <c r="A19" s="4" t="s">
        <v>194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195</v>
      </c>
      <c r="B20" s="44" t="n">
        <f aca="false">MAX(0,B6-経費前提!$B$27)*経費前提!$B$26</f>
        <v>6.805810375</v>
      </c>
      <c r="C20" s="44" t="n">
        <f aca="false">MAX(0,C6-経費前提!$B$27)*経費前提!$B$26</f>
        <v>3.8054293375</v>
      </c>
      <c r="D20" s="44" t="n">
        <f aca="false">MAX(0,D6-経費前提!$B$27)*経費前提!$B$26</f>
        <v>6.2057341675</v>
      </c>
      <c r="E20" s="44" t="n">
        <f aca="false">MAX(0,E6-経費前提!$B$27)*経費前提!$B$26</f>
        <v>6.805810375</v>
      </c>
    </row>
    <row r="21" customFormat="false" ht="15" hidden="false" customHeight="false" outlineLevel="0" collapsed="false">
      <c r="A21" s="4" t="s">
        <v>139</v>
      </c>
      <c r="B21" s="44" t="n">
        <f aca="false">B$6*経費前提!$B$20</f>
        <v>10.7156465625</v>
      </c>
      <c r="C21" s="44" t="n">
        <f aca="false">C$6*経費前提!$B$20</f>
        <v>9.64408190625</v>
      </c>
      <c r="D21" s="44" t="n">
        <f aca="false">D$6*経費前提!$C$20</f>
        <v>10.50133363125</v>
      </c>
      <c r="E21" s="44" t="n">
        <f aca="false">E$6*経費前提!$D$20</f>
        <v>10.7156465625</v>
      </c>
    </row>
    <row r="22" customFormat="false" ht="15" hidden="false" customHeight="false" outlineLevel="0" collapsed="false">
      <c r="A22" s="16" t="s">
        <v>22</v>
      </c>
      <c r="B22" s="58" t="n">
        <f aca="false">B16-B17-B18-B19-B20-B21</f>
        <v>52.279362125</v>
      </c>
      <c r="C22" s="58" t="n">
        <f aca="false">C16-C17-C18-C19-C20-C21</f>
        <v>46.7072259125</v>
      </c>
      <c r="D22" s="58" t="n">
        <f aca="false">D16-D17-D18-D19-D20-D21</f>
        <v>57.045681716</v>
      </c>
      <c r="E22" s="58" t="n">
        <f aca="false">E16-E17-E18-E19-E20-E21</f>
        <v>64.280886275</v>
      </c>
    </row>
    <row r="23" customFormat="false" ht="15" hidden="false" customHeight="false" outlineLevel="0" collapsed="false">
      <c r="A23" s="4" t="s">
        <v>23</v>
      </c>
      <c r="B23" s="19" t="n">
        <f aca="false">経費前提!$B$40</f>
        <v>20.825</v>
      </c>
      <c r="C23" s="19" t="n">
        <f aca="false">経費前提!$B$40</f>
        <v>20.825</v>
      </c>
      <c r="D23" s="19" t="n">
        <f aca="false">経費前提!$B$40</f>
        <v>20.825</v>
      </c>
      <c r="E23" s="19" t="n">
        <f aca="false">経費前提!$B$40</f>
        <v>20.825</v>
      </c>
    </row>
    <row r="24" customFormat="false" ht="15" hidden="false" customHeight="false" outlineLevel="0" collapsed="false">
      <c r="A24" s="10" t="s">
        <v>24</v>
      </c>
      <c r="B24" s="58" t="n">
        <f aca="false">B22-B23</f>
        <v>31.454362125</v>
      </c>
      <c r="C24" s="58" t="n">
        <f aca="false">C22-C23</f>
        <v>25.8822259125</v>
      </c>
      <c r="D24" s="58" t="n">
        <f aca="false">D22-D23</f>
        <v>36.220681716</v>
      </c>
      <c r="E24" s="58" t="n">
        <f aca="false">E22-E23</f>
        <v>43.455886275</v>
      </c>
    </row>
    <row r="26" customFormat="false" ht="15" hidden="false" customHeight="false" outlineLevel="0" collapsed="false">
      <c r="A26" s="3" t="s">
        <v>196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186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191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127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129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192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131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133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134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193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136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138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194</v>
      </c>
      <c r="B39" s="45" t="n">
        <f aca="false">IF(B$6=0,0,B19/B$6)</f>
        <v>0.0621521059056487</v>
      </c>
      <c r="C39" s="45" t="n">
        <f aca="false">IF(C$6=0,0,C19/C$6)</f>
        <v>0.0690578954507207</v>
      </c>
      <c r="D39" s="45" t="n">
        <f aca="false">IF(D$6=0,0,D19/D$6)</f>
        <v>0.0634205162302537</v>
      </c>
      <c r="E39" s="45" t="n">
        <f aca="false">IF(E$6=0,0,E19/E$6)</f>
        <v>0.0621521059056487</v>
      </c>
    </row>
    <row r="40" customFormat="false" ht="15" hidden="false" customHeight="false" outlineLevel="0" collapsed="false">
      <c r="A40" s="4" t="s">
        <v>195</v>
      </c>
      <c r="B40" s="45" t="n">
        <f aca="false">IF(B$6=0,0,B20/B$6)</f>
        <v>0.0158782074775061</v>
      </c>
      <c r="C40" s="45" t="n">
        <f aca="false">IF(C$6=0,0,C20/C$6)</f>
        <v>0.00986467497500678</v>
      </c>
      <c r="D40" s="45" t="n">
        <f aca="false">IF(D$6=0,0,D20/D$6)</f>
        <v>0.014773681099496</v>
      </c>
      <c r="E40" s="45" t="n">
        <f aca="false">IF(E$6=0,0,E20/E$6)</f>
        <v>0.0158782074775061</v>
      </c>
    </row>
    <row r="41" customFormat="false" ht="15" hidden="false" customHeight="false" outlineLevel="0" collapsed="false">
      <c r="A41" s="4" t="s">
        <v>139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0.121969686616845</v>
      </c>
      <c r="C42" s="17" t="n">
        <f aca="false">IF(C$6=0,0,C22/C$6)</f>
        <v>0.121077429574273</v>
      </c>
      <c r="D42" s="17" t="n">
        <f aca="false">IF(D$6=0,0,D22/D$6)</f>
        <v>0.13580580267025</v>
      </c>
      <c r="E42" s="17" t="n">
        <f aca="false">IF(E$6=0,0,E22/E$6)</f>
        <v>0.149969686616845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0.0485854957013939</v>
      </c>
      <c r="C43" s="45" t="n">
        <f aca="false">IF(C$6=0,0,C23/C$6)</f>
        <v>0.0539838841126599</v>
      </c>
      <c r="D43" s="45" t="n">
        <f aca="false">IF(D$6=0,0,D23/D$6)</f>
        <v>0.0495770364299938</v>
      </c>
      <c r="E43" s="45" t="n">
        <f aca="false">IF(E$6=0,0,E23/E$6)</f>
        <v>0.0485854957013939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0.0733841909154513</v>
      </c>
      <c r="C44" s="17" t="n">
        <f aca="false">IF(C$6=0,0,C24/C$6)</f>
        <v>0.0670935454616127</v>
      </c>
      <c r="D44" s="17" t="n">
        <f aca="false">IF(D$6=0,0,D24/D$6)</f>
        <v>0.0862287662402565</v>
      </c>
      <c r="E44" s="17" t="n">
        <f aca="false">IF(E$6=0,0,E24/E$6)</f>
        <v>0.101384190915451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197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198</v>
      </c>
    </row>
    <row r="3" customFormat="false" ht="15" hidden="false" customHeight="false" outlineLevel="0" collapsed="false">
      <c r="A3" s="12" t="s">
        <v>199</v>
      </c>
      <c r="B3" s="13" t="s">
        <v>200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201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59" t="s">
        <v>202</v>
      </c>
      <c r="B6" s="32" t="n">
        <v>1</v>
      </c>
    </row>
    <row r="7" customFormat="false" ht="15" hidden="false" customHeight="false" outlineLevel="0" collapsed="false">
      <c r="A7" s="59" t="s">
        <v>203</v>
      </c>
      <c r="B7" s="9" t="n">
        <f aca="false">売上前提!$B$10</f>
        <v>12</v>
      </c>
    </row>
    <row r="8" customFormat="false" ht="15" hidden="false" customHeight="false" outlineLevel="0" collapsed="false">
      <c r="A8" s="59" t="s">
        <v>204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0" t="n">
        <f aca="false">IF(C8=0,0,売上前提!$K$28*INDEX(売上前提!$B$6:$B$8,C8)*$B$6*IF(C8=1,$B$7/12,1))</f>
        <v>385.76327625</v>
      </c>
      <c r="D9" s="60" t="n">
        <f aca="false">IF(D8=0,0,売上前提!$K$28*INDEX(売上前提!$B$6:$B$8,D8)*$B$6*IF(D8=1,$B$7/12,1))</f>
        <v>420.05334525</v>
      </c>
      <c r="E9" s="60" t="n">
        <f aca="false">IF(E8=0,0,売上前提!$K$28*INDEX(売上前提!$B$6:$B$8,E8)*$B$6*IF(E8=1,$B$7/12,1))</f>
        <v>428.6258625</v>
      </c>
      <c r="F9" s="60" t="n">
        <f aca="false">IF(F8=0,0,売上前提!$K$28*INDEX(売上前提!$B$6:$B$8,F8)*$B$6*IF(F8=1,$B$7/12,1))</f>
        <v>428.6258625</v>
      </c>
      <c r="G9" s="60" t="n">
        <f aca="false">IF(G8=0,0,売上前提!$K$28*INDEX(売上前提!$B$6:$B$8,G8)*$B$6*IF(G8=1,$B$7/12,1))</f>
        <v>428.6258625</v>
      </c>
    </row>
    <row r="10" customFormat="false" ht="15" hidden="false" customHeight="false" outlineLevel="0" collapsed="false">
      <c r="A10" s="38" t="s">
        <v>191</v>
      </c>
      <c r="C10" s="44" t="n">
        <f aca="false">IF(C$8=0,0,C$9*INDEX(経費前提!$B$12:$D$12,1,C$8))</f>
        <v>115.728982875</v>
      </c>
      <c r="D10" s="44" t="n">
        <f aca="false">IF(D$8=0,0,D$9*INDEX(経費前提!$B$12:$D$12,1,D$8))</f>
        <v>126.016003575</v>
      </c>
      <c r="E10" s="44" t="n">
        <f aca="false">IF(E$8=0,0,E$9*INDEX(経費前提!$B$12:$D$12,1,E$8))</f>
        <v>128.58775875</v>
      </c>
      <c r="F10" s="44" t="n">
        <f aca="false">IF(F$8=0,0,F$9*INDEX(経費前提!$B$12:$D$12,1,F$8))</f>
        <v>128.58775875</v>
      </c>
      <c r="G10" s="44" t="n">
        <f aca="false">IF(G$8=0,0,G$9*INDEX(経費前提!$B$12:$D$12,1,G$8))</f>
        <v>128.58775875</v>
      </c>
    </row>
    <row r="11" customFormat="false" ht="15" hidden="false" customHeight="false" outlineLevel="0" collapsed="false">
      <c r="A11" s="38" t="s">
        <v>127</v>
      </c>
      <c r="C11" s="44" t="n">
        <f aca="false">IF(C$8=0,0,C$9*INDEX(経費前提!$B$13:$D$13,1,C$8))</f>
        <v>133.08833030625</v>
      </c>
      <c r="D11" s="44" t="n">
        <f aca="false">IF(D$8=0,0,D$9*INDEX(経費前提!$B$13:$D$13,1,D$8))</f>
        <v>140.71787065875</v>
      </c>
      <c r="E11" s="44" t="n">
        <f aca="false">IF(E$8=0,0,E$9*INDEX(経費前提!$B$13:$D$13,1,E$8))</f>
        <v>139.3034053125</v>
      </c>
      <c r="F11" s="44" t="n">
        <f aca="false">IF(F$8=0,0,F$9*INDEX(経費前提!$B$13:$D$13,1,F$8))</f>
        <v>139.3034053125</v>
      </c>
      <c r="G11" s="44" t="n">
        <f aca="false">IF(G$8=0,0,G$9*INDEX(経費前提!$B$13:$D$13,1,G$8))</f>
        <v>139.3034053125</v>
      </c>
    </row>
    <row r="12" customFormat="false" ht="15" hidden="false" customHeight="false" outlineLevel="0" collapsed="false">
      <c r="A12" s="38" t="s">
        <v>129</v>
      </c>
      <c r="C12" s="44" t="n">
        <f aca="false">IF(C$8=0,0,C$9*INDEX(経費前提!$B$14:$D$14,1,C$8))</f>
        <v>9.25831863</v>
      </c>
      <c r="D12" s="44" t="n">
        <f aca="false">IF(D$8=0,0,D$9*INDEX(経費前提!$B$14:$D$14,1,D$8))</f>
        <v>9.2411735955</v>
      </c>
      <c r="E12" s="44" t="n">
        <f aca="false">IF(E$8=0,0,E$9*INDEX(経費前提!$B$14:$D$14,1,E$8))</f>
        <v>8.57251725</v>
      </c>
      <c r="F12" s="44" t="n">
        <f aca="false">IF(F$8=0,0,F$9*INDEX(経費前提!$B$14:$D$14,1,F$8))</f>
        <v>8.57251725</v>
      </c>
      <c r="G12" s="44" t="n">
        <f aca="false">IF(G$8=0,0,G$9*INDEX(経費前提!$B$14:$D$14,1,G$8))</f>
        <v>8.57251725</v>
      </c>
    </row>
    <row r="13" customFormat="false" ht="15" hidden="false" customHeight="false" outlineLevel="0" collapsed="false">
      <c r="A13" s="61" t="s">
        <v>192</v>
      </c>
      <c r="C13" s="57" t="n">
        <f aca="false">C9-SUM(C10:C12)</f>
        <v>127.68764443875</v>
      </c>
      <c r="D13" s="57" t="n">
        <f aca="false">D9-SUM(D10:D12)</f>
        <v>144.07829742075</v>
      </c>
      <c r="E13" s="57" t="n">
        <f aca="false">E9-SUM(E10:E12)</f>
        <v>152.1621811875</v>
      </c>
      <c r="F13" s="57" t="n">
        <f aca="false">F9-SUM(F10:F12)</f>
        <v>152.1621811875</v>
      </c>
      <c r="G13" s="57" t="n">
        <f aca="false">G9-SUM(G10:G12)</f>
        <v>152.1621811875</v>
      </c>
    </row>
    <row r="14" customFormat="false" ht="15" hidden="false" customHeight="false" outlineLevel="0" collapsed="false">
      <c r="A14" s="38" t="s">
        <v>131</v>
      </c>
      <c r="C14" s="44" t="n">
        <f aca="false">IF(C$8=0,0,C$9*INDEX(経費前提!$B$15:$D$15,1,C$8))</f>
        <v>5.4006858675</v>
      </c>
      <c r="D14" s="44" t="n">
        <f aca="false">IF(D$8=0,0,D$9*INDEX(経費前提!$B$15:$D$15,1,D$8))</f>
        <v>5.8807468335</v>
      </c>
      <c r="E14" s="44" t="n">
        <f aca="false">IF(E$8=0,0,E$9*INDEX(経費前提!$B$15:$D$15,1,E$8))</f>
        <v>6.000762075</v>
      </c>
      <c r="F14" s="44" t="n">
        <f aca="false">IF(F$8=0,0,F$9*INDEX(経費前提!$B$15:$D$15,1,F$8))</f>
        <v>6.000762075</v>
      </c>
      <c r="G14" s="44" t="n">
        <f aca="false">IF(G$8=0,0,G$9*INDEX(経費前提!$B$15:$D$15,1,G$8))</f>
        <v>6.000762075</v>
      </c>
    </row>
    <row r="15" customFormat="false" ht="15" hidden="false" customHeight="false" outlineLevel="0" collapsed="false">
      <c r="A15" s="38" t="s">
        <v>133</v>
      </c>
      <c r="C15" s="44" t="n">
        <f aca="false">IF(C$8=0,0,C$9*INDEX(経費前提!$B$16:$D$16,1,C$8))</f>
        <v>1.92881638125</v>
      </c>
      <c r="D15" s="44" t="n">
        <f aca="false">IF(D$8=0,0,D$9*INDEX(経費前提!$B$16:$D$16,1,D$8))</f>
        <v>2.10026672625</v>
      </c>
      <c r="E15" s="44" t="n">
        <f aca="false">IF(E$8=0,0,E$9*INDEX(経費前提!$B$16:$D$16,1,E$8))</f>
        <v>2.1431293125</v>
      </c>
      <c r="F15" s="44" t="n">
        <f aca="false">IF(F$8=0,0,F$9*INDEX(経費前提!$B$16:$D$16,1,F$8))</f>
        <v>2.1431293125</v>
      </c>
      <c r="G15" s="44" t="n">
        <f aca="false">IF(G$8=0,0,G$9*INDEX(経費前提!$B$16:$D$16,1,G$8))</f>
        <v>2.1431293125</v>
      </c>
    </row>
    <row r="16" customFormat="false" ht="15" hidden="false" customHeight="false" outlineLevel="0" collapsed="false">
      <c r="A16" s="38" t="s">
        <v>134</v>
      </c>
      <c r="C16" s="44" t="n">
        <f aca="false">IF(C$8=0,0,C$9*INDEX(経費前提!$B$17:$D$17,1,C$8))</f>
        <v>15.43053105</v>
      </c>
      <c r="D16" s="44" t="n">
        <f aca="false">IF(D$8=0,0,D$9*INDEX(経費前提!$B$17:$D$17,1,D$8))</f>
        <v>15.9620271195</v>
      </c>
      <c r="E16" s="44" t="n">
        <f aca="false">IF(E$8=0,0,E$9*INDEX(経費前提!$B$17:$D$17,1,E$8))</f>
        <v>15.43053105</v>
      </c>
      <c r="F16" s="44" t="n">
        <f aca="false">IF(F$8=0,0,F$9*INDEX(経費前提!$B$17:$D$17,1,F$8))</f>
        <v>15.43053105</v>
      </c>
      <c r="G16" s="44" t="n">
        <f aca="false">IF(G$8=0,0,G$9*INDEX(経費前提!$B$17:$D$17,1,G$8))</f>
        <v>15.43053105</v>
      </c>
    </row>
    <row r="17" customFormat="false" ht="15" hidden="false" customHeight="false" outlineLevel="0" collapsed="false">
      <c r="A17" s="62" t="s">
        <v>205</v>
      </c>
      <c r="C17" s="57" t="n">
        <f aca="false">C13-SUM(C14:C16)</f>
        <v>104.92761114</v>
      </c>
      <c r="D17" s="57" t="n">
        <f aca="false">D13-SUM(D14:D16)</f>
        <v>120.1352567415</v>
      </c>
      <c r="E17" s="57" t="n">
        <f aca="false">E13-SUM(E14:E16)</f>
        <v>128.58775875</v>
      </c>
      <c r="F17" s="57" t="n">
        <f aca="false">F13-SUM(F14:F16)</f>
        <v>128.58775875</v>
      </c>
      <c r="G17" s="57" t="n">
        <f aca="false">G13-SUM(G14:G16)</f>
        <v>128.58775875</v>
      </c>
    </row>
    <row r="18" customFormat="false" ht="15" hidden="false" customHeight="false" outlineLevel="0" collapsed="false">
      <c r="A18" s="38" t="s">
        <v>136</v>
      </c>
      <c r="C18" s="44" t="n">
        <f aca="false">IF(C$8=0,0,C$9*INDEX(経費前提!$B$18:$D$18,1,C$8))</f>
        <v>15.43053105</v>
      </c>
      <c r="D18" s="44" t="n">
        <f aca="false">IF(D$8=0,0,D$9*INDEX(経費前提!$B$18:$D$18,1,D$8))</f>
        <v>16.80213381</v>
      </c>
      <c r="E18" s="44" t="n">
        <f aca="false">IF(E$8=0,0,E$9*INDEX(経費前提!$B$18:$D$18,1,E$8))</f>
        <v>17.1450345</v>
      </c>
      <c r="F18" s="44" t="n">
        <f aca="false">IF(F$8=0,0,F$9*INDEX(経費前提!$B$18:$D$18,1,F$8))</f>
        <v>17.1450345</v>
      </c>
      <c r="G18" s="44" t="n">
        <f aca="false">IF(G$8=0,0,G$9*INDEX(経費前提!$B$18:$D$18,1,G$8))</f>
        <v>17.1450345</v>
      </c>
    </row>
    <row r="19" customFormat="false" ht="15" hidden="false" customHeight="false" outlineLevel="0" collapsed="false">
      <c r="A19" s="38" t="s">
        <v>138</v>
      </c>
      <c r="C19" s="44" t="n">
        <f aca="false">IF(C$8=0,0,C$9*INDEX(経費前提!$B$19:$D$19,1,C$8))</f>
        <v>2.70034293375</v>
      </c>
      <c r="D19" s="44" t="n">
        <f aca="false">IF(D$8=0,0,D$9*INDEX(経費前提!$B$19:$D$19,1,D$8))</f>
        <v>2.94037341675</v>
      </c>
      <c r="E19" s="44" t="n">
        <f aca="false">IF(E$8=0,0,E$9*INDEX(経費前提!$B$19:$D$19,1,E$8))</f>
        <v>3.0003810375</v>
      </c>
      <c r="F19" s="44" t="n">
        <f aca="false">IF(F$8=0,0,F$9*INDEX(経費前提!$B$19:$D$19,1,F$8))</f>
        <v>3.0003810375</v>
      </c>
      <c r="G19" s="44" t="n">
        <f aca="false">IF(G$8=0,0,G$9*INDEX(経費前提!$B$19:$D$19,1,G$8))</f>
        <v>3.0003810375</v>
      </c>
    </row>
    <row r="20" customFormat="false" ht="15" hidden="false" customHeight="false" outlineLevel="0" collapsed="false">
      <c r="A20" s="38" t="s">
        <v>194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195</v>
      </c>
      <c r="C21" s="44" t="n">
        <f aca="false">IF(C8=0,0,MAX(0,C9/$B$6-経費前提!$B$27*IF(C8=1,$B$7/12,1))*経費前提!$B$26*$B$6)</f>
        <v>3.8054293375</v>
      </c>
      <c r="D21" s="44" t="n">
        <f aca="false">IF(D8=0,0,MAX(0,D9/$B$6-経費前提!$B$27*IF(D8=1,$B$7/12,1))*経費前提!$B$26*$B$6)</f>
        <v>6.2057341675</v>
      </c>
      <c r="E21" s="44" t="n">
        <f aca="false">IF(E8=0,0,MAX(0,E9/$B$6-経費前提!$B$27*IF(E8=1,$B$7/12,1))*経費前提!$B$26*$B$6)</f>
        <v>6.805810375</v>
      </c>
      <c r="F21" s="44" t="n">
        <f aca="false">IF(F8=0,0,MAX(0,F9/$B$6-経費前提!$B$27*IF(F8=1,$B$7/12,1))*経費前提!$B$26*$B$6)</f>
        <v>6.805810375</v>
      </c>
      <c r="G21" s="44" t="n">
        <f aca="false">IF(G8=0,0,MAX(0,G9/$B$6-経費前提!$B$27*IF(G8=1,$B$7/12,1))*経費前提!$B$26*$B$6)</f>
        <v>6.805810375</v>
      </c>
    </row>
    <row r="22" customFormat="false" ht="15" hidden="false" customHeight="false" outlineLevel="0" collapsed="false">
      <c r="A22" s="38" t="s">
        <v>206</v>
      </c>
      <c r="C22" s="44" t="n">
        <f aca="false">IF(C$8=0,0,C$9*INDEX(経費前提!$B$20:$D$20,1,C$8))</f>
        <v>9.64408190625</v>
      </c>
      <c r="D22" s="44" t="n">
        <f aca="false">IF(D$8=0,0,D$9*INDEX(経費前提!$B$20:$D$20,1,D$8))</f>
        <v>10.50133363125</v>
      </c>
      <c r="E22" s="44" t="n">
        <f aca="false">IF(E$8=0,0,E$9*INDEX(経費前提!$B$20:$D$20,1,E$8))</f>
        <v>10.7156465625</v>
      </c>
      <c r="F22" s="44" t="n">
        <f aca="false">IF(F$8=0,0,F$9*INDEX(経費前提!$B$20:$D$20,1,F$8))</f>
        <v>10.7156465625</v>
      </c>
      <c r="G22" s="44" t="n">
        <f aca="false">IF(G$8=0,0,G$9*INDEX(経費前提!$B$20:$D$20,1,G$8))</f>
        <v>10.7156465625</v>
      </c>
    </row>
    <row r="23" customFormat="false" ht="15" hidden="false" customHeight="false" outlineLevel="0" collapsed="false">
      <c r="A23" s="10" t="s">
        <v>207</v>
      </c>
      <c r="C23" s="57" t="n">
        <f aca="false">C17-SUM(C18:C22)</f>
        <v>46.7072259125</v>
      </c>
      <c r="D23" s="57" t="n">
        <f aca="false">D17-SUM(D18:D22)</f>
        <v>57.045681716</v>
      </c>
      <c r="E23" s="57" t="n">
        <f aca="false">E17-SUM(E18:E22)</f>
        <v>64.280886275</v>
      </c>
      <c r="F23" s="57" t="n">
        <f aca="false">F17-SUM(F18:F22)</f>
        <v>64.280886275</v>
      </c>
      <c r="G23" s="57" t="n">
        <f aca="false">G17-SUM(G18:G22)</f>
        <v>64.280886275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IF(C8=0,0,経費前提!$B$40*$B$6*IF(C8=1,$B$7/12,1))</f>
        <v>20.825</v>
      </c>
      <c r="D24" s="44" t="n">
        <f aca="false">IF(D8=0,0,経費前提!$B$40*$B$6*IF(D8=1,$B$7/12,1))</f>
        <v>20.825</v>
      </c>
      <c r="E24" s="44" t="n">
        <f aca="false">IF(E8=0,0,経費前提!$B$40*$B$6*IF(E8=1,$B$7/12,1))</f>
        <v>20.825</v>
      </c>
      <c r="F24" s="44" t="n">
        <f aca="false">IF(F8=0,0,経費前提!$B$40*$B$6*IF(F8=1,$B$7/12,1))</f>
        <v>20.825</v>
      </c>
      <c r="G24" s="44" t="n">
        <f aca="false">IF(G8=0,0,経費前提!$B$40*$B$6*IF(G8=1,$B$7/12,1))</f>
        <v>20.825</v>
      </c>
    </row>
    <row r="25" customFormat="false" ht="15" hidden="false" customHeight="false" outlineLevel="0" collapsed="false">
      <c r="A25" s="10" t="s">
        <v>208</v>
      </c>
      <c r="C25" s="57" t="n">
        <f aca="false">C23-C24</f>
        <v>25.8822259125</v>
      </c>
      <c r="D25" s="57" t="n">
        <f aca="false">D23-D24</f>
        <v>36.220681716</v>
      </c>
      <c r="E25" s="57" t="n">
        <f aca="false">E23-E24</f>
        <v>43.455886275</v>
      </c>
      <c r="F25" s="57" t="n">
        <f aca="false">F23-F24</f>
        <v>43.455886275</v>
      </c>
      <c r="G25" s="57" t="n">
        <f aca="false">G23-G24</f>
        <v>43.455886275</v>
      </c>
    </row>
    <row r="27" customFormat="false" ht="15" hidden="false" customHeight="false" outlineLevel="0" collapsed="false">
      <c r="A27" s="3" t="s">
        <v>209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59" t="s">
        <v>202</v>
      </c>
      <c r="B28" s="32" t="n">
        <v>2</v>
      </c>
    </row>
    <row r="29" customFormat="false" ht="15" hidden="false" customHeight="false" outlineLevel="0" collapsed="false">
      <c r="A29" s="59" t="s">
        <v>203</v>
      </c>
      <c r="B29" s="9" t="n">
        <f aca="false">売上前提!$B$9</f>
        <v>7.5</v>
      </c>
    </row>
    <row r="30" customFormat="false" ht="15" hidden="false" customHeight="false" outlineLevel="0" collapsed="false">
      <c r="A30" s="59" t="s">
        <v>204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0" t="n">
        <f aca="false">IF(C30=0,0,売上前提!$K$28*INDEX(売上前提!$B$6:$B$8,C30)*$B$28*IF(C30=1,$B$29/12,1))</f>
        <v>0</v>
      </c>
      <c r="D31" s="60" t="n">
        <f aca="false">IF(D30=0,0,売上前提!$K$28*INDEX(売上前提!$B$6:$B$8,D30)*$B$28*IF(D30=1,$B$29/12,1))</f>
        <v>482.2040953125</v>
      </c>
      <c r="E31" s="60" t="n">
        <f aca="false">IF(E30=0,0,売上前提!$K$28*INDEX(売上前提!$B$6:$B$8,E30)*$B$28*IF(E30=1,$B$29/12,1))</f>
        <v>840.1066905</v>
      </c>
      <c r="F31" s="60" t="n">
        <f aca="false">IF(F30=0,0,売上前提!$K$28*INDEX(売上前提!$B$6:$B$8,F30)*$B$28*IF(F30=1,$B$29/12,1))</f>
        <v>857.251725</v>
      </c>
      <c r="G31" s="60" t="n">
        <f aca="false">IF(G30=0,0,売上前提!$K$28*INDEX(売上前提!$B$6:$B$8,G30)*$B$28*IF(G30=1,$B$29/12,1))</f>
        <v>857.251725</v>
      </c>
    </row>
    <row r="32" customFormat="false" ht="15" hidden="false" customHeight="false" outlineLevel="0" collapsed="false">
      <c r="A32" s="38" t="s">
        <v>191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144.66122859375</v>
      </c>
      <c r="E32" s="44" t="n">
        <f aca="false">IF(E$30=0,0,E$31*INDEX(経費前提!$B$12:$D$12,1,E$30))</f>
        <v>252.03200715</v>
      </c>
      <c r="F32" s="44" t="n">
        <f aca="false">IF(F$30=0,0,F$31*INDEX(経費前提!$B$12:$D$12,1,F$30))</f>
        <v>257.1755175</v>
      </c>
      <c r="G32" s="44" t="n">
        <f aca="false">IF(G$30=0,0,G$31*INDEX(経費前提!$B$12:$D$12,1,G$30))</f>
        <v>257.1755175</v>
      </c>
    </row>
    <row r="33" customFormat="false" ht="15" hidden="false" customHeight="false" outlineLevel="0" collapsed="false">
      <c r="A33" s="38" t="s">
        <v>127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166.360412882812</v>
      </c>
      <c r="E33" s="44" t="n">
        <f aca="false">IF(E$30=0,0,E$31*INDEX(経費前提!$B$13:$D$13,1,E$30))</f>
        <v>281.4357413175</v>
      </c>
      <c r="F33" s="44" t="n">
        <f aca="false">IF(F$30=0,0,F$31*INDEX(経費前提!$B$13:$D$13,1,F$30))</f>
        <v>278.606810625</v>
      </c>
      <c r="G33" s="44" t="n">
        <f aca="false">IF(G$30=0,0,G$31*INDEX(経費前提!$B$13:$D$13,1,G$30))</f>
        <v>278.606810625</v>
      </c>
    </row>
    <row r="34" customFormat="false" ht="15" hidden="false" customHeight="false" outlineLevel="0" collapsed="false">
      <c r="A34" s="38" t="s">
        <v>129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11.5728982875</v>
      </c>
      <c r="E34" s="44" t="n">
        <f aca="false">IF(E$30=0,0,E$31*INDEX(経費前提!$B$14:$D$14,1,E$30))</f>
        <v>18.482347191</v>
      </c>
      <c r="F34" s="44" t="n">
        <f aca="false">IF(F$30=0,0,F$31*INDEX(経費前提!$B$14:$D$14,1,F$30))</f>
        <v>17.1450345</v>
      </c>
      <c r="G34" s="44" t="n">
        <f aca="false">IF(G$30=0,0,G$31*INDEX(経費前提!$B$14:$D$14,1,G$30))</f>
        <v>17.1450345</v>
      </c>
    </row>
    <row r="35" customFormat="false" ht="15" hidden="false" customHeight="false" outlineLevel="0" collapsed="false">
      <c r="A35" s="61" t="s">
        <v>192</v>
      </c>
      <c r="C35" s="57" t="n">
        <f aca="false">C31-SUM(C32:C34)</f>
        <v>0</v>
      </c>
      <c r="D35" s="57" t="n">
        <f aca="false">D31-SUM(D32:D34)</f>
        <v>159.609555548438</v>
      </c>
      <c r="E35" s="57" t="n">
        <f aca="false">E31-SUM(E32:E34)</f>
        <v>288.1565948415</v>
      </c>
      <c r="F35" s="57" t="n">
        <f aca="false">F31-SUM(F32:F34)</f>
        <v>304.324362375</v>
      </c>
      <c r="G35" s="57" t="n">
        <f aca="false">G31-SUM(G32:G34)</f>
        <v>304.324362375</v>
      </c>
    </row>
    <row r="36" customFormat="false" ht="15" hidden="false" customHeight="false" outlineLevel="0" collapsed="false">
      <c r="A36" s="38" t="s">
        <v>131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6.750857334375</v>
      </c>
      <c r="E36" s="44" t="n">
        <f aca="false">IF(E$30=0,0,E$31*INDEX(経費前提!$B$15:$D$15,1,E$30))</f>
        <v>11.761493667</v>
      </c>
      <c r="F36" s="44" t="n">
        <f aca="false">IF(F$30=0,0,F$31*INDEX(経費前提!$B$15:$D$15,1,F$30))</f>
        <v>12.00152415</v>
      </c>
      <c r="G36" s="44" t="n">
        <f aca="false">IF(G$30=0,0,G$31*INDEX(経費前提!$B$15:$D$15,1,G$30))</f>
        <v>12.00152415</v>
      </c>
    </row>
    <row r="37" customFormat="false" ht="15" hidden="false" customHeight="false" outlineLevel="0" collapsed="false">
      <c r="A37" s="38" t="s">
        <v>133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2.4110204765625</v>
      </c>
      <c r="E37" s="44" t="n">
        <f aca="false">IF(E$30=0,0,E$31*INDEX(経費前提!$B$16:$D$16,1,E$30))</f>
        <v>4.2005334525</v>
      </c>
      <c r="F37" s="44" t="n">
        <f aca="false">IF(F$30=0,0,F$31*INDEX(経費前提!$B$16:$D$16,1,F$30))</f>
        <v>4.286258625</v>
      </c>
      <c r="G37" s="44" t="n">
        <f aca="false">IF(G$30=0,0,G$31*INDEX(経費前提!$B$16:$D$16,1,G$30))</f>
        <v>4.286258625</v>
      </c>
    </row>
    <row r="38" customFormat="false" ht="15" hidden="false" customHeight="false" outlineLevel="0" collapsed="false">
      <c r="A38" s="38" t="s">
        <v>134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19.2881638125</v>
      </c>
      <c r="E38" s="44" t="n">
        <f aca="false">IF(E$30=0,0,E$31*INDEX(経費前提!$B$17:$D$17,1,E$30))</f>
        <v>31.924054239</v>
      </c>
      <c r="F38" s="44" t="n">
        <f aca="false">IF(F$30=0,0,F$31*INDEX(経費前提!$B$17:$D$17,1,F$30))</f>
        <v>30.8610621</v>
      </c>
      <c r="G38" s="44" t="n">
        <f aca="false">IF(G$30=0,0,G$31*INDEX(経費前提!$B$17:$D$17,1,G$30))</f>
        <v>30.8610621</v>
      </c>
    </row>
    <row r="39" customFormat="false" ht="15" hidden="false" customHeight="false" outlineLevel="0" collapsed="false">
      <c r="A39" s="62" t="s">
        <v>205</v>
      </c>
      <c r="C39" s="57" t="n">
        <f aca="false">C35-SUM(C36:C38)</f>
        <v>0</v>
      </c>
      <c r="D39" s="57" t="n">
        <f aca="false">D35-SUM(D36:D38)</f>
        <v>131.159513925</v>
      </c>
      <c r="E39" s="57" t="n">
        <f aca="false">E35-SUM(E36:E38)</f>
        <v>240.270513483</v>
      </c>
      <c r="F39" s="57" t="n">
        <f aca="false">F35-SUM(F36:F38)</f>
        <v>257.1755175</v>
      </c>
      <c r="G39" s="57" t="n">
        <f aca="false">G35-SUM(G36:G38)</f>
        <v>257.1755175</v>
      </c>
    </row>
    <row r="40" customFormat="false" ht="15" hidden="false" customHeight="false" outlineLevel="0" collapsed="false">
      <c r="A40" s="38" t="s">
        <v>136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19.2881638125</v>
      </c>
      <c r="E40" s="44" t="n">
        <f aca="false">IF(E$30=0,0,E$31*INDEX(経費前提!$B$18:$D$18,1,E$30))</f>
        <v>33.60426762</v>
      </c>
      <c r="F40" s="44" t="n">
        <f aca="false">IF(F$30=0,0,F$31*INDEX(経費前提!$B$18:$D$18,1,F$30))</f>
        <v>34.290069</v>
      </c>
      <c r="G40" s="44" t="n">
        <f aca="false">IF(G$30=0,0,G$31*INDEX(経費前提!$B$18:$D$18,1,G$30))</f>
        <v>34.290069</v>
      </c>
    </row>
    <row r="41" customFormat="false" ht="15" hidden="false" customHeight="false" outlineLevel="0" collapsed="false">
      <c r="A41" s="38" t="s">
        <v>138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3.3754286671875</v>
      </c>
      <c r="E41" s="44" t="n">
        <f aca="false">IF(E$30=0,0,E$31*INDEX(経費前提!$B$19:$D$19,1,E$30))</f>
        <v>5.8807468335</v>
      </c>
      <c r="F41" s="44" t="n">
        <f aca="false">IF(F$30=0,0,F$31*INDEX(経費前提!$B$19:$D$19,1,F$30))</f>
        <v>6.000762075</v>
      </c>
      <c r="G41" s="44" t="n">
        <f aca="false">IF(G$30=0,0,G$31*INDEX(経費前提!$B$19:$D$19,1,G$30))</f>
        <v>6.000762075</v>
      </c>
    </row>
    <row r="42" customFormat="false" ht="15" hidden="false" customHeight="false" outlineLevel="0" collapsed="false">
      <c r="A42" s="38" t="s">
        <v>194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195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4.756786671875</v>
      </c>
      <c r="E43" s="44" t="n">
        <f aca="false">IF(E30=0,0,MAX(0,E31/$B$28-経費前提!$B$27*IF(E30=1,$B$29/12,1))*経費前提!$B$26*$B$28)</f>
        <v>12.411468335</v>
      </c>
      <c r="F43" s="44" t="n">
        <f aca="false">IF(F30=0,0,MAX(0,F31/$B$28-経費前提!$B$27*IF(F30=1,$B$29/12,1))*経費前提!$B$26*$B$28)</f>
        <v>13.61162075</v>
      </c>
      <c r="G43" s="44" t="n">
        <f aca="false">IF(G30=0,0,MAX(0,G31/$B$28-経費前提!$B$27*IF(G30=1,$B$29/12,1))*経費前提!$B$26*$B$28)</f>
        <v>13.61162075</v>
      </c>
    </row>
    <row r="44" customFormat="false" ht="15" hidden="false" customHeight="false" outlineLevel="0" collapsed="false">
      <c r="A44" s="38" t="s">
        <v>206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12.0551023828125</v>
      </c>
      <c r="E44" s="44" t="n">
        <f aca="false">IF(E$30=0,0,E$31*INDEX(経費前提!$B$20:$D$20,1,E$30))</f>
        <v>21.0026672625</v>
      </c>
      <c r="F44" s="44" t="n">
        <f aca="false">IF(F$30=0,0,F$31*INDEX(経費前提!$B$20:$D$20,1,F$30))</f>
        <v>21.431293125</v>
      </c>
      <c r="G44" s="44" t="n">
        <f aca="false">IF(G$30=0,0,G$31*INDEX(経費前提!$B$20:$D$20,1,G$30))</f>
        <v>21.431293125</v>
      </c>
    </row>
    <row r="45" customFormat="false" ht="15" hidden="false" customHeight="false" outlineLevel="0" collapsed="false">
      <c r="A45" s="10" t="s">
        <v>207</v>
      </c>
      <c r="C45" s="57" t="n">
        <f aca="false">C39-SUM(C40:C44)</f>
        <v>0</v>
      </c>
      <c r="D45" s="57" t="n">
        <f aca="false">D39-SUM(D40:D44)</f>
        <v>58.3840323906251</v>
      </c>
      <c r="E45" s="57" t="n">
        <f aca="false">E39-SUM(E40:E44)</f>
        <v>114.091363432</v>
      </c>
      <c r="F45" s="57" t="n">
        <f aca="false">F39-SUM(F40:F44)</f>
        <v>128.56177255</v>
      </c>
      <c r="G45" s="57" t="n">
        <f aca="false">G39-SUM(G40:G44)</f>
        <v>128.56177255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IF(C30=0,0,経費前提!$C$40*$B$28*IF(C30=1,$B$29/12,1))</f>
        <v>0</v>
      </c>
      <c r="D46" s="44" t="n">
        <f aca="false">IF(D30=0,0,経費前提!$C$40*$B$28*IF(D30=1,$B$29/12,1))</f>
        <v>26.03125</v>
      </c>
      <c r="E46" s="44" t="n">
        <f aca="false">IF(E30=0,0,経費前提!$C$40*$B$28*IF(E30=1,$B$29/12,1))</f>
        <v>41.65</v>
      </c>
      <c r="F46" s="44" t="n">
        <f aca="false">IF(F30=0,0,経費前提!$C$40*$B$28*IF(F30=1,$B$29/12,1))</f>
        <v>41.65</v>
      </c>
      <c r="G46" s="44" t="n">
        <f aca="false">IF(G30=0,0,経費前提!$C$40*$B$28*IF(G30=1,$B$29/12,1))</f>
        <v>41.65</v>
      </c>
    </row>
    <row r="47" customFormat="false" ht="15" hidden="false" customHeight="false" outlineLevel="0" collapsed="false">
      <c r="A47" s="10" t="s">
        <v>208</v>
      </c>
      <c r="C47" s="57" t="n">
        <f aca="false">C45-C46</f>
        <v>0</v>
      </c>
      <c r="D47" s="57" t="n">
        <f aca="false">D45-D46</f>
        <v>32.3527823906251</v>
      </c>
      <c r="E47" s="57" t="n">
        <f aca="false">E45-E46</f>
        <v>72.441363432</v>
      </c>
      <c r="F47" s="57" t="n">
        <f aca="false">F45-F46</f>
        <v>86.9117725500001</v>
      </c>
      <c r="G47" s="57" t="n">
        <f aca="false">G45-G46</f>
        <v>86.9117725500001</v>
      </c>
    </row>
    <row r="49" customFormat="false" ht="15" hidden="false" customHeight="false" outlineLevel="0" collapsed="false">
      <c r="A49" s="3" t="s">
        <v>210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59" t="s">
        <v>202</v>
      </c>
      <c r="B50" s="32" t="n">
        <v>2</v>
      </c>
    </row>
    <row r="51" customFormat="false" ht="15" hidden="false" customHeight="false" outlineLevel="0" collapsed="false">
      <c r="A51" s="59" t="s">
        <v>203</v>
      </c>
      <c r="B51" s="9" t="n">
        <f aca="false">売上前提!$B$9</f>
        <v>7.5</v>
      </c>
    </row>
    <row r="52" customFormat="false" ht="15" hidden="false" customHeight="false" outlineLevel="0" collapsed="false">
      <c r="A52" s="59" t="s">
        <v>204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0" t="n">
        <f aca="false">IF(C52=0,0,売上前提!$K$28*INDEX(売上前提!$B$6:$B$8,C52)*$B$50*IF(C52=1,$B$51/12,1))</f>
        <v>0</v>
      </c>
      <c r="D53" s="60" t="n">
        <f aca="false">IF(D52=0,0,売上前提!$K$28*INDEX(売上前提!$B$6:$B$8,D52)*$B$50*IF(D52=1,$B$51/12,1))</f>
        <v>0</v>
      </c>
      <c r="E53" s="60" t="n">
        <f aca="false">IF(E52=0,0,売上前提!$K$28*INDEX(売上前提!$B$6:$B$8,E52)*$B$50*IF(E52=1,$B$51/12,1))</f>
        <v>482.2040953125</v>
      </c>
      <c r="F53" s="60" t="n">
        <f aca="false">IF(F52=0,0,売上前提!$K$28*INDEX(売上前提!$B$6:$B$8,F52)*$B$50*IF(F52=1,$B$51/12,1))</f>
        <v>840.1066905</v>
      </c>
      <c r="G53" s="60" t="n">
        <f aca="false">IF(G52=0,0,売上前提!$K$28*INDEX(売上前提!$B$6:$B$8,G52)*$B$50*IF(G52=1,$B$51/12,1))</f>
        <v>857.251725</v>
      </c>
    </row>
    <row r="54" customFormat="false" ht="15" hidden="false" customHeight="false" outlineLevel="0" collapsed="false">
      <c r="A54" s="38" t="s">
        <v>191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144.66122859375</v>
      </c>
      <c r="F54" s="44" t="n">
        <f aca="false">IF(F$52=0,0,F$53*INDEX(経費前提!$B$12:$D$12,1,F$52))</f>
        <v>252.03200715</v>
      </c>
      <c r="G54" s="44" t="n">
        <f aca="false">IF(G$52=0,0,G$53*INDEX(経費前提!$B$12:$D$12,1,G$52))</f>
        <v>257.1755175</v>
      </c>
    </row>
    <row r="55" customFormat="false" ht="15" hidden="false" customHeight="false" outlineLevel="0" collapsed="false">
      <c r="A55" s="38" t="s">
        <v>127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166.360412882812</v>
      </c>
      <c r="F55" s="44" t="n">
        <f aca="false">IF(F$52=0,0,F$53*INDEX(経費前提!$B$13:$D$13,1,F$52))</f>
        <v>281.4357413175</v>
      </c>
      <c r="G55" s="44" t="n">
        <f aca="false">IF(G$52=0,0,G$53*INDEX(経費前提!$B$13:$D$13,1,G$52))</f>
        <v>278.606810625</v>
      </c>
    </row>
    <row r="56" customFormat="false" ht="15" hidden="false" customHeight="false" outlineLevel="0" collapsed="false">
      <c r="A56" s="38" t="s">
        <v>129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11.5728982875</v>
      </c>
      <c r="F56" s="44" t="n">
        <f aca="false">IF(F$52=0,0,F$53*INDEX(経費前提!$B$14:$D$14,1,F$52))</f>
        <v>18.482347191</v>
      </c>
      <c r="G56" s="44" t="n">
        <f aca="false">IF(G$52=0,0,G$53*INDEX(経費前提!$B$14:$D$14,1,G$52))</f>
        <v>17.1450345</v>
      </c>
    </row>
    <row r="57" customFormat="false" ht="15" hidden="false" customHeight="false" outlineLevel="0" collapsed="false">
      <c r="A57" s="61" t="s">
        <v>192</v>
      </c>
      <c r="C57" s="57" t="n">
        <f aca="false">C53-SUM(C54:C56)</f>
        <v>0</v>
      </c>
      <c r="D57" s="57" t="n">
        <f aca="false">D53-SUM(D54:D56)</f>
        <v>0</v>
      </c>
      <c r="E57" s="57" t="n">
        <f aca="false">E53-SUM(E54:E56)</f>
        <v>159.609555548438</v>
      </c>
      <c r="F57" s="57" t="n">
        <f aca="false">F53-SUM(F54:F56)</f>
        <v>288.1565948415</v>
      </c>
      <c r="G57" s="57" t="n">
        <f aca="false">G53-SUM(G54:G56)</f>
        <v>304.324362375</v>
      </c>
    </row>
    <row r="58" customFormat="false" ht="15" hidden="false" customHeight="false" outlineLevel="0" collapsed="false">
      <c r="A58" s="38" t="s">
        <v>131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6.750857334375</v>
      </c>
      <c r="F58" s="44" t="n">
        <f aca="false">IF(F$52=0,0,F$53*INDEX(経費前提!$B$15:$D$15,1,F$52))</f>
        <v>11.761493667</v>
      </c>
      <c r="G58" s="44" t="n">
        <f aca="false">IF(G$52=0,0,G$53*INDEX(経費前提!$B$15:$D$15,1,G$52))</f>
        <v>12.00152415</v>
      </c>
    </row>
    <row r="59" customFormat="false" ht="15" hidden="false" customHeight="false" outlineLevel="0" collapsed="false">
      <c r="A59" s="38" t="s">
        <v>133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2.4110204765625</v>
      </c>
      <c r="F59" s="44" t="n">
        <f aca="false">IF(F$52=0,0,F$53*INDEX(経費前提!$B$16:$D$16,1,F$52))</f>
        <v>4.2005334525</v>
      </c>
      <c r="G59" s="44" t="n">
        <f aca="false">IF(G$52=0,0,G$53*INDEX(経費前提!$B$16:$D$16,1,G$52))</f>
        <v>4.286258625</v>
      </c>
    </row>
    <row r="60" customFormat="false" ht="15" hidden="false" customHeight="false" outlineLevel="0" collapsed="false">
      <c r="A60" s="38" t="s">
        <v>134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19.2881638125</v>
      </c>
      <c r="F60" s="44" t="n">
        <f aca="false">IF(F$52=0,0,F$53*INDEX(経費前提!$B$17:$D$17,1,F$52))</f>
        <v>31.924054239</v>
      </c>
      <c r="G60" s="44" t="n">
        <f aca="false">IF(G$52=0,0,G$53*INDEX(経費前提!$B$17:$D$17,1,G$52))</f>
        <v>30.8610621</v>
      </c>
    </row>
    <row r="61" customFormat="false" ht="15" hidden="false" customHeight="false" outlineLevel="0" collapsed="false">
      <c r="A61" s="62" t="s">
        <v>205</v>
      </c>
      <c r="C61" s="57" t="n">
        <f aca="false">C57-SUM(C58:C60)</f>
        <v>0</v>
      </c>
      <c r="D61" s="57" t="n">
        <f aca="false">D57-SUM(D58:D60)</f>
        <v>0</v>
      </c>
      <c r="E61" s="57" t="n">
        <f aca="false">E57-SUM(E58:E60)</f>
        <v>131.159513925</v>
      </c>
      <c r="F61" s="57" t="n">
        <f aca="false">F57-SUM(F58:F60)</f>
        <v>240.270513483</v>
      </c>
      <c r="G61" s="57" t="n">
        <f aca="false">G57-SUM(G58:G60)</f>
        <v>257.1755175</v>
      </c>
    </row>
    <row r="62" customFormat="false" ht="15" hidden="false" customHeight="false" outlineLevel="0" collapsed="false">
      <c r="A62" s="38" t="s">
        <v>136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19.2881638125</v>
      </c>
      <c r="F62" s="44" t="n">
        <f aca="false">IF(F$52=0,0,F$53*INDEX(経費前提!$B$18:$D$18,1,F$52))</f>
        <v>33.60426762</v>
      </c>
      <c r="G62" s="44" t="n">
        <f aca="false">IF(G$52=0,0,G$53*INDEX(経費前提!$B$18:$D$18,1,G$52))</f>
        <v>34.290069</v>
      </c>
    </row>
    <row r="63" customFormat="false" ht="15" hidden="false" customHeight="false" outlineLevel="0" collapsed="false">
      <c r="A63" s="38" t="s">
        <v>138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3.3754286671875</v>
      </c>
      <c r="F63" s="44" t="n">
        <f aca="false">IF(F$52=0,0,F$53*INDEX(経費前提!$B$19:$D$19,1,F$52))</f>
        <v>5.8807468335</v>
      </c>
      <c r="G63" s="44" t="n">
        <f aca="false">IF(G$52=0,0,G$53*INDEX(経費前提!$B$19:$D$19,1,G$52))</f>
        <v>6.000762075</v>
      </c>
    </row>
    <row r="64" customFormat="false" ht="15" hidden="false" customHeight="false" outlineLevel="0" collapsed="false">
      <c r="A64" s="38" t="s">
        <v>194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195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4.756786671875</v>
      </c>
      <c r="F65" s="44" t="n">
        <f aca="false">IF(F52=0,0,MAX(0,F53/$B$50-経費前提!$B$27*IF(F52=1,$B$51/12,1))*経費前提!$B$26*$B$50)</f>
        <v>12.411468335</v>
      </c>
      <c r="G65" s="44" t="n">
        <f aca="false">IF(G52=0,0,MAX(0,G53/$B$50-経費前提!$B$27*IF(G52=1,$B$51/12,1))*経費前提!$B$26*$B$50)</f>
        <v>13.61162075</v>
      </c>
    </row>
    <row r="66" customFormat="false" ht="15" hidden="false" customHeight="false" outlineLevel="0" collapsed="false">
      <c r="A66" s="38" t="s">
        <v>206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12.0551023828125</v>
      </c>
      <c r="F66" s="44" t="n">
        <f aca="false">IF(F$52=0,0,F$53*INDEX(経費前提!$B$20:$D$20,1,F$52))</f>
        <v>21.0026672625</v>
      </c>
      <c r="G66" s="44" t="n">
        <f aca="false">IF(G$52=0,0,G$53*INDEX(経費前提!$B$20:$D$20,1,G$52))</f>
        <v>21.431293125</v>
      </c>
    </row>
    <row r="67" customFormat="false" ht="15" hidden="false" customHeight="false" outlineLevel="0" collapsed="false">
      <c r="A67" s="10" t="s">
        <v>207</v>
      </c>
      <c r="C67" s="57" t="n">
        <f aca="false">C61-SUM(C62:C66)</f>
        <v>0</v>
      </c>
      <c r="D67" s="57" t="n">
        <f aca="false">D61-SUM(D62:D66)</f>
        <v>0</v>
      </c>
      <c r="E67" s="57" t="n">
        <f aca="false">E61-SUM(E62:E66)</f>
        <v>58.3840323906251</v>
      </c>
      <c r="F67" s="57" t="n">
        <f aca="false">F61-SUM(F62:F66)</f>
        <v>114.091363432</v>
      </c>
      <c r="G67" s="57" t="n">
        <f aca="false">G61-SUM(G62:G66)</f>
        <v>128.56177255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IF(C52=0,0,経費前提!$D$40*$B$50*IF(C52=1,$B$51/12,1))</f>
        <v>0</v>
      </c>
      <c r="D68" s="44" t="n">
        <f aca="false">IF(D52=0,0,経費前提!$D$40*$B$50*IF(D52=1,$B$51/12,1))</f>
        <v>0</v>
      </c>
      <c r="E68" s="44" t="n">
        <f aca="false">IF(E52=0,0,経費前提!$D$40*$B$50*IF(E52=1,$B$51/12,1))</f>
        <v>25.40625</v>
      </c>
      <c r="F68" s="44" t="n">
        <f aca="false">IF(F52=0,0,経費前提!$D$40*$B$50*IF(F52=1,$B$51/12,1))</f>
        <v>40.65</v>
      </c>
      <c r="G68" s="44" t="n">
        <f aca="false">IF(G52=0,0,経費前提!$D$40*$B$50*IF(G52=1,$B$51/12,1))</f>
        <v>40.65</v>
      </c>
    </row>
    <row r="69" customFormat="false" ht="15" hidden="false" customHeight="false" outlineLevel="0" collapsed="false">
      <c r="A69" s="10" t="s">
        <v>208</v>
      </c>
      <c r="C69" s="57" t="n">
        <f aca="false">C67-C68</f>
        <v>0</v>
      </c>
      <c r="D69" s="57" t="n">
        <f aca="false">D67-D68</f>
        <v>0</v>
      </c>
      <c r="E69" s="57" t="n">
        <f aca="false">E67-E68</f>
        <v>32.9777823906251</v>
      </c>
      <c r="F69" s="57" t="n">
        <f aca="false">F67-F68</f>
        <v>73.441363432</v>
      </c>
      <c r="G69" s="57" t="n">
        <f aca="false">G67-G68</f>
        <v>87.9117725500001</v>
      </c>
    </row>
    <row r="71" customFormat="false" ht="15" hidden="false" customHeight="false" outlineLevel="0" collapsed="false">
      <c r="A71" s="3" t="s">
        <v>211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59" t="s">
        <v>202</v>
      </c>
      <c r="B72" s="32" t="n">
        <v>2</v>
      </c>
    </row>
    <row r="73" customFormat="false" ht="15" hidden="false" customHeight="false" outlineLevel="0" collapsed="false">
      <c r="A73" s="59" t="s">
        <v>203</v>
      </c>
      <c r="B73" s="9" t="n">
        <f aca="false">売上前提!$B$9</f>
        <v>7.5</v>
      </c>
    </row>
    <row r="74" customFormat="false" ht="15" hidden="false" customHeight="false" outlineLevel="0" collapsed="false">
      <c r="A74" s="59" t="s">
        <v>204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0" t="n">
        <f aca="false">IF(C74=0,0,売上前提!$K$28*INDEX(売上前提!$B$6:$B$8,C74)*$B$72*IF(C74=1,$B$73/12,1))</f>
        <v>0</v>
      </c>
      <c r="D75" s="60" t="n">
        <f aca="false">IF(D74=0,0,売上前提!$K$28*INDEX(売上前提!$B$6:$B$8,D74)*$B$72*IF(D74=1,$B$73/12,1))</f>
        <v>0</v>
      </c>
      <c r="E75" s="60" t="n">
        <f aca="false">IF(E74=0,0,売上前提!$K$28*INDEX(売上前提!$B$6:$B$8,E74)*$B$72*IF(E74=1,$B$73/12,1))</f>
        <v>0</v>
      </c>
      <c r="F75" s="60" t="n">
        <f aca="false">IF(F74=0,0,売上前提!$K$28*INDEX(売上前提!$B$6:$B$8,F74)*$B$72*IF(F74=1,$B$73/12,1))</f>
        <v>482.2040953125</v>
      </c>
      <c r="G75" s="60" t="n">
        <f aca="false">IF(G74=0,0,売上前提!$K$28*INDEX(売上前提!$B$6:$B$8,G74)*$B$72*IF(G74=1,$B$73/12,1))</f>
        <v>840.1066905</v>
      </c>
    </row>
    <row r="76" customFormat="false" ht="15" hidden="false" customHeight="false" outlineLevel="0" collapsed="false">
      <c r="A76" s="38" t="s">
        <v>191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144.66122859375</v>
      </c>
      <c r="G76" s="44" t="n">
        <f aca="false">IF(G$74=0,0,G$75*INDEX(経費前提!$B$12:$D$12,1,G$74))</f>
        <v>252.03200715</v>
      </c>
    </row>
    <row r="77" customFormat="false" ht="15" hidden="false" customHeight="false" outlineLevel="0" collapsed="false">
      <c r="A77" s="38" t="s">
        <v>127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166.360412882812</v>
      </c>
      <c r="G77" s="44" t="n">
        <f aca="false">IF(G$74=0,0,G$75*INDEX(経費前提!$B$13:$D$13,1,G$74))</f>
        <v>281.4357413175</v>
      </c>
    </row>
    <row r="78" customFormat="false" ht="15" hidden="false" customHeight="false" outlineLevel="0" collapsed="false">
      <c r="A78" s="38" t="s">
        <v>129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11.5728982875</v>
      </c>
      <c r="G78" s="44" t="n">
        <f aca="false">IF(G$74=0,0,G$75*INDEX(経費前提!$B$14:$D$14,1,G$74))</f>
        <v>18.482347191</v>
      </c>
    </row>
    <row r="79" customFormat="false" ht="15" hidden="false" customHeight="false" outlineLevel="0" collapsed="false">
      <c r="A79" s="61" t="s">
        <v>192</v>
      </c>
      <c r="C79" s="57" t="n">
        <f aca="false">C75-SUM(C76:C78)</f>
        <v>0</v>
      </c>
      <c r="D79" s="57" t="n">
        <f aca="false">D75-SUM(D76:D78)</f>
        <v>0</v>
      </c>
      <c r="E79" s="57" t="n">
        <f aca="false">E75-SUM(E76:E78)</f>
        <v>0</v>
      </c>
      <c r="F79" s="57" t="n">
        <f aca="false">F75-SUM(F76:F78)</f>
        <v>159.609555548438</v>
      </c>
      <c r="G79" s="57" t="n">
        <f aca="false">G75-SUM(G76:G78)</f>
        <v>288.1565948415</v>
      </c>
    </row>
    <row r="80" customFormat="false" ht="15" hidden="false" customHeight="false" outlineLevel="0" collapsed="false">
      <c r="A80" s="38" t="s">
        <v>131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6.750857334375</v>
      </c>
      <c r="G80" s="44" t="n">
        <f aca="false">IF(G$74=0,0,G$75*INDEX(経費前提!$B$15:$D$15,1,G$74))</f>
        <v>11.761493667</v>
      </c>
    </row>
    <row r="81" customFormat="false" ht="15" hidden="false" customHeight="false" outlineLevel="0" collapsed="false">
      <c r="A81" s="38" t="s">
        <v>133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2.4110204765625</v>
      </c>
      <c r="G81" s="44" t="n">
        <f aca="false">IF(G$74=0,0,G$75*INDEX(経費前提!$B$16:$D$16,1,G$74))</f>
        <v>4.2005334525</v>
      </c>
    </row>
    <row r="82" customFormat="false" ht="15" hidden="false" customHeight="false" outlineLevel="0" collapsed="false">
      <c r="A82" s="38" t="s">
        <v>134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19.2881638125</v>
      </c>
      <c r="G82" s="44" t="n">
        <f aca="false">IF(G$74=0,0,G$75*INDEX(経費前提!$B$17:$D$17,1,G$74))</f>
        <v>31.924054239</v>
      </c>
    </row>
    <row r="83" customFormat="false" ht="15" hidden="false" customHeight="false" outlineLevel="0" collapsed="false">
      <c r="A83" s="62" t="s">
        <v>205</v>
      </c>
      <c r="C83" s="57" t="n">
        <f aca="false">C79-SUM(C80:C82)</f>
        <v>0</v>
      </c>
      <c r="D83" s="57" t="n">
        <f aca="false">D79-SUM(D80:D82)</f>
        <v>0</v>
      </c>
      <c r="E83" s="57" t="n">
        <f aca="false">E79-SUM(E80:E82)</f>
        <v>0</v>
      </c>
      <c r="F83" s="57" t="n">
        <f aca="false">F79-SUM(F80:F82)</f>
        <v>131.159513925</v>
      </c>
      <c r="G83" s="57" t="n">
        <f aca="false">G79-SUM(G80:G82)</f>
        <v>240.270513483</v>
      </c>
    </row>
    <row r="84" customFormat="false" ht="15" hidden="false" customHeight="false" outlineLevel="0" collapsed="false">
      <c r="A84" s="38" t="s">
        <v>136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19.2881638125</v>
      </c>
      <c r="G84" s="44" t="n">
        <f aca="false">IF(G$74=0,0,G$75*INDEX(経費前提!$B$18:$D$18,1,G$74))</f>
        <v>33.60426762</v>
      </c>
    </row>
    <row r="85" customFormat="false" ht="15" hidden="false" customHeight="false" outlineLevel="0" collapsed="false">
      <c r="A85" s="38" t="s">
        <v>138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3.3754286671875</v>
      </c>
      <c r="G85" s="44" t="n">
        <f aca="false">IF(G$74=0,0,G$75*INDEX(経費前提!$B$19:$D$19,1,G$74))</f>
        <v>5.8807468335</v>
      </c>
    </row>
    <row r="86" customFormat="false" ht="15" hidden="false" customHeight="false" outlineLevel="0" collapsed="false">
      <c r="A86" s="38" t="s">
        <v>194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195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4.756786671875</v>
      </c>
      <c r="G87" s="44" t="n">
        <f aca="false">IF(G74=0,0,MAX(0,G75/$B$72-経費前提!$B$27*IF(G74=1,$B$73/12,1))*経費前提!$B$26*$B$72)</f>
        <v>12.411468335</v>
      </c>
    </row>
    <row r="88" customFormat="false" ht="15" hidden="false" customHeight="false" outlineLevel="0" collapsed="false">
      <c r="A88" s="38" t="s">
        <v>206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12.0551023828125</v>
      </c>
      <c r="G88" s="44" t="n">
        <f aca="false">IF(G$74=0,0,G$75*INDEX(経費前提!$B$20:$D$20,1,G$74))</f>
        <v>21.0026672625</v>
      </c>
    </row>
    <row r="89" customFormat="false" ht="15" hidden="false" customHeight="false" outlineLevel="0" collapsed="false">
      <c r="A89" s="10" t="s">
        <v>207</v>
      </c>
      <c r="C89" s="57" t="n">
        <f aca="false">C83-SUM(C84:C88)</f>
        <v>0</v>
      </c>
      <c r="D89" s="57" t="n">
        <f aca="false">D83-SUM(D84:D88)</f>
        <v>0</v>
      </c>
      <c r="E89" s="57" t="n">
        <f aca="false">E83-SUM(E84:E88)</f>
        <v>0</v>
      </c>
      <c r="F89" s="57" t="n">
        <f aca="false">F83-SUM(F84:F88)</f>
        <v>58.3840323906251</v>
      </c>
      <c r="G89" s="57" t="n">
        <f aca="false">G83-SUM(G84:G88)</f>
        <v>114.091363432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IF(C74=0,0,経費前提!$D$40*$B$72*IF(C74=1,$B$73/12,1))</f>
        <v>0</v>
      </c>
      <c r="D90" s="44" t="n">
        <f aca="false">IF(D74=0,0,経費前提!$D$40*$B$72*IF(D74=1,$B$73/12,1))</f>
        <v>0</v>
      </c>
      <c r="E90" s="44" t="n">
        <f aca="false">IF(E74=0,0,経費前提!$D$40*$B$72*IF(E74=1,$B$73/12,1))</f>
        <v>0</v>
      </c>
      <c r="F90" s="44" t="n">
        <f aca="false">IF(F74=0,0,経費前提!$D$40*$B$72*IF(F74=1,$B$73/12,1))</f>
        <v>25.40625</v>
      </c>
      <c r="G90" s="44" t="n">
        <f aca="false">IF(G74=0,0,経費前提!$D$40*$B$72*IF(G74=1,$B$73/12,1))</f>
        <v>40.65</v>
      </c>
    </row>
    <row r="91" customFormat="false" ht="15" hidden="false" customHeight="false" outlineLevel="0" collapsed="false">
      <c r="A91" s="10" t="s">
        <v>208</v>
      </c>
      <c r="C91" s="57" t="n">
        <f aca="false">C89-C90</f>
        <v>0</v>
      </c>
      <c r="D91" s="57" t="n">
        <f aca="false">D89-D90</f>
        <v>0</v>
      </c>
      <c r="E91" s="57" t="n">
        <f aca="false">E89-E90</f>
        <v>0</v>
      </c>
      <c r="F91" s="57" t="n">
        <f aca="false">F89-F90</f>
        <v>32.9777823906251</v>
      </c>
      <c r="G91" s="57" t="n">
        <f aca="false">G89-G90</f>
        <v>73.441363432</v>
      </c>
    </row>
    <row r="93" customFormat="false" ht="15" hidden="false" customHeight="false" outlineLevel="0" collapsed="false">
      <c r="A93" s="3" t="s">
        <v>212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59" t="s">
        <v>202</v>
      </c>
      <c r="B94" s="32" t="n">
        <v>2</v>
      </c>
    </row>
    <row r="95" customFormat="false" ht="15" hidden="false" customHeight="false" outlineLevel="0" collapsed="false">
      <c r="A95" s="59" t="s">
        <v>203</v>
      </c>
      <c r="B95" s="9" t="n">
        <f aca="false">売上前提!$B$9</f>
        <v>7.5</v>
      </c>
    </row>
    <row r="96" customFormat="false" ht="15" hidden="false" customHeight="false" outlineLevel="0" collapsed="false">
      <c r="A96" s="59" t="s">
        <v>204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0" t="n">
        <f aca="false">IF(C96=0,0,売上前提!$K$28*INDEX(売上前提!$B$6:$B$8,C96)*$B$94*IF(C96=1,$B$95/12,1))</f>
        <v>0</v>
      </c>
      <c r="D97" s="60" t="n">
        <f aca="false">IF(D96=0,0,売上前提!$K$28*INDEX(売上前提!$B$6:$B$8,D96)*$B$94*IF(D96=1,$B$95/12,1))</f>
        <v>0</v>
      </c>
      <c r="E97" s="60" t="n">
        <f aca="false">IF(E96=0,0,売上前提!$K$28*INDEX(売上前提!$B$6:$B$8,E96)*$B$94*IF(E96=1,$B$95/12,1))</f>
        <v>0</v>
      </c>
      <c r="F97" s="60" t="n">
        <f aca="false">IF(F96=0,0,売上前提!$K$28*INDEX(売上前提!$B$6:$B$8,F96)*$B$94*IF(F96=1,$B$95/12,1))</f>
        <v>0</v>
      </c>
      <c r="G97" s="60" t="n">
        <f aca="false">IF(G96=0,0,売上前提!$K$28*INDEX(売上前提!$B$6:$B$8,G96)*$B$94*IF(G96=1,$B$95/12,1))</f>
        <v>482.2040953125</v>
      </c>
    </row>
    <row r="98" customFormat="false" ht="15" hidden="false" customHeight="false" outlineLevel="0" collapsed="false">
      <c r="A98" s="38" t="s">
        <v>191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144.66122859375</v>
      </c>
    </row>
    <row r="99" customFormat="false" ht="15" hidden="false" customHeight="false" outlineLevel="0" collapsed="false">
      <c r="A99" s="38" t="s">
        <v>127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166.360412882812</v>
      </c>
    </row>
    <row r="100" customFormat="false" ht="15" hidden="false" customHeight="false" outlineLevel="0" collapsed="false">
      <c r="A100" s="38" t="s">
        <v>129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11.5728982875</v>
      </c>
    </row>
    <row r="101" customFormat="false" ht="15" hidden="false" customHeight="false" outlineLevel="0" collapsed="false">
      <c r="A101" s="61" t="s">
        <v>192</v>
      </c>
      <c r="C101" s="57" t="n">
        <f aca="false">C97-SUM(C98:C100)</f>
        <v>0</v>
      </c>
      <c r="D101" s="57" t="n">
        <f aca="false">D97-SUM(D98:D100)</f>
        <v>0</v>
      </c>
      <c r="E101" s="57" t="n">
        <f aca="false">E97-SUM(E98:E100)</f>
        <v>0</v>
      </c>
      <c r="F101" s="57" t="n">
        <f aca="false">F97-SUM(F98:F100)</f>
        <v>0</v>
      </c>
      <c r="G101" s="57" t="n">
        <f aca="false">G97-SUM(G98:G100)</f>
        <v>159.609555548438</v>
      </c>
    </row>
    <row r="102" customFormat="false" ht="15" hidden="false" customHeight="false" outlineLevel="0" collapsed="false">
      <c r="A102" s="38" t="s">
        <v>131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6.750857334375</v>
      </c>
    </row>
    <row r="103" customFormat="false" ht="15" hidden="false" customHeight="false" outlineLevel="0" collapsed="false">
      <c r="A103" s="38" t="s">
        <v>133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2.4110204765625</v>
      </c>
    </row>
    <row r="104" customFormat="false" ht="15" hidden="false" customHeight="false" outlineLevel="0" collapsed="false">
      <c r="A104" s="38" t="s">
        <v>134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19.2881638125</v>
      </c>
    </row>
    <row r="105" customFormat="false" ht="15" hidden="false" customHeight="false" outlineLevel="0" collapsed="false">
      <c r="A105" s="62" t="s">
        <v>205</v>
      </c>
      <c r="C105" s="57" t="n">
        <f aca="false">C101-SUM(C102:C104)</f>
        <v>0</v>
      </c>
      <c r="D105" s="57" t="n">
        <f aca="false">D101-SUM(D102:D104)</f>
        <v>0</v>
      </c>
      <c r="E105" s="57" t="n">
        <f aca="false">E101-SUM(E102:E104)</f>
        <v>0</v>
      </c>
      <c r="F105" s="57" t="n">
        <f aca="false">F101-SUM(F102:F104)</f>
        <v>0</v>
      </c>
      <c r="G105" s="57" t="n">
        <f aca="false">G101-SUM(G102:G104)</f>
        <v>131.159513925</v>
      </c>
    </row>
    <row r="106" customFormat="false" ht="15" hidden="false" customHeight="false" outlineLevel="0" collapsed="false">
      <c r="A106" s="38" t="s">
        <v>136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19.2881638125</v>
      </c>
    </row>
    <row r="107" customFormat="false" ht="15" hidden="false" customHeight="false" outlineLevel="0" collapsed="false">
      <c r="A107" s="38" t="s">
        <v>138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3.3754286671875</v>
      </c>
    </row>
    <row r="108" customFormat="false" ht="15" hidden="false" customHeight="false" outlineLevel="0" collapsed="false">
      <c r="A108" s="38" t="s">
        <v>194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195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4.756786671875</v>
      </c>
    </row>
    <row r="110" customFormat="false" ht="15" hidden="false" customHeight="false" outlineLevel="0" collapsed="false">
      <c r="A110" s="38" t="s">
        <v>206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12.0551023828125</v>
      </c>
    </row>
    <row r="111" customFormat="false" ht="15" hidden="false" customHeight="false" outlineLevel="0" collapsed="false">
      <c r="A111" s="10" t="s">
        <v>207</v>
      </c>
      <c r="C111" s="57" t="n">
        <f aca="false">C105-SUM(C106:C110)</f>
        <v>0</v>
      </c>
      <c r="D111" s="57" t="n">
        <f aca="false">D105-SUM(D106:D110)</f>
        <v>0</v>
      </c>
      <c r="E111" s="57" t="n">
        <f aca="false">E105-SUM(E106:E110)</f>
        <v>0</v>
      </c>
      <c r="F111" s="57" t="n">
        <f aca="false">F105-SUM(F106:F110)</f>
        <v>0</v>
      </c>
      <c r="G111" s="57" t="n">
        <f aca="false">G105-SUM(G106:G110)</f>
        <v>58.3840323906251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IF(C96=0,0,経費前提!$D$40*$B$94*IF(C96=1,$B$95/12,1))</f>
        <v>0</v>
      </c>
      <c r="D112" s="44" t="n">
        <f aca="false">IF(D96=0,0,経費前提!$D$40*$B$94*IF(D96=1,$B$95/12,1))</f>
        <v>0</v>
      </c>
      <c r="E112" s="44" t="n">
        <f aca="false">IF(E96=0,0,経費前提!$D$40*$B$94*IF(E96=1,$B$95/12,1))</f>
        <v>0</v>
      </c>
      <c r="F112" s="44" t="n">
        <f aca="false">IF(F96=0,0,経費前提!$D$40*$B$94*IF(F96=1,$B$95/12,1))</f>
        <v>0</v>
      </c>
      <c r="G112" s="44" t="n">
        <f aca="false">IF(G96=0,0,経費前提!$D$40*$B$94*IF(G96=1,$B$95/12,1))</f>
        <v>25.40625</v>
      </c>
    </row>
    <row r="113" customFormat="false" ht="15" hidden="false" customHeight="false" outlineLevel="0" collapsed="false">
      <c r="A113" s="10" t="s">
        <v>208</v>
      </c>
      <c r="C113" s="57" t="n">
        <f aca="false">C111-C112</f>
        <v>0</v>
      </c>
      <c r="D113" s="57" t="n">
        <f aca="false">D111-D112</f>
        <v>0</v>
      </c>
      <c r="E113" s="57" t="n">
        <f aca="false">E111-E112</f>
        <v>0</v>
      </c>
      <c r="F113" s="57" t="n">
        <f aca="false">F111-F112</f>
        <v>0</v>
      </c>
      <c r="G113" s="57" t="n">
        <f aca="false">G111-G112</f>
        <v>32.9777823906251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213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214</v>
      </c>
    </row>
    <row r="3" customFormat="false" ht="25.35" hidden="false" customHeight="false" outlineLevel="0" collapsed="false">
      <c r="A3" s="12" t="s">
        <v>186</v>
      </c>
      <c r="B3" s="63" t="s">
        <v>215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4" t="n">
        <f aca="false">経費前提!B52</f>
        <v>1</v>
      </c>
      <c r="D4" s="64" t="n">
        <f aca="false">経費前提!C52</f>
        <v>3</v>
      </c>
      <c r="E4" s="64" t="n">
        <f aca="false">経費前提!D52</f>
        <v>5</v>
      </c>
      <c r="F4" s="64" t="n">
        <f aca="false">経費前提!E52</f>
        <v>7</v>
      </c>
      <c r="G4" s="64" t="n">
        <f aca="false">経費前提!F52</f>
        <v>9</v>
      </c>
    </row>
    <row r="5" customFormat="false" ht="15" hidden="false" customHeight="false" outlineLevel="0" collapsed="false">
      <c r="A5" s="10" t="s">
        <v>20</v>
      </c>
      <c r="B5" s="65" t="n">
        <f aca="false">IF($G$5=0,0,G5/$G$5)</f>
        <v>1</v>
      </c>
      <c r="C5" s="55" t="n">
        <f aca="false">店舗群別PL!C9+店舗群別PL!C31+店舗群別PL!C53+店舗群別PL!C75+店舗群別PL!C97</f>
        <v>385.76327625</v>
      </c>
      <c r="D5" s="55" t="n">
        <f aca="false">店舗群別PL!D9+店舗群別PL!D31+店舗群別PL!D53+店舗群別PL!D75+店舗群別PL!D97</f>
        <v>902.2574405625</v>
      </c>
      <c r="E5" s="55" t="n">
        <f aca="false">店舗群別PL!E9+店舗群別PL!E31+店舗群別PL!E53+店舗群別PL!E75+店舗群別PL!E97</f>
        <v>1750.9366483125</v>
      </c>
      <c r="F5" s="55" t="n">
        <f aca="false">店舗群別PL!F9+店舗群別PL!F31+店舗群別PL!F53+店舗群別PL!F75+店舗群別PL!F97</f>
        <v>2608.1883733125</v>
      </c>
      <c r="G5" s="55" t="n">
        <f aca="false">店舗群別PL!G9+店舗群別PL!G31+店舗群別PL!G53+店舗群別PL!G75+店舗群別PL!G97</f>
        <v>3465.4400983125</v>
      </c>
      <c r="H5" s="57" t="n">
        <f aca="false">SUM(C5:G5)</f>
        <v>9112.58583675</v>
      </c>
    </row>
    <row r="6" customFormat="false" ht="15" hidden="false" customHeight="false" outlineLevel="0" collapsed="false">
      <c r="A6" s="38" t="s">
        <v>191</v>
      </c>
      <c r="B6" s="65" t="n">
        <f aca="false">IF($G$5=0,0,G6/$G$5)</f>
        <v>0.3</v>
      </c>
      <c r="C6" s="19" t="n">
        <f aca="false">店舗群別PL!C10+店舗群別PL!C32+店舗群別PL!C54+店舗群別PL!C76+店舗群別PL!C98</f>
        <v>115.728982875</v>
      </c>
      <c r="D6" s="19" t="n">
        <f aca="false">店舗群別PL!D10+店舗群別PL!D32+店舗群別PL!D54+店舗群別PL!D76+店舗群別PL!D98</f>
        <v>270.67723216875</v>
      </c>
      <c r="E6" s="19" t="n">
        <f aca="false">店舗群別PL!E10+店舗群別PL!E32+店舗群別PL!E54+店舗群別PL!E76+店舗群別PL!E98</f>
        <v>525.28099449375</v>
      </c>
      <c r="F6" s="19" t="n">
        <f aca="false">店舗群別PL!F10+店舗群別PL!F32+店舗群別PL!F54+店舗群別PL!F76+店舗群別PL!F98</f>
        <v>782.45651199375</v>
      </c>
      <c r="G6" s="19" t="n">
        <f aca="false">店舗群別PL!G10+店舗群別PL!G32+店舗群別PL!G54+店舗群別PL!G76+店舗群別PL!G98</f>
        <v>1039.63202949375</v>
      </c>
      <c r="H6" s="57" t="n">
        <f aca="false">SUM(C6:G6)</f>
        <v>2733.775751025</v>
      </c>
    </row>
    <row r="7" customFormat="false" ht="15" hidden="false" customHeight="false" outlineLevel="0" collapsed="false">
      <c r="A7" s="38" t="s">
        <v>127</v>
      </c>
      <c r="B7" s="65" t="n">
        <f aca="false">IF($G$5=0,0,G7/$G$5)</f>
        <v>0.330207173778602</v>
      </c>
      <c r="C7" s="19" t="n">
        <f aca="false">店舗群別PL!C11+店舗群別PL!C33+店舗群別PL!C55+店舗群別PL!C77+店舗群別PL!C99</f>
        <v>133.08833030625</v>
      </c>
      <c r="D7" s="19" t="n">
        <f aca="false">店舗群別PL!D11+店舗群別PL!D33+店舗群別PL!D55+店舗群別PL!D77+店舗群別PL!D99</f>
        <v>307.078283541563</v>
      </c>
      <c r="E7" s="19" t="n">
        <f aca="false">店舗群別PL!E11+店舗群別PL!E33+店舗群別PL!E55+店舗群別PL!E77+店舗群別PL!E99</f>
        <v>587.099559512812</v>
      </c>
      <c r="F7" s="19" t="n">
        <f aca="false">店舗群別PL!F11+店舗群別PL!F33+店舗群別PL!F55+店舗群別PL!F77+店舗群別PL!F99</f>
        <v>865.706370137813</v>
      </c>
      <c r="G7" s="19" t="n">
        <f aca="false">店舗群別PL!G11+店舗群別PL!G33+店舗群別PL!G55+店舗群別PL!G77+店舗群別PL!G99</f>
        <v>1144.31318076281</v>
      </c>
      <c r="H7" s="57" t="n">
        <f aca="false">SUM(C7:G7)</f>
        <v>3037.28572426125</v>
      </c>
    </row>
    <row r="8" customFormat="false" ht="15" hidden="false" customHeight="false" outlineLevel="0" collapsed="false">
      <c r="A8" s="38" t="s">
        <v>129</v>
      </c>
      <c r="B8" s="65" t="n">
        <f aca="false">IF($G$5=0,0,G8/$G$5)</f>
        <v>0.0210414347557205</v>
      </c>
      <c r="C8" s="19" t="n">
        <f aca="false">店舗群別PL!C12+店舗群別PL!C34+店舗群別PL!C56+店舗群別PL!C78+店舗群別PL!C100</f>
        <v>9.25831863</v>
      </c>
      <c r="D8" s="19" t="n">
        <f aca="false">店舗群別PL!D12+店舗群別PL!D34+店舗群別PL!D56+店舗群別PL!D78+店舗群別PL!D100</f>
        <v>20.814071883</v>
      </c>
      <c r="E8" s="19" t="n">
        <f aca="false">店舗群別PL!E12+店舗群別PL!E34+店舗群別PL!E56+店舗群別PL!E78+店舗群別PL!E100</f>
        <v>38.6277627285</v>
      </c>
      <c r="F8" s="19" t="n">
        <f aca="false">店舗群別PL!F12+店舗群別PL!F34+店舗群別PL!F56+店舗群別PL!F78+店舗群別PL!F100</f>
        <v>55.7727972285</v>
      </c>
      <c r="G8" s="19" t="n">
        <f aca="false">店舗群別PL!G12+店舗群別PL!G34+店舗群別PL!G56+店舗群別PL!G78+店舗群別PL!G100</f>
        <v>72.9178317285</v>
      </c>
      <c r="H8" s="57" t="n">
        <f aca="false">SUM(C8:G8)</f>
        <v>197.3907821985</v>
      </c>
    </row>
    <row r="9" customFormat="false" ht="15" hidden="false" customHeight="false" outlineLevel="0" collapsed="false">
      <c r="A9" s="61" t="s">
        <v>192</v>
      </c>
      <c r="B9" s="65" t="n">
        <f aca="false">IF($G$5=0,0,G9/$G$5)</f>
        <v>0.348751391465677</v>
      </c>
      <c r="C9" s="20" t="n">
        <f aca="false">店舗群別PL!C13+店舗群別PL!C35+店舗群別PL!C57+店舗群別PL!C79+店舗群別PL!C101</f>
        <v>127.68764443875</v>
      </c>
      <c r="D9" s="20" t="n">
        <f aca="false">店舗群別PL!D13+店舗群別PL!D35+店舗群別PL!D57+店舗群別PL!D79+店舗群別PL!D101</f>
        <v>303.687852969188</v>
      </c>
      <c r="E9" s="20" t="n">
        <f aca="false">店舗群別PL!E13+店舗群別PL!E35+店舗群別PL!E57+店舗群別PL!E79+店舗群別PL!E101</f>
        <v>599.928331577438</v>
      </c>
      <c r="F9" s="20" t="n">
        <f aca="false">店舗群別PL!F13+店舗群別PL!F35+店舗群別PL!F57+店舗群別PL!F79+店舗群別PL!F101</f>
        <v>904.252693952438</v>
      </c>
      <c r="G9" s="20" t="n">
        <f aca="false">店舗群別PL!G13+店舗群別PL!G35+店舗群別PL!G57+店舗群別PL!G79+店舗群別PL!G101</f>
        <v>1208.57705632744</v>
      </c>
      <c r="H9" s="57" t="n">
        <f aca="false">SUM(C9:G9)</f>
        <v>3144.13357926525</v>
      </c>
    </row>
    <row r="10" customFormat="false" ht="15" hidden="false" customHeight="false" outlineLevel="0" collapsed="false">
      <c r="A10" s="38" t="s">
        <v>131</v>
      </c>
      <c r="B10" s="65" t="n">
        <f aca="false">IF($G$5=0,0,G10/$G$5)</f>
        <v>0.014</v>
      </c>
      <c r="C10" s="19" t="n">
        <f aca="false">店舗群別PL!C14+店舗群別PL!C36+店舗群別PL!C58+店舗群別PL!C80+店舗群別PL!C102</f>
        <v>5.4006858675</v>
      </c>
      <c r="D10" s="19" t="n">
        <f aca="false">店舗群別PL!D14+店舗群別PL!D36+店舗群別PL!D58+店舗群別PL!D80+店舗群別PL!D102</f>
        <v>12.631604167875</v>
      </c>
      <c r="E10" s="19" t="n">
        <f aca="false">店舗群別PL!E14+店舗群別PL!E36+店舗群別PL!E58+店舗群別PL!E80+店舗群別PL!E102</f>
        <v>24.513113076375</v>
      </c>
      <c r="F10" s="19" t="n">
        <f aca="false">店舗群別PL!F14+店舗群別PL!F36+店舗群別PL!F58+店舗群別PL!F80+店舗群別PL!F102</f>
        <v>36.514637226375</v>
      </c>
      <c r="G10" s="19" t="n">
        <f aca="false">店舗群別PL!G14+店舗群別PL!G36+店舗群別PL!G58+店舗群別PL!G80+店舗群別PL!G102</f>
        <v>48.516161376375</v>
      </c>
      <c r="H10" s="57" t="n">
        <f aca="false">SUM(C10:G10)</f>
        <v>127.5762017145</v>
      </c>
    </row>
    <row r="11" customFormat="false" ht="15" hidden="false" customHeight="false" outlineLevel="0" collapsed="false">
      <c r="A11" s="38" t="s">
        <v>133</v>
      </c>
      <c r="B11" s="65" t="n">
        <f aca="false">IF($G$5=0,0,G11/$G$5)</f>
        <v>0.005</v>
      </c>
      <c r="C11" s="19" t="n">
        <f aca="false">店舗群別PL!C15+店舗群別PL!C37+店舗群別PL!C59+店舗群別PL!C81+店舗群別PL!C103</f>
        <v>1.92881638125</v>
      </c>
      <c r="D11" s="19" t="n">
        <f aca="false">店舗群別PL!D15+店舗群別PL!D37+店舗群別PL!D59+店舗群別PL!D81+店舗群別PL!D103</f>
        <v>4.5112872028125</v>
      </c>
      <c r="E11" s="19" t="n">
        <f aca="false">店舗群別PL!E15+店舗群別PL!E37+店舗群別PL!E59+店舗群別PL!E81+店舗群別PL!E103</f>
        <v>8.7546832415625</v>
      </c>
      <c r="F11" s="19" t="n">
        <f aca="false">店舗群別PL!F15+店舗群別PL!F37+店舗群別PL!F59+店舗群別PL!F81+店舗群別PL!F103</f>
        <v>13.0409418665625</v>
      </c>
      <c r="G11" s="19" t="n">
        <f aca="false">店舗群別PL!G15+店舗群別PL!G37+店舗群別PL!G59+店舗群別PL!G81+店舗群別PL!G103</f>
        <v>17.3272004915625</v>
      </c>
      <c r="H11" s="57" t="n">
        <f aca="false">SUM(C11:G11)</f>
        <v>45.56292918375</v>
      </c>
    </row>
    <row r="12" customFormat="false" ht="15" hidden="false" customHeight="false" outlineLevel="0" collapsed="false">
      <c r="A12" s="38" t="s">
        <v>134</v>
      </c>
      <c r="B12" s="65" t="n">
        <f aca="false">IF($G$5=0,0,G12/$G$5)</f>
        <v>0.0370414347557205</v>
      </c>
      <c r="C12" s="19" t="n">
        <f aca="false">店舗群別PL!C16+店舗群別PL!C38+店舗群別PL!C60+店舗群別PL!C82+店舗群別PL!C104</f>
        <v>15.43053105</v>
      </c>
      <c r="D12" s="19" t="n">
        <f aca="false">店舗群別PL!D16+店舗群別PL!D38+店舗群別PL!D60+店舗群別PL!D82+店舗群別PL!D104</f>
        <v>35.250190932</v>
      </c>
      <c r="E12" s="19" t="n">
        <f aca="false">店舗群別PL!E16+店舗群別PL!E38+店舗群別PL!E60+店舗群別PL!E82+店舗群別PL!E104</f>
        <v>66.6427491015</v>
      </c>
      <c r="F12" s="19" t="n">
        <f aca="false">店舗群別PL!F16+店舗群別PL!F38+店舗群別PL!F60+店舗群別PL!F82+店舗群別PL!F104</f>
        <v>97.5038112015</v>
      </c>
      <c r="G12" s="19" t="n">
        <f aca="false">店舗群別PL!G16+店舗群別PL!G38+店舗群別PL!G60+店舗群別PL!G82+店舗群別PL!G104</f>
        <v>128.3648733015</v>
      </c>
      <c r="H12" s="57" t="n">
        <f aca="false">SUM(C12:G12)</f>
        <v>343.1921555865</v>
      </c>
    </row>
    <row r="13" customFormat="false" ht="15" hidden="false" customHeight="false" outlineLevel="0" collapsed="false">
      <c r="A13" s="62" t="s">
        <v>205</v>
      </c>
      <c r="B13" s="65" t="n">
        <f aca="false">IF($G$5=0,0,G13/$G$5)</f>
        <v>0.292709956709957</v>
      </c>
      <c r="C13" s="20" t="n">
        <f aca="false">店舗群別PL!C17+店舗群別PL!C39+店舗群別PL!C61+店舗群別PL!C83+店舗群別PL!C105</f>
        <v>104.92761114</v>
      </c>
      <c r="D13" s="20" t="n">
        <f aca="false">店舗群別PL!D17+店舗群別PL!D39+店舗群別PL!D61+店舗群別PL!D83+店舗群別PL!D105</f>
        <v>251.2947706665</v>
      </c>
      <c r="E13" s="20" t="n">
        <f aca="false">店舗群別PL!E17+店舗群別PL!E39+店舗群別PL!E61+店舗群別PL!E83+店舗群別PL!E105</f>
        <v>500.017786158</v>
      </c>
      <c r="F13" s="20" t="n">
        <f aca="false">店舗群別PL!F17+店舗群別PL!F39+店舗群別PL!F61+店舗群別PL!F83+店舗群別PL!F105</f>
        <v>757.193303658</v>
      </c>
      <c r="G13" s="20" t="n">
        <f aca="false">店舗群別PL!G17+店舗群別PL!G39+店舗群別PL!G61+店舗群別PL!G83+店舗群別PL!G105</f>
        <v>1014.368821158</v>
      </c>
      <c r="H13" s="57" t="n">
        <f aca="false">SUM(C13:G13)</f>
        <v>2627.8022927805</v>
      </c>
    </row>
    <row r="14" customFormat="false" ht="15" hidden="false" customHeight="false" outlineLevel="0" collapsed="false">
      <c r="A14" s="38" t="s">
        <v>136</v>
      </c>
      <c r="B14" s="65" t="n">
        <f aca="false">IF($G$5=0,0,G14/$G$5)</f>
        <v>0.04</v>
      </c>
      <c r="C14" s="19" t="n">
        <f aca="false">店舗群別PL!C18+店舗群別PL!C40+店舗群別PL!C62+店舗群別PL!C84+店舗群別PL!C106</f>
        <v>15.43053105</v>
      </c>
      <c r="D14" s="19" t="n">
        <f aca="false">店舗群別PL!D18+店舗群別PL!D40+店舗群別PL!D62+店舗群別PL!D84+店舗群別PL!D106</f>
        <v>36.0902976225</v>
      </c>
      <c r="E14" s="19" t="n">
        <f aca="false">店舗群別PL!E18+店舗群別PL!E40+店舗群別PL!E62+店舗群別PL!E84+店舗群別PL!E106</f>
        <v>70.0374659325</v>
      </c>
      <c r="F14" s="19" t="n">
        <f aca="false">店舗群別PL!F18+店舗群別PL!F40+店舗群別PL!F62+店舗群別PL!F84+店舗群別PL!F106</f>
        <v>104.3275349325</v>
      </c>
      <c r="G14" s="19" t="n">
        <f aca="false">店舗群別PL!G18+店舗群別PL!G40+店舗群別PL!G62+店舗群別PL!G84+店舗群別PL!G106</f>
        <v>138.6176039325</v>
      </c>
      <c r="H14" s="57" t="n">
        <f aca="false">SUM(C14:G14)</f>
        <v>364.50343347</v>
      </c>
    </row>
    <row r="15" customFormat="false" ht="15" hidden="false" customHeight="false" outlineLevel="0" collapsed="false">
      <c r="A15" s="38" t="s">
        <v>138</v>
      </c>
      <c r="B15" s="65" t="n">
        <f aca="false">IF($G$5=0,0,G15/$G$5)</f>
        <v>0.007</v>
      </c>
      <c r="C15" s="19" t="n">
        <f aca="false">店舗群別PL!C19+店舗群別PL!C41+店舗群別PL!C63+店舗群別PL!C85+店舗群別PL!C107</f>
        <v>2.70034293375</v>
      </c>
      <c r="D15" s="19" t="n">
        <f aca="false">店舗群別PL!D19+店舗群別PL!D41+店舗群別PL!D63+店舗群別PL!D85+店舗群別PL!D107</f>
        <v>6.3158020839375</v>
      </c>
      <c r="E15" s="19" t="n">
        <f aca="false">店舗群別PL!E19+店舗群別PL!E41+店舗群別PL!E63+店舗群別PL!E85+店舗群別PL!E107</f>
        <v>12.2565565381875</v>
      </c>
      <c r="F15" s="19" t="n">
        <f aca="false">店舗群別PL!F19+店舗群別PL!F41+店舗群別PL!F63+店舗群別PL!F85+店舗群別PL!F107</f>
        <v>18.2573186131875</v>
      </c>
      <c r="G15" s="19" t="n">
        <f aca="false">店舗群別PL!G19+店舗群別PL!G41+店舗群別PL!G63+店舗群別PL!G85+店舗群別PL!G107</f>
        <v>24.2580806881875</v>
      </c>
      <c r="H15" s="57" t="n">
        <f aca="false">SUM(C15:G15)</f>
        <v>63.78810085725</v>
      </c>
    </row>
    <row r="16" customFormat="false" ht="15" hidden="false" customHeight="false" outlineLevel="0" collapsed="false">
      <c r="A16" s="38" t="s">
        <v>194</v>
      </c>
      <c r="B16" s="65" t="n">
        <f aca="false">IF($G$5=0,0,G16/$G$5)</f>
        <v>0.0634205162302537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7" t="n">
        <f aca="false">SUM(C16:G16)</f>
        <v>586.08</v>
      </c>
    </row>
    <row r="17" customFormat="false" ht="15" hidden="false" customHeight="false" outlineLevel="0" collapsed="false">
      <c r="A17" s="38" t="s">
        <v>195</v>
      </c>
      <c r="B17" s="65" t="n">
        <f aca="false">IF($G$5=0,0,G17/$G$5)</f>
        <v>0.014773681099496</v>
      </c>
      <c r="C17" s="19" t="n">
        <f aca="false">店舗群別PL!C21+店舗群別PL!C43+店舗群別PL!C65+店舗群別PL!C87+店舗群別PL!C109</f>
        <v>3.8054293375</v>
      </c>
      <c r="D17" s="19" t="n">
        <f aca="false">店舗群別PL!D21+店舗群別PL!D43+店舗群別PL!D65+店舗群別PL!D87+店舗群別PL!D109</f>
        <v>10.962520839375</v>
      </c>
      <c r="E17" s="19" t="n">
        <f aca="false">店舗群別PL!E21+店舗群別PL!E43+店舗群別PL!E65+店舗群別PL!E87+店舗群別PL!E109</f>
        <v>23.974065381875</v>
      </c>
      <c r="F17" s="19" t="n">
        <f aca="false">店舗群別PL!F21+店舗群別PL!F43+店舗群別PL!F65+店舗群別PL!F87+店舗群別PL!F109</f>
        <v>37.585686131875</v>
      </c>
      <c r="G17" s="19" t="n">
        <f aca="false">店舗群別PL!G21+店舗群別PL!G43+店舗群別PL!G65+店舗群別PL!G87+店舗群別PL!G109</f>
        <v>51.197306881875</v>
      </c>
      <c r="H17" s="57" t="n">
        <f aca="false">SUM(C17:G17)</f>
        <v>127.5250085725</v>
      </c>
    </row>
    <row r="18" customFormat="false" ht="15" hidden="false" customHeight="false" outlineLevel="0" collapsed="false">
      <c r="A18" s="38" t="s">
        <v>206</v>
      </c>
      <c r="B18" s="65" t="n">
        <f aca="false">IF($G$5=0,0,G18/$G$5)</f>
        <v>0.025</v>
      </c>
      <c r="C18" s="19" t="n">
        <f aca="false">店舗群別PL!C22+店舗群別PL!C44+店舗群別PL!C66+店舗群別PL!C88+店舗群別PL!C110</f>
        <v>9.64408190625</v>
      </c>
      <c r="D18" s="19" t="n">
        <f aca="false">店舗群別PL!D22+店舗群別PL!D44+店舗群別PL!D66+店舗群別PL!D88+店舗群別PL!D110</f>
        <v>22.5564360140625</v>
      </c>
      <c r="E18" s="19" t="n">
        <f aca="false">店舗群別PL!E22+店舗群別PL!E44+店舗群別PL!E66+店舗群別PL!E88+店舗群別PL!E110</f>
        <v>43.7734162078125</v>
      </c>
      <c r="F18" s="19" t="n">
        <f aca="false">店舗群別PL!F22+店舗群別PL!F44+店舗群別PL!F66+店舗群別PL!F88+店舗群別PL!F110</f>
        <v>65.2047093328125</v>
      </c>
      <c r="G18" s="19" t="n">
        <f aca="false">店舗群別PL!G22+店舗群別PL!G44+店舗群別PL!G66+店舗群別PL!G88+店舗群別PL!G110</f>
        <v>86.6360024578125</v>
      </c>
      <c r="H18" s="57" t="n">
        <f aca="false">SUM(C18:G18)</f>
        <v>227.81464591875</v>
      </c>
    </row>
    <row r="19" customFormat="false" ht="15" hidden="false" customHeight="false" outlineLevel="0" collapsed="false">
      <c r="A19" s="10" t="s">
        <v>216</v>
      </c>
      <c r="B19" s="65" t="n">
        <f aca="false">IF($G$5=0,0,G19/$G$5)</f>
        <v>0.142515759380207</v>
      </c>
      <c r="C19" s="20" t="n">
        <f aca="false">店舗群別PL!C23+店舗群別PL!C45+店舗群別PL!C67+店舗群別PL!C89+店舗群別PL!C111</f>
        <v>46.7072259125</v>
      </c>
      <c r="D19" s="20" t="n">
        <f aca="false">店舗群別PL!D23+店舗群別PL!D45+店舗群別PL!D67+店舗群別PL!D89+店舗群別PL!D111</f>
        <v>115.429714106625</v>
      </c>
      <c r="E19" s="20" t="n">
        <f aca="false">店舗群別PL!E23+店舗群別PL!E45+店舗群別PL!E67+店舗群別PL!E89+店舗群別PL!E111</f>
        <v>236.756282097625</v>
      </c>
      <c r="F19" s="20" t="n">
        <f aca="false">店舗群別PL!F23+店舗群別PL!F45+店舗群別PL!F67+店舗群別PL!F89+店舗群別PL!F111</f>
        <v>365.318054647625</v>
      </c>
      <c r="G19" s="20" t="n">
        <f aca="false">店舗群別PL!G23+店舗群別PL!G45+店舗群別PL!G67+店舗群別PL!G89+店舗群別PL!G111</f>
        <v>493.879827197625</v>
      </c>
      <c r="H19" s="57" t="n">
        <f aca="false">SUM(C19:G19)</f>
        <v>1258.091103962</v>
      </c>
    </row>
    <row r="20" customFormat="false" ht="15" hidden="false" customHeight="false" outlineLevel="0" collapsed="false">
      <c r="A20" s="4" t="s">
        <v>217</v>
      </c>
      <c r="B20" s="65" t="n">
        <f aca="false">IF($G$5=0,0,G20/$G$5)</f>
        <v>0.0158710000576211</v>
      </c>
      <c r="C20" s="19" t="n">
        <f aca="false">経費前提!B53</f>
        <v>15</v>
      </c>
      <c r="D20" s="19" t="n">
        <f aca="false">経費前提!C53</f>
        <v>28</v>
      </c>
      <c r="E20" s="19" t="n">
        <f aca="false">経費前提!D53</f>
        <v>40</v>
      </c>
      <c r="F20" s="19" t="n">
        <f aca="false">経費前提!E53</f>
        <v>48</v>
      </c>
      <c r="G20" s="19" t="n">
        <f aca="false">経費前提!F53</f>
        <v>55</v>
      </c>
      <c r="H20" s="57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5" t="n">
        <f aca="false">IF($G$5=0,0,G21/$G$5)</f>
        <v>0.126644759322586</v>
      </c>
      <c r="C21" s="58" t="n">
        <f aca="false">C19-C20</f>
        <v>31.7072259125</v>
      </c>
      <c r="D21" s="58" t="n">
        <f aca="false">D19-D20</f>
        <v>87.4297141066251</v>
      </c>
      <c r="E21" s="58" t="n">
        <f aca="false">E19-E20</f>
        <v>196.756282097625</v>
      </c>
      <c r="F21" s="58" t="n">
        <f aca="false">F19-F20</f>
        <v>317.318054647625</v>
      </c>
      <c r="G21" s="58" t="n">
        <f aca="false">G19-G20</f>
        <v>438.879827197625</v>
      </c>
      <c r="H21" s="57" t="n">
        <f aca="false">SUM(C21:G21)</f>
        <v>1072.091103962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0.0821934794331009</v>
      </c>
      <c r="D22" s="17" t="n">
        <f aca="false">IF(D5=0,0,D21/D5)</f>
        <v>0.0969010729932227</v>
      </c>
      <c r="E22" s="17" t="n">
        <f aca="false">IF(E5=0,0,E21/E5)</f>
        <v>0.112372016593092</v>
      </c>
      <c r="F22" s="17" t="n">
        <f aca="false">IF(F5=0,0,F21/F5)</f>
        <v>0.121662245677684</v>
      </c>
      <c r="G22" s="17" t="n">
        <f aca="false">IF(G5=0,0,G21/G5)</f>
        <v>0.126644759322586</v>
      </c>
      <c r="H22" s="51" t="n">
        <f aca="false">H21/H5</f>
        <v>0.117649493038341</v>
      </c>
    </row>
    <row r="23" customFormat="false" ht="15" hidden="false" customHeight="false" outlineLevel="0" collapsed="false">
      <c r="A23" s="4" t="s">
        <v>23</v>
      </c>
      <c r="B23" s="65" t="n">
        <f aca="false">IF($G$5=0,0,G23/$G$5)</f>
        <v>0.0488195568817891</v>
      </c>
      <c r="C23" s="19" t="n">
        <f aca="false">店舗群別PL!C24+店舗群別PL!C46+店舗群別PL!C68+店舗群別PL!C90+店舗群別PL!C112</f>
        <v>20.825</v>
      </c>
      <c r="D23" s="19" t="n">
        <f aca="false">店舗群別PL!D24+店舗群別PL!D46+店舗群別PL!D68+店舗群別PL!D90+店舗群別PL!D112</f>
        <v>46.85625</v>
      </c>
      <c r="E23" s="19" t="n">
        <f aca="false">店舗群別PL!E24+店舗群別PL!E46+店舗群別PL!E68+店舗群別PL!E90+店舗群別PL!E112</f>
        <v>87.88125</v>
      </c>
      <c r="F23" s="19" t="n">
        <f aca="false">店舗群別PL!F24+店舗群別PL!F46+店舗群別PL!F68+店舗群別PL!F90+店舗群別PL!F112</f>
        <v>128.53125</v>
      </c>
      <c r="G23" s="19" t="n">
        <f aca="false">店舗群別PL!G24+店舗群別PL!G46+店舗群別PL!G68+店舗群別PL!G90+店舗群別PL!G112</f>
        <v>169.18125</v>
      </c>
      <c r="H23" s="57" t="n">
        <f aca="false">SUM(C23:G23)</f>
        <v>453.275</v>
      </c>
    </row>
    <row r="24" customFormat="false" ht="15" hidden="false" customHeight="false" outlineLevel="0" collapsed="false">
      <c r="A24" s="10" t="s">
        <v>24</v>
      </c>
      <c r="B24" s="65" t="n">
        <f aca="false">IF($G$5=0,0,G24/$G$5)</f>
        <v>0.0778252024407969</v>
      </c>
      <c r="C24" s="58" t="n">
        <f aca="false">C21-C23</f>
        <v>10.8822259125</v>
      </c>
      <c r="D24" s="58" t="n">
        <f aca="false">D21-D23</f>
        <v>40.5734641066251</v>
      </c>
      <c r="E24" s="58" t="n">
        <f aca="false">E21-E23</f>
        <v>108.875032097625</v>
      </c>
      <c r="F24" s="58" t="n">
        <f aca="false">F21-F23</f>
        <v>188.786804647625</v>
      </c>
      <c r="G24" s="58" t="n">
        <f aca="false">G21-G23</f>
        <v>269.698577197625</v>
      </c>
      <c r="H24" s="57" t="n">
        <f aca="false">SUM(C24:G24)</f>
        <v>618.816103962001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0.028209595320441</v>
      </c>
      <c r="D25" s="17" t="n">
        <f aca="false">IF(D5=0,0,D24/D5)</f>
        <v>0.0449688329323504</v>
      </c>
      <c r="E25" s="17" t="n">
        <f aca="false">IF(E5=0,0,E24/E5)</f>
        <v>0.0621810230556061</v>
      </c>
      <c r="F25" s="17" t="n">
        <f aca="false">IF(F5=0,0,F24/F5)</f>
        <v>0.072382350362163</v>
      </c>
      <c r="G25" s="17" t="n">
        <f aca="false">IF(G5=0,0,G24/G5)</f>
        <v>0.0778252024407969</v>
      </c>
      <c r="H25" s="51" t="n">
        <f aca="false">H24/H5</f>
        <v>0.0679078491053974</v>
      </c>
    </row>
    <row r="27" customFormat="false" ht="15" hidden="false" customHeight="false" outlineLevel="0" collapsed="false">
      <c r="A27" s="30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219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220</v>
      </c>
    </row>
    <row r="4" customFormat="false" ht="15" hidden="false" customHeight="false" outlineLevel="0" collapsed="false">
      <c r="A4" s="18" t="s">
        <v>221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222</v>
      </c>
      <c r="C5" s="14" t="s">
        <v>17</v>
      </c>
      <c r="D5" s="14" t="s">
        <v>18</v>
      </c>
      <c r="E5" s="14" t="s">
        <v>223</v>
      </c>
      <c r="F5" s="14" t="s">
        <v>224</v>
      </c>
      <c r="G5" s="14" t="s">
        <v>225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46.7072259125</v>
      </c>
      <c r="D6" s="9" t="n">
        <f aca="false">単店PL!D22</f>
        <v>57.045681716</v>
      </c>
      <c r="E6" s="9" t="n">
        <f aca="false">単店PL!E22</f>
        <v>64.280886275</v>
      </c>
      <c r="F6" s="9" t="n">
        <f aca="false">単店PL!E22</f>
        <v>64.280886275</v>
      </c>
      <c r="G6" s="9" t="n">
        <f aca="false">単店PL!E22</f>
        <v>64.280886275</v>
      </c>
    </row>
    <row r="7" customFormat="false" ht="15" hidden="false" customHeight="false" outlineLevel="0" collapsed="false">
      <c r="A7" s="4" t="s">
        <v>226</v>
      </c>
      <c r="B7" s="42" t="n">
        <f aca="false">-経費前提!$B$46</f>
        <v>-158.35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227</v>
      </c>
      <c r="B8" s="42" t="n">
        <v>0</v>
      </c>
      <c r="C8" s="42" t="n">
        <f aca="false">-経費前提!$B$47</f>
        <v>-15.6</v>
      </c>
      <c r="D8" s="42" t="n">
        <f aca="false">-経費前提!$B$47</f>
        <v>-15.6</v>
      </c>
      <c r="E8" s="42" t="n">
        <f aca="false">-経費前提!$B$47</f>
        <v>-15.6</v>
      </c>
      <c r="F8" s="42" t="n">
        <f aca="false">-経費前提!$B$47</f>
        <v>-15.6</v>
      </c>
      <c r="G8" s="42" t="n">
        <f aca="false">-経費前提!$B$47</f>
        <v>-15.6</v>
      </c>
    </row>
    <row r="9" customFormat="false" ht="15" hidden="false" customHeight="false" outlineLevel="0" collapsed="false">
      <c r="A9" s="10" t="s">
        <v>228</v>
      </c>
      <c r="B9" s="48" t="n">
        <f aca="false">B6+B7+B8</f>
        <v>-158.35</v>
      </c>
      <c r="C9" s="48" t="n">
        <f aca="false">C6+C7+C8</f>
        <v>31.1072259125</v>
      </c>
      <c r="D9" s="48" t="n">
        <f aca="false">D6+D7+D8</f>
        <v>41.445681716</v>
      </c>
      <c r="E9" s="48" t="n">
        <f aca="false">E6+E7+E8</f>
        <v>48.680886275</v>
      </c>
      <c r="F9" s="48" t="n">
        <f aca="false">F6+F7+F8</f>
        <v>48.680886275</v>
      </c>
      <c r="G9" s="48" t="n">
        <f aca="false">G6+G7+G8</f>
        <v>48.680886275</v>
      </c>
    </row>
    <row r="10" customFormat="false" ht="15" hidden="false" customHeight="false" outlineLevel="0" collapsed="false">
      <c r="A10" s="10" t="s">
        <v>229</v>
      </c>
      <c r="B10" s="50" t="n">
        <f aca="false">B9</f>
        <v>-158.35</v>
      </c>
      <c r="C10" s="50" t="n">
        <f aca="false">B10+C9</f>
        <v>-127.2427740875</v>
      </c>
      <c r="D10" s="50" t="n">
        <f aca="false">C10+D9</f>
        <v>-85.7970923715</v>
      </c>
      <c r="E10" s="50" t="n">
        <f aca="false">D10+E9</f>
        <v>-37.1162060965</v>
      </c>
      <c r="F10" s="50" t="n">
        <f aca="false">E10+F9</f>
        <v>11.5646801784999</v>
      </c>
      <c r="G10" s="50" t="n">
        <f aca="false">F10+G9</f>
        <v>60.2455664534999</v>
      </c>
    </row>
    <row r="12" customFormat="false" ht="15" hidden="false" customHeight="false" outlineLevel="0" collapsed="false">
      <c r="A12" s="4" t="s">
        <v>230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231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232</v>
      </c>
      <c r="B14" s="66" t="n">
        <f aca="false">IF(B12&gt;=5,"",IF(INDEX(B9:G9,B12+2)=0,"",B12+(-INDEX(B10:G10,B12+1))/INDEX(B9:G9,B12+2)))</f>
        <v>3.76243899683398</v>
      </c>
    </row>
    <row r="16" customFormat="false" ht="15" hidden="false" customHeight="false" outlineLevel="0" collapsed="false">
      <c r="A16" s="67" t="str">
        <f aca="false">"→ 1号店は開業"&amp;B13&amp;"に累計FCFが黒字転換（投資回収 約"&amp;TEXT(B14,"0.0")&amp;"年）。"</f>
        <v>→ 1号店は開業4年目に累計FCFが黒字転換（投資回収 約3.8年）。</v>
      </c>
    </row>
    <row r="18" customFormat="false" ht="15" hidden="false" customHeight="false" outlineLevel="0" collapsed="false">
      <c r="A18" s="3" t="s">
        <v>233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234</v>
      </c>
      <c r="C20" s="5" t="n">
        <f aca="false">経費前提!B51</f>
        <v>1</v>
      </c>
      <c r="D20" s="5" t="n">
        <f aca="false">経費前提!C51</f>
        <v>2</v>
      </c>
      <c r="E20" s="5" t="n">
        <f aca="false">経費前提!D51</f>
        <v>2</v>
      </c>
      <c r="F20" s="5" t="n">
        <f aca="false">経費前提!E51</f>
        <v>2</v>
      </c>
      <c r="G20" s="5" t="n">
        <f aca="false">経費前提!F51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経費前提!B52</f>
        <v>1</v>
      </c>
      <c r="D21" s="5" t="n">
        <f aca="false">経費前提!C52</f>
        <v>3</v>
      </c>
      <c r="E21" s="5" t="n">
        <f aca="false">経費前提!D52</f>
        <v>5</v>
      </c>
      <c r="F21" s="5" t="n">
        <f aca="false">経費前提!E52</f>
        <v>7</v>
      </c>
      <c r="G21" s="5" t="n">
        <f aca="false">経費前提!F52</f>
        <v>9</v>
      </c>
    </row>
    <row r="22" customFormat="false" ht="15" hidden="false" customHeight="false" outlineLevel="0" collapsed="false">
      <c r="A22" s="4" t="s">
        <v>235</v>
      </c>
      <c r="C22" s="44" t="n">
        <f aca="false">-C20*経費前提!$B$37</f>
        <v>-297.25</v>
      </c>
      <c r="D22" s="44" t="n">
        <f aca="false">-D20*経費前提!$C$37</f>
        <v>-514.5</v>
      </c>
      <c r="E22" s="44" t="n">
        <f aca="false">-E20*経費前提!$D$37</f>
        <v>-504.5</v>
      </c>
      <c r="F22" s="44" t="n">
        <f aca="false">-F20*経費前提!$D$37</f>
        <v>-504.5</v>
      </c>
      <c r="G22" s="44" t="n">
        <f aca="false">-G20*経費前提!$D$37</f>
        <v>-504.5</v>
      </c>
      <c r="H22" s="57" t="n">
        <f aca="false">SUM(C22:G22)</f>
        <v>-2325.25</v>
      </c>
    </row>
    <row r="23" customFormat="false" ht="15" hidden="false" customHeight="false" outlineLevel="0" collapsed="false">
      <c r="A23" s="4" t="s">
        <v>236</v>
      </c>
      <c r="C23" s="44" t="n">
        <f aca="false">C20*経費前提!$B$45</f>
        <v>138.9</v>
      </c>
      <c r="D23" s="44" t="n">
        <f aca="false">D20*経費前提!$B$45</f>
        <v>277.8</v>
      </c>
      <c r="E23" s="44" t="n">
        <f aca="false">E20*経費前提!$B$45</f>
        <v>277.8</v>
      </c>
      <c r="F23" s="44" t="n">
        <f aca="false">F20*経費前提!$B$45</f>
        <v>277.8</v>
      </c>
      <c r="G23" s="44" t="n">
        <f aca="false">G20*経費前提!$B$45</f>
        <v>277.8</v>
      </c>
      <c r="H23" s="57" t="n">
        <f aca="false">SUM(C23:G23)</f>
        <v>1250.1</v>
      </c>
    </row>
    <row r="24" customFormat="false" ht="15" hidden="false" customHeight="false" outlineLevel="0" collapsed="false">
      <c r="A24" s="10" t="s">
        <v>226</v>
      </c>
      <c r="C24" s="57" t="n">
        <f aca="false">C22+C23</f>
        <v>-158.35</v>
      </c>
      <c r="D24" s="57" t="n">
        <f aca="false">D22+D23</f>
        <v>-236.7</v>
      </c>
      <c r="E24" s="57" t="n">
        <f aca="false">E22+E23</f>
        <v>-226.7</v>
      </c>
      <c r="F24" s="57" t="n">
        <f aca="false">F22+F23</f>
        <v>-226.7</v>
      </c>
      <c r="G24" s="57" t="n">
        <f aca="false">G22+G23</f>
        <v>-226.7</v>
      </c>
      <c r="H24" s="57" t="n">
        <f aca="false">SUM(C24:G24)</f>
        <v>-1075.15</v>
      </c>
    </row>
    <row r="25" customFormat="false" ht="15" hidden="false" customHeight="false" outlineLevel="0" collapsed="false">
      <c r="A25" s="4" t="s">
        <v>237</v>
      </c>
      <c r="C25" s="44" t="n">
        <f aca="false">-(IF(店舗群別PL!C8=0,0,経費前提!$B$47*店舗群別PL!$B$6*IF(店舗群別PL!C8=1,店舗群別PL!$B$7/12,1))+IF(店舗群別PL!C30=0,0,経費前提!$B$47*店舗群別PL!$B$28*IF(店舗群別PL!C30=1,店舗群別PL!$B$29/12,1))+IF(店舗群別PL!C52=0,0,経費前提!$B$47*店舗群別PL!$B$50*IF(店舗群別PL!C52=1,店舗群別PL!$B$51/12,1))+IF(店舗群別PL!C74=0,0,経費前提!$B$47*店舗群別PL!$B$72*IF(店舗群別PL!C74=1,店舗群別PL!$B$73/12,1))+IF(店舗群別PL!C96=0,0,経費前提!$B$47*店舗群別PL!$B$94*IF(店舗群別PL!C96=1,店舗群別PL!$B$95/12,1)))</f>
        <v>-15.6</v>
      </c>
      <c r="D25" s="44" t="n">
        <f aca="false">-(IF(店舗群別PL!D8=0,0,経費前提!$B$47*店舗群別PL!$B$6*IF(店舗群別PL!D8=1,店舗群別PL!$B$7/12,1))+IF(店舗群別PL!D30=0,0,経費前提!$B$47*店舗群別PL!$B$28*IF(店舗群別PL!D30=1,店舗群別PL!$B$29/12,1))+IF(店舗群別PL!D52=0,0,経費前提!$B$47*店舗群別PL!$B$50*IF(店舗群別PL!D52=1,店舗群別PL!$B$51/12,1))+IF(店舗群別PL!D74=0,0,経費前提!$B$47*店舗群別PL!$B$72*IF(店舗群別PL!D74=1,店舗群別PL!$B$73/12,1))+IF(店舗群別PL!D96=0,0,経費前提!$B$47*店舗群別PL!$B$94*IF(店舗群別PL!D96=1,店舗群別PL!$B$95/12,1)))</f>
        <v>-35.1</v>
      </c>
      <c r="E25" s="44" t="n">
        <f aca="false">-(IF(店舗群別PL!E8=0,0,経費前提!$B$47*店舗群別PL!$B$6*IF(店舗群別PL!E8=1,店舗群別PL!$B$7/12,1))+IF(店舗群別PL!E30=0,0,経費前提!$B$47*店舗群別PL!$B$28*IF(店舗群別PL!E30=1,店舗群別PL!$B$29/12,1))+IF(店舗群別PL!E52=0,0,経費前提!$B$47*店舗群別PL!$B$50*IF(店舗群別PL!E52=1,店舗群別PL!$B$51/12,1))+IF(店舗群別PL!E74=0,0,経費前提!$B$47*店舗群別PL!$B$72*IF(店舗群別PL!E74=1,店舗群別PL!$B$73/12,1))+IF(店舗群別PL!E96=0,0,経費前提!$B$47*店舗群別PL!$B$94*IF(店舗群別PL!E96=1,店舗群別PL!$B$95/12,1)))</f>
        <v>-66.3</v>
      </c>
      <c r="F25" s="44" t="n">
        <f aca="false">-(IF(店舗群別PL!F8=0,0,経費前提!$B$47*店舗群別PL!$B$6*IF(店舗群別PL!F8=1,店舗群別PL!$B$7/12,1))+IF(店舗群別PL!F30=0,0,経費前提!$B$47*店舗群別PL!$B$28*IF(店舗群別PL!F30=1,店舗群別PL!$B$29/12,1))+IF(店舗群別PL!F52=0,0,経費前提!$B$47*店舗群別PL!$B$50*IF(店舗群別PL!F52=1,店舗群別PL!$B$51/12,1))+IF(店舗群別PL!F74=0,0,経費前提!$B$47*店舗群別PL!$B$72*IF(店舗群別PL!F74=1,店舗群別PL!$B$73/12,1))+IF(店舗群別PL!F96=0,0,経費前提!$B$47*店舗群別PL!$B$94*IF(店舗群別PL!F96=1,店舗群別PL!$B$95/12,1)))</f>
        <v>-97.5</v>
      </c>
      <c r="G25" s="44" t="n">
        <f aca="false">-(IF(店舗群別PL!G8=0,0,経費前提!$B$47*店舗群別PL!$B$6*IF(店舗群別PL!G8=1,店舗群別PL!$B$7/12,1))+IF(店舗群別PL!G30=0,0,経費前提!$B$47*店舗群別PL!$B$28*IF(店舗群別PL!G30=1,店舗群別PL!$B$29/12,1))+IF(店舗群別PL!G52=0,0,経費前提!$B$47*店舗群別PL!$B$50*IF(店舗群別PL!G52=1,店舗群別PL!$B$51/12,1))+IF(店舗群別PL!G74=0,0,経費前提!$B$47*店舗群別PL!$B$72*IF(店舗群別PL!G74=1,店舗群別PL!$B$73/12,1))+IF(店舗群別PL!G96=0,0,経費前提!$B$47*店舗群別PL!$B$94*IF(店舗群別PL!G96=1,店舗群別PL!$B$95/12,1)))</f>
        <v>-128.7</v>
      </c>
      <c r="H25" s="57" t="n">
        <f aca="false">SUM(C25:G25)</f>
        <v>-343.2</v>
      </c>
    </row>
    <row r="26" customFormat="false" ht="15" hidden="false" customHeight="false" outlineLevel="0" collapsed="false">
      <c r="A26" s="10" t="s">
        <v>238</v>
      </c>
      <c r="C26" s="57" t="n">
        <f aca="false">C24+C25</f>
        <v>-173.95</v>
      </c>
      <c r="D26" s="57" t="n">
        <f aca="false">D24+D25</f>
        <v>-271.8</v>
      </c>
      <c r="E26" s="57" t="n">
        <f aca="false">E24+E25</f>
        <v>-293</v>
      </c>
      <c r="F26" s="57" t="n">
        <f aca="false">F24+F25</f>
        <v>-324.2</v>
      </c>
      <c r="G26" s="57" t="n">
        <f aca="false">G24+G25</f>
        <v>-355.4</v>
      </c>
      <c r="H26" s="57" t="n">
        <f aca="false">SUM(C26:G26)</f>
        <v>-1418.35</v>
      </c>
    </row>
    <row r="27" customFormat="false" ht="15" hidden="false" customHeight="false" outlineLevel="0" collapsed="false">
      <c r="A27" s="10" t="s">
        <v>35</v>
      </c>
      <c r="C27" s="55" t="n">
        <f aca="false">連結PL!C21</f>
        <v>31.7072259125</v>
      </c>
      <c r="D27" s="55" t="n">
        <f aca="false">連結PL!D21</f>
        <v>87.4297141066251</v>
      </c>
      <c r="E27" s="55" t="n">
        <f aca="false">連結PL!E21</f>
        <v>196.756282097625</v>
      </c>
      <c r="F27" s="55" t="n">
        <f aca="false">連結PL!F21</f>
        <v>317.318054647625</v>
      </c>
      <c r="G27" s="55" t="n">
        <f aca="false">連結PL!G21</f>
        <v>438.879827197625</v>
      </c>
      <c r="H27" s="57" t="n">
        <f aca="false">SUM(C27:G27)</f>
        <v>1072.091103962</v>
      </c>
    </row>
    <row r="28" customFormat="false" ht="15" hidden="false" customHeight="false" outlineLevel="0" collapsed="false">
      <c r="A28" s="4" t="s">
        <v>239</v>
      </c>
      <c r="C28" s="44" t="n">
        <f aca="false">-MAX(0,連結PL!C24)*$B$33</f>
        <v>-3.26466777375</v>
      </c>
      <c r="D28" s="44" t="n">
        <f aca="false">-MAX(0,連結PL!D24)*$B$33</f>
        <v>-12.1720392319875</v>
      </c>
      <c r="E28" s="44" t="n">
        <f aca="false">-MAX(0,連結PL!E24)*$B$33</f>
        <v>-32.6625096292875</v>
      </c>
      <c r="F28" s="44" t="n">
        <f aca="false">-MAX(0,連結PL!F24)*$B$33</f>
        <v>-56.6360413942876</v>
      </c>
      <c r="G28" s="44" t="n">
        <f aca="false">-MAX(0,連結PL!G24)*$B$33</f>
        <v>-80.9095731592876</v>
      </c>
      <c r="H28" s="57" t="n">
        <f aca="false">SUM(C28:G28)</f>
        <v>-185.6448311886</v>
      </c>
    </row>
    <row r="29" customFormat="false" ht="15" hidden="false" customHeight="false" outlineLevel="0" collapsed="false">
      <c r="A29" s="10" t="s">
        <v>240</v>
      </c>
      <c r="C29" s="58" t="n">
        <f aca="false">C27+C28+C26</f>
        <v>-145.50744186125</v>
      </c>
      <c r="D29" s="58" t="n">
        <f aca="false">D27+D28+D26</f>
        <v>-196.542325125362</v>
      </c>
      <c r="E29" s="58" t="n">
        <f aca="false">E27+E28+E26</f>
        <v>-128.906227531662</v>
      </c>
      <c r="F29" s="58" t="n">
        <f aca="false">F27+F28+F26</f>
        <v>-63.5179867466624</v>
      </c>
      <c r="G29" s="58" t="n">
        <f aca="false">G27+G28+G26</f>
        <v>2.57025403833768</v>
      </c>
      <c r="H29" s="57" t="n">
        <f aca="false">SUM(C29:G29)</f>
        <v>-531.9037272266</v>
      </c>
    </row>
    <row r="30" customFormat="false" ht="15" hidden="false" customHeight="false" outlineLevel="0" collapsed="false">
      <c r="A30" s="10" t="s">
        <v>241</v>
      </c>
      <c r="C30" s="58" t="n">
        <f aca="false">C29</f>
        <v>-145.50744186125</v>
      </c>
      <c r="D30" s="58" t="n">
        <f aca="false">C30+D29</f>
        <v>-342.049766986612</v>
      </c>
      <c r="E30" s="58" t="n">
        <f aca="false">D30+E29</f>
        <v>-470.955994518275</v>
      </c>
      <c r="F30" s="58" t="n">
        <f aca="false">E30+F29</f>
        <v>-534.473981264937</v>
      </c>
      <c r="G30" s="58" t="n">
        <f aca="false">F30+G29</f>
        <v>-531.9037272266</v>
      </c>
    </row>
    <row r="32" customFormat="false" ht="15" hidden="false" customHeight="false" outlineLevel="0" collapsed="false">
      <c r="A32" s="3" t="s">
        <v>242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243</v>
      </c>
      <c r="B33" s="29" t="n">
        <v>0.3</v>
      </c>
      <c r="J33" s="2" t="s">
        <v>244</v>
      </c>
    </row>
    <row r="34" customFormat="false" ht="15" hidden="false" customHeight="false" outlineLevel="0" collapsed="false">
      <c r="A34" s="4" t="s">
        <v>245</v>
      </c>
      <c r="B34" s="42" t="n">
        <f aca="false">-MIN(C30:G30)</f>
        <v>534.473981264937</v>
      </c>
      <c r="J34" s="2" t="s">
        <v>246</v>
      </c>
    </row>
    <row r="35" customFormat="false" ht="15" hidden="false" customHeight="false" outlineLevel="0" collapsed="false">
      <c r="A35" s="4" t="s">
        <v>247</v>
      </c>
      <c r="B35" s="28" t="n">
        <v>200</v>
      </c>
      <c r="J35" s="2" t="s">
        <v>248</v>
      </c>
    </row>
    <row r="36" customFormat="false" ht="15" hidden="false" customHeight="false" outlineLevel="0" collapsed="false">
      <c r="A36" s="4" t="s">
        <v>249</v>
      </c>
      <c r="B36" s="28" t="n">
        <v>150</v>
      </c>
      <c r="J36" s="30" t="s">
        <v>250</v>
      </c>
    </row>
    <row r="37" customFormat="false" ht="15" hidden="false" customHeight="false" outlineLevel="0" collapsed="false">
      <c r="A37" s="10" t="s">
        <v>251</v>
      </c>
      <c r="B37" s="48" t="n">
        <f aca="false">B35+B36</f>
        <v>350</v>
      </c>
      <c r="J37" s="2"/>
    </row>
    <row r="38" customFormat="false" ht="15" hidden="false" customHeight="false" outlineLevel="0" collapsed="false">
      <c r="A38" s="10" t="s">
        <v>48</v>
      </c>
      <c r="B38" s="50" t="n">
        <f aca="false">B37-B34</f>
        <v>-184.473981264937</v>
      </c>
      <c r="J38" s="2" t="s">
        <v>252</v>
      </c>
    </row>
    <row r="40" customFormat="false" ht="15" hidden="false" customHeight="false" outlineLevel="0" collapsed="false">
      <c r="A40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254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256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257</v>
      </c>
      <c r="B5" s="68" t="n">
        <v>0.7</v>
      </c>
      <c r="C5" s="68" t="n">
        <v>0.8</v>
      </c>
      <c r="D5" s="68" t="n">
        <v>0.9</v>
      </c>
      <c r="E5" s="68" t="n">
        <v>1</v>
      </c>
      <c r="F5" s="68" t="n">
        <v>1.1</v>
      </c>
    </row>
    <row r="6" customFormat="false" ht="15" hidden="false" customHeight="false" outlineLevel="0" collapsed="false">
      <c r="A6" s="69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339.7797975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362.0770725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384.3743475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406.6716225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428.9688975</v>
      </c>
    </row>
    <row r="7" customFormat="false" ht="15" hidden="false" customHeight="false" outlineLevel="0" collapsed="false">
      <c r="A7" s="69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358.475205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382.487655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406.500105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430.512555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454.525005</v>
      </c>
    </row>
    <row r="8" customFormat="false" ht="15" hidden="false" customHeight="false" outlineLevel="0" collapsed="false">
      <c r="A8" s="69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377.1706125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402.8982375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428.6258625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454.3534875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480.0811125</v>
      </c>
    </row>
    <row r="9" customFormat="false" ht="15" hidden="false" customHeight="false" outlineLevel="0" collapsed="false">
      <c r="A9" s="69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395.86602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423.30882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450.75162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478.19442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505.63722</v>
      </c>
    </row>
    <row r="10" customFormat="false" ht="15" hidden="false" customHeight="false" outlineLevel="0" collapsed="false">
      <c r="A10" s="69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414.5614275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443.7194025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472.8773775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502.0353525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531.1933275</v>
      </c>
    </row>
    <row r="12" customFormat="false" ht="15" hidden="false" customHeight="false" outlineLevel="0" collapsed="false">
      <c r="A12" s="3" t="s">
        <v>258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257</v>
      </c>
      <c r="B13" s="68" t="n">
        <v>0.7</v>
      </c>
      <c r="C13" s="68" t="n">
        <v>0.8</v>
      </c>
      <c r="D13" s="68" t="n">
        <v>0.9</v>
      </c>
      <c r="E13" s="68" t="n">
        <v>1</v>
      </c>
      <c r="F13" s="68" t="n">
        <v>1.1</v>
      </c>
    </row>
    <row r="14" customFormat="false" ht="15" hidden="false" customHeight="false" outlineLevel="0" collapsed="false">
      <c r="A14" s="69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$40)</f>
        <v>19.904373675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$40)</f>
        <v>22.803019425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$40)</f>
        <v>25.701665175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$40)</f>
        <v>28.600310925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$40)</f>
        <v>31.498956675</v>
      </c>
    </row>
    <row r="15" customFormat="false" ht="15" hidden="false" customHeight="false" outlineLevel="0" collapsed="false">
      <c r="A15" s="69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$40)</f>
        <v>22.33477665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$40)</f>
        <v>25.45639515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$40)</f>
        <v>28.57801365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$40)</f>
        <v>31.69963215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$40)</f>
        <v>34.82125065</v>
      </c>
    </row>
    <row r="16" customFormat="false" ht="15" hidden="false" customHeight="false" outlineLevel="0" collapsed="false">
      <c r="A16" s="69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$40)</f>
        <v>24.765179625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$40)</f>
        <v>28.109770875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$40)</f>
        <v>31.454362125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$40)</f>
        <v>34.798953375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$40)</f>
        <v>38.143544625</v>
      </c>
    </row>
    <row r="17" customFormat="false" ht="15" hidden="false" customHeight="false" outlineLevel="0" collapsed="false">
      <c r="A17" s="69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$40)</f>
        <v>27.1955826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$40)</f>
        <v>30.7631466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$40)</f>
        <v>34.3307106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$40)</f>
        <v>37.8982746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$40)</f>
        <v>41.4658386</v>
      </c>
    </row>
    <row r="18" customFormat="false" ht="15" hidden="false" customHeight="false" outlineLevel="0" collapsed="false">
      <c r="A18" s="69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$40)</f>
        <v>29.625985575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$40)</f>
        <v>33.416522325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$40)</f>
        <v>37.207059075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$40)</f>
        <v>40.997595825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$40)</f>
        <v>44.788132575</v>
      </c>
    </row>
    <row r="20" customFormat="false" ht="15" hidden="false" customHeight="false" outlineLevel="0" collapsed="false">
      <c r="A20" s="3" t="s">
        <v>259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257</v>
      </c>
      <c r="B21" s="68" t="n">
        <v>0.7</v>
      </c>
      <c r="C21" s="68" t="n">
        <v>0.8</v>
      </c>
      <c r="D21" s="68" t="n">
        <v>0.9</v>
      </c>
      <c r="E21" s="68" t="n">
        <v>1</v>
      </c>
      <c r="F21" s="68" t="n">
        <v>1.1</v>
      </c>
    </row>
    <row r="22" customFormat="false" ht="15" hidden="false" customHeight="false" outlineLevel="0" collapsed="false">
      <c r="A22" s="69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$40)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0.0585802152495544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$40)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0.0629783578052986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$40)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0.0668662342899978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$40)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0.0703277763744138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$40)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0.073429465069784</v>
      </c>
    </row>
    <row r="23" customFormat="false" ht="15" hidden="false" customHeight="false" outlineLevel="0" collapsed="false">
      <c r="A23" s="69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$40)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0.0623049414254468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$40)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0.0665548150828555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$40)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0.0703025984458233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$40)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0.0736323059149809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$40)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0.0766101980462</v>
      </c>
    </row>
    <row r="24" customFormat="false" ht="15" hidden="false" customHeight="false" outlineLevel="0" collapsed="false">
      <c r="A24" s="69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$40)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0.0656604168093823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$40)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0.0697689100091931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$40)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0.0733841909154514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$40)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0.0765900435065991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$40)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0.0794522917728825</v>
      </c>
    </row>
    <row r="25" customFormat="false" ht="15" hidden="false" customHeight="false" outlineLevel="0" collapsed="false">
      <c r="A25" s="69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$40)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0.0686989567834088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$40)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0.0726730584068625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$40)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0.0761632550538588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$40)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0.079252858283039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$40)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0.0820070931487204</v>
      </c>
    </row>
    <row r="26" customFormat="false" ht="15" hidden="false" customHeight="false" outlineLevel="0" collapsed="false">
      <c r="A26" s="69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$40)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0.0714634396973655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$40)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0.0753100318280538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$40)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0.0786822564270375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$40)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0.0816627666176159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$40)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0.0843160677220669</v>
      </c>
    </row>
    <row r="28" customFormat="false" ht="15" hidden="false" customHeight="false" outlineLevel="0" collapsed="false">
      <c r="A28" s="46" t="s">
        <v>260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2026-10-09T07:50:53Z</dcterms:created>
  <dc:creator>openpyxl</dc:creator>
  <dc:description/>
  <dc:language>en-US</dc:language>
  <cp:lastModifiedBy/>
  <dcterms:modified xsi:type="dcterms:W3CDTF">2026-10-09T07:50:53Z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