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売上前提" sheetId="2" state="visible" r:id="rId4"/>
    <sheet name="経費前提" sheetId="3" state="visible" r:id="rId5"/>
    <sheet name="単店PL" sheetId="4" state="visible" r:id="rId6"/>
    <sheet name="投資・CF" sheetId="5" state="visible" r:id="rId7"/>
    <sheet name="感応度分析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<sst xmlns="http://schemas.openxmlformats.org/spreadsheetml/2006/main" count="264" uniqueCount="192">
  <si>
    <r>
      <rPr>
        <b val="true"/>
        <sz val="11"/>
        <color rgb="FFFFFFFF"/>
        <rFont val="Meiryo"/>
        <family val="0"/>
        <charset val="1"/>
      </rPr>
      <t xml:space="preserve">BRASSERIE Thierry Marx</t>
    </r>
    <r>
      <rPr>
        <b val="true"/>
        <sz val="11"/>
        <color rgb="FFFFFFFF"/>
        <rFont val="WenQuanYi Zen Hei"/>
        <family val="2"/>
      </rPr>
      <t xml:space="preserve">　六本木ミッドタウン店　事業収支</t>
    </r>
  </si>
  <si>
    <r>
      <rPr>
        <sz val="9"/>
        <color rgb="FF7F7F7F"/>
        <rFont val="WenQuanYi Zen Hei"/>
        <family val="2"/>
      </rPr>
      <t xml:space="preserve">単位：百万円／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準拠。</t>
    </r>
    <r>
      <rPr>
        <sz val="9"/>
        <color rgb="FF7F7F7F"/>
        <rFont val="Meiryo"/>
        <family val="0"/>
        <charset val="1"/>
      </rPr>
      <t xml:space="preserve">183.59</t>
    </r>
    <r>
      <rPr>
        <sz val="9"/>
        <color rgb="FF7F7F7F"/>
        <rFont val="WenQuanYi Zen Hei"/>
        <family val="2"/>
      </rPr>
      <t xml:space="preserve">㎡</t>
    </r>
    <r>
      <rPr>
        <sz val="9"/>
        <color rgb="FF7F7F7F"/>
        <rFont val="Meiryo"/>
        <family val="0"/>
        <charset val="1"/>
      </rPr>
      <t xml:space="preserve">(55.5</t>
    </r>
    <r>
      <rPr>
        <sz val="9"/>
        <color rgb="FF7F7F7F"/>
        <rFont val="WenQuanYi Zen Hei"/>
        <family val="2"/>
      </rPr>
      <t xml:space="preserve">坪</t>
    </r>
    <r>
      <rPr>
        <sz val="9"/>
        <color rgb="FF7F7F7F"/>
        <rFont val="Meiryo"/>
        <family val="0"/>
        <charset val="1"/>
      </rPr>
      <t xml:space="preserve">)</t>
    </r>
    <r>
      <rPr>
        <sz val="9"/>
        <color rgb="FF7F7F7F"/>
        <rFont val="WenQuanYi Zen Hei"/>
        <family val="2"/>
      </rPr>
      <t xml:space="preserve">・年</t>
    </r>
    <r>
      <rPr>
        <sz val="9"/>
        <color rgb="FF7F7F7F"/>
        <rFont val="Meiryo"/>
        <family val="0"/>
        <charset val="1"/>
      </rPr>
      <t xml:space="preserve">363</t>
    </r>
    <r>
      <rPr>
        <sz val="9"/>
        <color rgb="FF7F7F7F"/>
        <rFont val="WenQuanYi Zen Hei"/>
        <family val="2"/>
      </rPr>
      <t xml:space="preserve">日営業。水色セルを変えると全体が再計算されます。</t>
    </r>
  </si>
  <si>
    <t xml:space="preserve">■ よく変える前提（ここだけ変えれば全体が動きます）</t>
  </si>
  <si>
    <r>
      <rPr>
        <sz val="9"/>
        <color rgb="FF7F7F7F"/>
        <rFont val="WenQuanYi Zen Hei"/>
        <family val="2"/>
      </rPr>
      <t xml:space="preserve">詳細は「売上前提」シート。時間帯</t>
    </r>
    <r>
      <rPr>
        <sz val="9"/>
        <color rgb="FF7F7F7F"/>
        <rFont val="Meiryo"/>
        <family val="0"/>
        <charset val="1"/>
      </rPr>
      <t xml:space="preserve">×</t>
    </r>
    <r>
      <rPr>
        <sz val="9"/>
        <color rgb="FF7F7F7F"/>
        <rFont val="WenQuanYi Zen Hei"/>
        <family val="2"/>
      </rPr>
      <t xml:space="preserve">エリアごとの席効率・回転率・客単価はそちらで個別に設定できます。</t>
    </r>
  </si>
  <si>
    <t xml:space="preserve">総席数（店内＋テラス）</t>
  </si>
  <si>
    <t xml:space="preserve">　店内</t>
  </si>
  <si>
    <t xml:space="preserve">　テラス</t>
  </si>
  <si>
    <t xml:space="preserve">店内 席効率（ランチ）</t>
  </si>
  <si>
    <t xml:space="preserve">ディナー 回転率（店内）</t>
  </si>
  <si>
    <t xml:space="preserve">客単価 ランチ</t>
  </si>
  <si>
    <t xml:space="preserve">客単価 カフェ</t>
  </si>
  <si>
    <t xml:space="preserve">客単価 ディナー</t>
  </si>
  <si>
    <t xml:space="preserve">営業日数（日／年）</t>
  </si>
  <si>
    <r>
      <rPr>
        <b val="true"/>
        <sz val="10"/>
        <color rgb="FF000000"/>
        <rFont val="WenQuanYi Zen Hei"/>
        <family val="2"/>
      </rPr>
      <t xml:space="preserve">■ 単店</t>
    </r>
    <r>
      <rPr>
        <b val="true"/>
        <sz val="10"/>
        <color rgb="FF000000"/>
        <rFont val="Meiryo"/>
        <family val="0"/>
        <charset val="1"/>
      </rPr>
      <t xml:space="preserve">PL </t>
    </r>
    <r>
      <rPr>
        <b val="true"/>
        <sz val="10"/>
        <color rgb="FF000000"/>
        <rFont val="WenQuanYi Zen Hei"/>
        <family val="2"/>
      </rPr>
      <t xml:space="preserve">サマリー</t>
    </r>
  </si>
  <si>
    <t xml:space="preserve">項　目</t>
  </si>
  <si>
    <t xml:space="preserve">満年度</t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</si>
  <si>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</si>
  <si>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</si>
  <si>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年目以降</t>
    </r>
  </si>
  <si>
    <t xml:space="preserve">売上高</t>
  </si>
  <si>
    <t xml:space="preserve">部門利益</t>
  </si>
  <si>
    <r>
      <rPr>
        <sz val="10"/>
        <color rgb="FF000000"/>
        <rFont val="Meiryo"/>
        <family val="0"/>
        <charset val="1"/>
      </rPr>
      <t xml:space="preserve">GOP</t>
    </r>
    <r>
      <rPr>
        <sz val="10"/>
        <color rgb="FF000000"/>
        <rFont val="WenQuanYi Zen Hei"/>
        <family val="2"/>
      </rPr>
      <t xml:space="preserve">（店舗営業総利益）</t>
    </r>
  </si>
  <si>
    <t xml:space="preserve">EBITDA</t>
  </si>
  <si>
    <t xml:space="preserve">営業利益</t>
  </si>
  <si>
    <r>
      <rPr>
        <b val="true"/>
        <sz val="10"/>
        <color rgb="FF000000"/>
        <rFont val="WenQuanYi Zen Hei"/>
        <family val="2"/>
      </rPr>
      <t xml:space="preserve">　</t>
    </r>
    <r>
      <rPr>
        <b val="true"/>
        <sz val="10"/>
        <color rgb="FF000000"/>
        <rFont val="Meiryo"/>
        <family val="0"/>
        <charset val="1"/>
      </rPr>
      <t xml:space="preserve">EBITDA</t>
    </r>
    <r>
      <rPr>
        <b val="true"/>
        <sz val="10"/>
        <color rgb="FF000000"/>
        <rFont val="WenQuanYi Zen Hei"/>
        <family val="2"/>
      </rPr>
      <t xml:space="preserve">率</t>
    </r>
  </si>
  <si>
    <t xml:space="preserve">　営業利益率</t>
  </si>
  <si>
    <t xml:space="preserve">■ 売上の内訳（満年度）</t>
  </si>
  <si>
    <r>
      <rPr>
        <b val="true"/>
        <sz val="10"/>
        <color rgb="FF000000"/>
        <rFont val="WenQuanYi Zen Hei"/>
        <family val="2"/>
      </rPr>
      <t xml:space="preserve">時間帯 </t>
    </r>
    <r>
      <rPr>
        <b val="true"/>
        <sz val="10"/>
        <color rgb="FF000000"/>
        <rFont val="Meiryo"/>
        <family val="0"/>
        <charset val="1"/>
      </rPr>
      <t xml:space="preserve">× </t>
    </r>
    <r>
      <rPr>
        <b val="true"/>
        <sz val="10"/>
        <color rgb="FF000000"/>
        <rFont val="WenQuanYi Zen Hei"/>
        <family val="2"/>
      </rPr>
      <t xml:space="preserve">エリア</t>
    </r>
  </si>
  <si>
    <t xml:space="preserve">年間売上</t>
  </si>
  <si>
    <t xml:space="preserve">構成比</t>
  </si>
  <si>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日客数</t>
    </r>
  </si>
  <si>
    <t xml:space="preserve">合　計</t>
  </si>
  <si>
    <t xml:space="preserve">■ 投資回収</t>
  </si>
  <si>
    <t xml:space="preserve">初期投資 合計</t>
  </si>
  <si>
    <t xml:space="preserve">開業時 現金支出（分割払い活用後）</t>
  </si>
  <si>
    <r>
      <rPr>
        <sz val="10"/>
        <color rgb="FF000000"/>
        <rFont val="WenQuanYi Zen Hei"/>
        <family val="2"/>
      </rPr>
      <t xml:space="preserve">定常期の年間</t>
    </r>
    <r>
      <rPr>
        <sz val="10"/>
        <color rgb="FF000000"/>
        <rFont val="Meiryo"/>
        <family val="0"/>
        <charset val="1"/>
      </rPr>
      <t xml:space="preserve">FCF</t>
    </r>
  </si>
  <si>
    <r>
      <rPr>
        <sz val="10"/>
        <color rgb="FF000000"/>
        <rFont val="WenQuanYi Zen Hei"/>
        <family val="2"/>
      </rPr>
      <t xml:space="preserve">累計</t>
    </r>
    <r>
      <rPr>
        <sz val="10"/>
        <color rgb="FF000000"/>
        <rFont val="Meiryo"/>
        <family val="0"/>
        <charset val="1"/>
      </rPr>
      <t xml:space="preserve">FCF</t>
    </r>
    <r>
      <rPr>
        <sz val="10"/>
        <color rgb="FF000000"/>
        <rFont val="WenQuanYi Zen Hei"/>
        <family val="2"/>
      </rPr>
      <t xml:space="preserve">の黒字転換</t>
    </r>
  </si>
  <si>
    <r>
      <rPr>
        <b val="true"/>
        <sz val="10"/>
        <color rgb="FFC00000"/>
        <rFont val="WenQuanYi Zen Hei"/>
        <family val="2"/>
      </rPr>
      <t xml:space="preserve">→ 開業</t>
    </r>
    <r>
      <rPr>
        <b val="true"/>
        <sz val="10"/>
        <color rgb="FFC00000"/>
        <rFont val="Meiryo"/>
        <family val="0"/>
        <charset val="1"/>
      </rPr>
      <t xml:space="preserve">3</t>
    </r>
    <r>
      <rPr>
        <b val="true"/>
        <sz val="10"/>
        <color rgb="FFC00000"/>
        <rFont val="WenQuanYi Zen Hei"/>
        <family val="2"/>
      </rPr>
      <t xml:space="preserve">年目に累計</t>
    </r>
    <r>
      <rPr>
        <b val="true"/>
        <sz val="10"/>
        <color rgb="FFC00000"/>
        <rFont val="Meiryo"/>
        <family val="0"/>
        <charset val="1"/>
      </rPr>
      <t xml:space="preserve">FCF</t>
    </r>
    <r>
      <rPr>
        <b val="true"/>
        <sz val="10"/>
        <color rgb="FFC00000"/>
        <rFont val="WenQuanYi Zen Hei"/>
        <family val="2"/>
      </rPr>
      <t xml:space="preserve">が黒字転換（投資回収 約</t>
    </r>
    <r>
      <rPr>
        <b val="true"/>
        <sz val="10"/>
        <color rgb="FFC00000"/>
        <rFont val="Meiryo"/>
        <family val="0"/>
        <charset val="1"/>
      </rPr>
      <t xml:space="preserve">2.8</t>
    </r>
    <r>
      <rPr>
        <b val="true"/>
        <sz val="10"/>
        <color rgb="FFC00000"/>
        <rFont val="WenQuanYi Zen Hei"/>
        <family val="2"/>
      </rPr>
      <t xml:space="preserve">年）。</t>
    </r>
  </si>
  <si>
    <r>
      <rPr>
        <b val="true"/>
        <sz val="11"/>
        <color rgb="FFFFFFFF"/>
        <rFont val="WenQuanYi Zen Hei"/>
        <family val="2"/>
      </rPr>
      <t xml:space="preserve">売上前提　／　席数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回転率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客単価 からの積上げ</t>
    </r>
  </si>
  <si>
    <t xml:space="preserve">水色セル＝入力値。ここを変えると全シートが自動再計算されます。単位：売上は百万円、客単価は円。</t>
  </si>
  <si>
    <t xml:space="preserve">■ 基本条件</t>
  </si>
  <si>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363</t>
    </r>
    <r>
      <rPr>
        <sz val="9"/>
        <color rgb="FF7F7F7F"/>
        <rFont val="WenQuanYi Zen Hei"/>
        <family val="2"/>
      </rPr>
      <t xml:space="preserve">日営業（提出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準拠）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</si>
  <si>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年目</t>
    </r>
  </si>
  <si>
    <r>
      <rPr>
        <sz val="9"/>
        <color rgb="FF7F7F7F"/>
        <rFont val="WenQuanYi Zen Hei"/>
        <family val="2"/>
      </rPr>
      <t xml:space="preserve">新店初年度は保守的に</t>
    </r>
    <r>
      <rPr>
        <sz val="9"/>
        <color rgb="FF7F7F7F"/>
        <rFont val="Meiryo"/>
        <family val="0"/>
        <charset val="1"/>
      </rPr>
      <t xml:space="preserve">90%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</si>
  <si>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年目</t>
    </r>
  </si>
  <si>
    <r>
      <rPr>
        <sz val="10"/>
        <color rgb="FF000000"/>
        <rFont val="WenQuanYi Zen Hei"/>
        <family val="2"/>
      </rPr>
      <t xml:space="preserve">立上り率　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年目以降（成熟）</t>
    </r>
  </si>
  <si>
    <t xml:space="preserve">満年度＝この水準</t>
  </si>
  <si>
    <t xml:space="preserve">■ 席数（席）</t>
  </si>
  <si>
    <t xml:space="preserve">カウンター</t>
  </si>
  <si>
    <r>
      <rPr>
        <sz val="9"/>
        <color rgb="FF7F7F7F"/>
        <rFont val="WenQuanYi Zen Hei"/>
        <family val="2"/>
      </rPr>
      <t xml:space="preserve">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：</t>
    </r>
    <r>
      <rPr>
        <sz val="9"/>
        <color rgb="FF7F7F7F"/>
        <rFont val="Meiryo"/>
        <family val="0"/>
        <charset val="1"/>
      </rPr>
      <t xml:space="preserve">123</t>
    </r>
    <r>
      <rPr>
        <sz val="9"/>
        <color rgb="FF7F7F7F"/>
        <rFont val="WenQuanYi Zen Hei"/>
        <family val="2"/>
      </rPr>
      <t xml:space="preserve">席（カウンター</t>
    </r>
    <r>
      <rPr>
        <sz val="9"/>
        <color rgb="FF7F7F7F"/>
        <rFont val="Meiryo"/>
        <family val="0"/>
        <charset val="1"/>
      </rPr>
      <t xml:space="preserve">14</t>
    </r>
    <r>
      <rPr>
        <sz val="9"/>
        <color rgb="FF7F7F7F"/>
        <rFont val="WenQuanYi Zen Hei"/>
        <family val="2"/>
      </rPr>
      <t xml:space="preserve">・ダイニング</t>
    </r>
    <r>
      <rPr>
        <sz val="9"/>
        <color rgb="FF7F7F7F"/>
        <rFont val="Meiryo"/>
        <family val="0"/>
        <charset val="1"/>
      </rPr>
      <t xml:space="preserve">30</t>
    </r>
    <r>
      <rPr>
        <sz val="9"/>
        <color rgb="FF7F7F7F"/>
        <rFont val="WenQuanYi Zen Hei"/>
        <family val="2"/>
      </rPr>
      <t xml:space="preserve">・個室</t>
    </r>
    <r>
      <rPr>
        <sz val="9"/>
        <color rgb="FF7F7F7F"/>
        <rFont val="Meiryo"/>
        <family val="0"/>
        <charset val="1"/>
      </rPr>
      <t xml:space="preserve">27</t>
    </r>
    <r>
      <rPr>
        <sz val="9"/>
        <color rgb="FF7F7F7F"/>
        <rFont val="WenQuanYi Zen Hei"/>
        <family val="2"/>
      </rPr>
      <t xml:space="preserve">・テラス</t>
    </r>
    <r>
      <rPr>
        <sz val="9"/>
        <color rgb="FF7F7F7F"/>
        <rFont val="Meiryo"/>
        <family val="0"/>
        <charset val="1"/>
      </rPr>
      <t xml:space="preserve">52</t>
    </r>
    <r>
      <rPr>
        <sz val="9"/>
        <color rgb="FF7F7F7F"/>
        <rFont val="WenQuanYi Zen Hei"/>
        <family val="2"/>
      </rPr>
      <t xml:space="preserve">）／</t>
    </r>
    <r>
      <rPr>
        <sz val="9"/>
        <color rgb="FF7F7F7F"/>
        <rFont val="Meiryo"/>
        <family val="0"/>
        <charset val="1"/>
      </rPr>
      <t xml:space="preserve">183.59</t>
    </r>
    <r>
      <rPr>
        <sz val="9"/>
        <color rgb="FF7F7F7F"/>
        <rFont val="WenQuanYi Zen Hei"/>
        <family val="2"/>
      </rPr>
      <t xml:space="preserve">㎡＝</t>
    </r>
    <r>
      <rPr>
        <sz val="9"/>
        <color rgb="FF7F7F7F"/>
        <rFont val="Meiryo"/>
        <family val="0"/>
        <charset val="1"/>
      </rPr>
      <t xml:space="preserve">55.5</t>
    </r>
    <r>
      <rPr>
        <sz val="9"/>
        <color rgb="FF7F7F7F"/>
        <rFont val="WenQuanYi Zen Hei"/>
        <family val="2"/>
      </rPr>
      <t xml:space="preserve">坪</t>
    </r>
  </si>
  <si>
    <t xml:space="preserve">ダイニング</t>
  </si>
  <si>
    <t xml:space="preserve">個室</t>
  </si>
  <si>
    <t xml:space="preserve">店内　小計</t>
  </si>
  <si>
    <t xml:space="preserve">テラス</t>
  </si>
  <si>
    <r>
      <rPr>
        <b val="true"/>
        <sz val="10"/>
        <color rgb="FF000000"/>
        <rFont val="WenQuanYi Zen Hei"/>
        <family val="2"/>
      </rPr>
      <t xml:space="preserve">■ 時間帯 </t>
    </r>
    <r>
      <rPr>
        <b val="true"/>
        <sz val="10"/>
        <color rgb="FF000000"/>
        <rFont val="Meiryo"/>
        <family val="0"/>
        <charset val="1"/>
      </rPr>
      <t xml:space="preserve">× </t>
    </r>
    <r>
      <rPr>
        <b val="true"/>
        <sz val="10"/>
        <color rgb="FF000000"/>
        <rFont val="WenQuanYi Zen Hei"/>
        <family val="2"/>
      </rPr>
      <t xml:space="preserve">エリア 別の売上前提</t>
    </r>
  </si>
  <si>
    <t xml:space="preserve">時間帯</t>
  </si>
  <si>
    <t xml:space="preserve">エリア</t>
  </si>
  <si>
    <t xml:space="preserve">席数</t>
  </si>
  <si>
    <t xml:space="preserve">席効率</t>
  </si>
  <si>
    <r>
      <rPr>
        <b val="true"/>
        <sz val="9"/>
        <color rgb="FF000000"/>
        <rFont val="WenQuanYi Zen Hei"/>
        <family val="2"/>
      </rPr>
      <t xml:space="preserve">回転率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回</t>
    </r>
    <r>
      <rPr>
        <b val="true"/>
        <sz val="9"/>
        <color rgb="FF000000"/>
        <rFont val="Meiryo"/>
        <family val="0"/>
        <charset val="1"/>
      </rPr>
      <t xml:space="preserve">/</t>
    </r>
    <r>
      <rPr>
        <b val="true"/>
        <sz val="9"/>
        <color rgb="FF000000"/>
        <rFont val="WenQuanYi Zen Hei"/>
        <family val="2"/>
      </rPr>
      <t xml:space="preserve">日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</si>
  <si>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料理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</si>
  <si>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飲料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</si>
  <si>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客単価
計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</si>
  <si>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日
客数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人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</si>
  <si>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日商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Meiryo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</si>
  <si>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年間売上
</t>
    </r>
    <r>
      <rPr>
        <b val="true"/>
        <sz val="9"/>
        <color rgb="FF000000"/>
        <rFont val="Meiryo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百万円</t>
    </r>
    <r>
      <rPr>
        <b val="true"/>
        <sz val="9"/>
        <color rgb="FF000000"/>
        <rFont val="Meiryo"/>
        <family val="0"/>
        <charset val="1"/>
      </rPr>
      <t xml:space="preserve">)</t>
    </r>
  </si>
  <si>
    <t xml:space="preserve">ランチ</t>
  </si>
  <si>
    <t xml:space="preserve">店内</t>
  </si>
  <si>
    <r>
      <rPr>
        <sz val="9"/>
        <color rgb="FF7F7F7F"/>
        <rFont val="WenQuanYi Zen Hei"/>
        <family val="2"/>
      </rPr>
      <t xml:space="preserve">客単価は提出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準拠（ランチ</t>
    </r>
    <r>
      <rPr>
        <sz val="9"/>
        <color rgb="FF7F7F7F"/>
        <rFont val="Meiryo"/>
        <family val="0"/>
        <charset val="1"/>
      </rPr>
      <t xml:space="preserve">4,000</t>
    </r>
    <r>
      <rPr>
        <sz val="9"/>
        <color rgb="FF7F7F7F"/>
        <rFont val="WenQuanYi Zen Hei"/>
        <family val="2"/>
      </rPr>
      <t xml:space="preserve">円＝料理</t>
    </r>
    <r>
      <rPr>
        <sz val="9"/>
        <color rgb="FF7F7F7F"/>
        <rFont val="Meiryo"/>
        <family val="0"/>
        <charset val="1"/>
      </rPr>
      <t xml:space="preserve">3,000</t>
    </r>
    <r>
      <rPr>
        <sz val="9"/>
        <color rgb="FF7F7F7F"/>
        <rFont val="WenQuanYi Zen Hei"/>
        <family val="2"/>
      </rPr>
      <t xml:space="preserve">＋飲料</t>
    </r>
    <r>
      <rPr>
        <sz val="9"/>
        <color rgb="FF7F7F7F"/>
        <rFont val="Meiryo"/>
        <family val="0"/>
        <charset val="1"/>
      </rPr>
      <t xml:space="preserve">1,000</t>
    </r>
    <r>
      <rPr>
        <sz val="9"/>
        <color rgb="FF7F7F7F"/>
        <rFont val="WenQuanYi Zen Hei"/>
        <family val="2"/>
      </rPr>
      <t xml:space="preserve">／ディナー</t>
    </r>
    <r>
      <rPr>
        <sz val="9"/>
        <color rgb="FF7F7F7F"/>
        <rFont val="Meiryo"/>
        <family val="0"/>
        <charset val="1"/>
      </rPr>
      <t xml:space="preserve">15,000</t>
    </r>
    <r>
      <rPr>
        <sz val="9"/>
        <color rgb="FF7F7F7F"/>
        <rFont val="WenQuanYi Zen Hei"/>
        <family val="2"/>
      </rPr>
      <t xml:space="preserve">円＝料理</t>
    </r>
    <r>
      <rPr>
        <sz val="9"/>
        <color rgb="FF7F7F7F"/>
        <rFont val="Meiryo"/>
        <family val="0"/>
        <charset val="1"/>
      </rPr>
      <t xml:space="preserve">9,000</t>
    </r>
    <r>
      <rPr>
        <sz val="9"/>
        <color rgb="FF7F7F7F"/>
        <rFont val="WenQuanYi Zen Hei"/>
        <family val="2"/>
      </rPr>
      <t xml:space="preserve">＋飲料</t>
    </r>
    <r>
      <rPr>
        <sz val="9"/>
        <color rgb="FF7F7F7F"/>
        <rFont val="Meiryo"/>
        <family val="0"/>
        <charset val="1"/>
      </rPr>
      <t xml:space="preserve">6,000</t>
    </r>
    <r>
      <rPr>
        <sz val="9"/>
        <color rgb="FF7F7F7F"/>
        <rFont val="WenQuanYi Zen Hei"/>
        <family val="2"/>
      </rPr>
      <t xml:space="preserve">）</t>
    </r>
  </si>
  <si>
    <t xml:space="preserve">カフェ（アイドルタイム）</t>
  </si>
  <si>
    <r>
      <rPr>
        <sz val="9"/>
        <color rgb="FF7F7F7F"/>
        <rFont val="WenQuanYi Zen Hei"/>
        <family val="2"/>
      </rPr>
      <t xml:space="preserve">カフェ（アイドルタイム）はブーランジェリー併設を前提に</t>
    </r>
    <r>
      <rPr>
        <sz val="9"/>
        <color rgb="FF7F7F7F"/>
        <rFont val="Meiryo"/>
        <family val="0"/>
        <charset val="1"/>
      </rPr>
      <t xml:space="preserve">1,500</t>
    </r>
    <r>
      <rPr>
        <sz val="9"/>
        <color rgb="FF7F7F7F"/>
        <rFont val="WenQuanYi Zen Hei"/>
        <family val="2"/>
      </rPr>
      <t xml:space="preserve">円で設定</t>
    </r>
  </si>
  <si>
    <t xml:space="preserve">ディナー</t>
  </si>
  <si>
    <r>
      <rPr>
        <sz val="9"/>
        <color rgb="FF7F7F7F"/>
        <rFont val="WenQuanYi Zen Hei"/>
        <family val="2"/>
      </rPr>
      <t xml:space="preserve">テラスは天候・季節の影響を見て席効率</t>
    </r>
    <r>
      <rPr>
        <sz val="9"/>
        <color rgb="FF7F7F7F"/>
        <rFont val="Meiryo"/>
        <family val="0"/>
        <charset val="1"/>
      </rPr>
      <t xml:space="preserve">50%</t>
    </r>
    <r>
      <rPr>
        <sz val="9"/>
        <color rgb="FF7F7F7F"/>
        <rFont val="WenQuanYi Zen Hei"/>
        <family val="2"/>
      </rPr>
      <t xml:space="preserve">。店内は提出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の稼働率</t>
    </r>
    <r>
      <rPr>
        <sz val="9"/>
        <color rgb="FF7F7F7F"/>
        <rFont val="Meiryo"/>
        <family val="0"/>
        <charset val="1"/>
      </rPr>
      <t xml:space="preserve">80%</t>
    </r>
  </si>
  <si>
    <t xml:space="preserve">■ 料理・飲料別の年間売上（原価計算用）</t>
  </si>
  <si>
    <t xml:space="preserve">料理売上</t>
  </si>
  <si>
    <t xml:space="preserve">飲料売上</t>
  </si>
  <si>
    <t xml:space="preserve">料理 構成比</t>
  </si>
  <si>
    <t xml:space="preserve">飲料 構成比</t>
  </si>
  <si>
    <t xml:space="preserve">■ 参考指標</t>
  </si>
  <si>
    <t xml:space="preserve">日商（円）</t>
  </si>
  <si>
    <t xml:space="preserve">月商（百万円）</t>
  </si>
  <si>
    <t xml:space="preserve">年商（百万円・満年度）</t>
  </si>
  <si>
    <r>
      <rPr>
        <sz val="9"/>
        <color rgb="FF7F7F7F"/>
        <rFont val="WenQuanYi Zen Hei"/>
        <family val="2"/>
      </rPr>
      <t xml:space="preserve">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：</t>
    </r>
    <r>
      <rPr>
        <sz val="9"/>
        <color rgb="FF7F7F7F"/>
        <rFont val="Meiryo"/>
        <family val="0"/>
        <charset val="1"/>
      </rPr>
      <t xml:space="preserve">4.60</t>
    </r>
    <r>
      <rPr>
        <sz val="9"/>
        <color rgb="FF7F7F7F"/>
        <rFont val="WenQuanYi Zen Hei"/>
        <family val="2"/>
      </rPr>
      <t xml:space="preserve">億円</t>
    </r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</si>
  <si>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日あたり総客数（人）</t>
    </r>
  </si>
  <si>
    <t xml:space="preserve">平均客単価（円）</t>
  </si>
  <si>
    <r>
      <rPr>
        <sz val="10"/>
        <color rgb="FF000000"/>
        <rFont val="WenQuanYi Zen Hei"/>
        <family val="2"/>
      </rPr>
      <t xml:space="preserve">延べ席回転率（回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日）</t>
    </r>
  </si>
  <si>
    <r>
      <rPr>
        <sz val="9"/>
        <color rgb="FF7F7F7F"/>
        <rFont val="WenQuanYi Zen Hei"/>
        <family val="2"/>
      </rPr>
      <t xml:space="preserve">総客数 </t>
    </r>
    <r>
      <rPr>
        <sz val="9"/>
        <color rgb="FF7F7F7F"/>
        <rFont val="Meiryo"/>
        <family val="0"/>
        <charset val="1"/>
      </rPr>
      <t xml:space="preserve">÷ </t>
    </r>
    <r>
      <rPr>
        <sz val="9"/>
        <color rgb="FF7F7F7F"/>
        <rFont val="WenQuanYi Zen Hei"/>
        <family val="2"/>
      </rPr>
      <t xml:space="preserve">総席数</t>
    </r>
  </si>
  <si>
    <t xml:space="preserve">坪数（坪）</t>
  </si>
  <si>
    <r>
      <rPr>
        <sz val="9"/>
        <color rgb="FF7F7F7F"/>
        <rFont val="Meiryo"/>
        <family val="0"/>
        <charset val="1"/>
      </rPr>
      <t xml:space="preserve">183.59</t>
    </r>
    <r>
      <rPr>
        <sz val="9"/>
        <color rgb="FF7F7F7F"/>
        <rFont val="WenQuanYi Zen Hei"/>
        <family val="2"/>
      </rPr>
      <t xml:space="preserve">㎡</t>
    </r>
  </si>
  <si>
    <r>
      <rPr>
        <sz val="10"/>
        <color rgb="FF000000"/>
        <rFont val="WenQuanYi Zen Hei"/>
        <family val="2"/>
      </rPr>
      <t xml:space="preserve">坪売上（百万円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坪・年）</t>
    </r>
  </si>
  <si>
    <t xml:space="preserve">■ 立上りを織り込んだ年間売上（百万円）</t>
  </si>
  <si>
    <t xml:space="preserve">立上り率</t>
  </si>
  <si>
    <t xml:space="preserve">年間売上高</t>
  </si>
  <si>
    <t xml:space="preserve">経費前提（水色セル＝入力値）</t>
  </si>
  <si>
    <r>
      <rPr>
        <sz val="9"/>
        <color rgb="FF7F7F7F"/>
        <rFont val="WenQuanYi Zen Hei"/>
        <family val="2"/>
      </rPr>
      <t xml:space="preserve">経費率は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準拠。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年目以降は一括仕入・本部集中による改善を織り込む。</t>
    </r>
  </si>
  <si>
    <t xml:space="preserve">■ 売上原価の計算方法</t>
  </si>
  <si>
    <r>
      <rPr>
        <sz val="10"/>
        <color rgb="FF000000"/>
        <rFont val="WenQuanYi Zen Hei"/>
        <family val="2"/>
      </rPr>
      <t xml:space="preserve">計算方法（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＝売上比一括／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＝料理・飲料別）</t>
    </r>
  </si>
  <si>
    <r>
      <rPr>
        <sz val="9"/>
        <color rgb="FF7F7F7F"/>
        <rFont val="Meiryo"/>
        <family val="0"/>
        <charset val="1"/>
      </rPr>
      <t xml:space="preserve">1</t>
    </r>
    <r>
      <rPr>
        <sz val="9"/>
        <color rgb="FF7F7F7F"/>
        <rFont val="WenQuanYi Zen Hei"/>
        <family val="2"/>
      </rPr>
      <t xml:space="preserve">＝提出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どおり売上高に原価率を乗じる。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＝料理・飲料それぞれの原価率で計算（直輸入ワインの効果を分けて見たい場合）</t>
    </r>
  </si>
  <si>
    <t xml:space="preserve">■ 経費率（対売上高）</t>
  </si>
  <si>
    <t xml:space="preserve">費　目</t>
  </si>
  <si>
    <r>
      <rPr>
        <b val="true"/>
        <sz val="9"/>
        <color rgb="FF000000"/>
        <rFont val="WenQuanYi Zen Hei"/>
        <family val="2"/>
      </rPr>
      <t xml:space="preserve">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水準
（満年度・</t>
    </r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年目）</t>
    </r>
  </si>
  <si>
    <r>
      <rPr>
        <b val="true"/>
        <sz val="9"/>
        <color rgb="FF000000"/>
        <rFont val="Meiryo"/>
        <family val="0"/>
        <charset val="1"/>
      </rPr>
      <t xml:space="preserve">2</t>
    </r>
    <r>
      <rPr>
        <b val="true"/>
        <sz val="9"/>
        <color rgb="FF000000"/>
        <rFont val="WenQuanYi Zen Hei"/>
        <family val="2"/>
      </rPr>
      <t xml:space="preserve">年目</t>
    </r>
  </si>
  <si>
    <r>
      <rPr>
        <b val="true"/>
        <sz val="9"/>
        <color rgb="FF000000"/>
        <rFont val="Meiryo"/>
        <family val="0"/>
        <charset val="1"/>
      </rPr>
      <t xml:space="preserve">3</t>
    </r>
    <r>
      <rPr>
        <b val="true"/>
        <sz val="9"/>
        <color rgb="FF000000"/>
        <rFont val="WenQuanYi Zen Hei"/>
        <family val="2"/>
      </rPr>
      <t xml:space="preserve">年目以降</t>
    </r>
  </si>
  <si>
    <r>
      <rPr>
        <sz val="10"/>
        <color rgb="FF000000"/>
        <rFont val="WenQuanYi Zen Hei"/>
        <family val="2"/>
      </rPr>
      <t xml:space="preserve">売上原価（方法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：売上比一括）</t>
    </r>
  </si>
  <si>
    <t xml:space="preserve">直輸入ワイン活用・複数店一括仕入</t>
  </si>
  <si>
    <r>
      <rPr>
        <sz val="9"/>
        <color rgb="FF7F7F7F"/>
        <rFont val="WenQuanYi Zen Hei"/>
        <family val="2"/>
      </rPr>
      <t xml:space="preserve">　料理原価率（方法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</si>
  <si>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r>
      <rPr>
        <sz val="9"/>
        <color rgb="FF7F7F7F"/>
        <rFont val="WenQuanYi Zen Hei"/>
        <family val="2"/>
      </rPr>
      <t xml:space="preserve">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を選んだ場合のみ使用</t>
    </r>
  </si>
  <si>
    <r>
      <rPr>
        <sz val="9"/>
        <color rgb="FF7F7F7F"/>
        <rFont val="WenQuanYi Zen Hei"/>
        <family val="2"/>
      </rPr>
      <t xml:space="preserve">　飲料原価率（方法</t>
    </r>
    <r>
      <rPr>
        <sz val="9"/>
        <color rgb="FF7F7F7F"/>
        <rFont val="Meiryo"/>
        <family val="0"/>
        <charset val="1"/>
      </rPr>
      <t xml:space="preserve">2</t>
    </r>
    <r>
      <rPr>
        <sz val="9"/>
        <color rgb="FF7F7F7F"/>
        <rFont val="WenQuanYi Zen Hei"/>
        <family val="2"/>
      </rPr>
      <t xml:space="preserve">）</t>
    </r>
  </si>
  <si>
    <r>
      <rPr>
        <sz val="9"/>
        <color rgb="FF7F7F7F"/>
        <rFont val="Meiryo"/>
        <family val="0"/>
        <charset val="1"/>
      </rPr>
      <t xml:space="preserve">WineBank</t>
    </r>
    <r>
      <rPr>
        <sz val="9"/>
        <color rgb="FF7F7F7F"/>
        <rFont val="WenQuanYi Zen Hei"/>
        <family val="2"/>
      </rPr>
      <t xml:space="preserve">直輸入による低減余地が大きい</t>
    </r>
  </si>
  <si>
    <t xml:space="preserve">人件費</t>
  </si>
  <si>
    <r>
      <rPr>
        <sz val="9"/>
        <color rgb="FF7F7F7F"/>
        <rFont val="WenQuanYi Zen Hei"/>
        <family val="2"/>
      </rPr>
      <t xml:space="preserve">本部集中化・多能工化。人員</t>
    </r>
    <r>
      <rPr>
        <sz val="9"/>
        <color rgb="FF7F7F7F"/>
        <rFont val="Meiryo"/>
        <family val="0"/>
        <charset val="1"/>
      </rPr>
      <t xml:space="preserve">26</t>
    </r>
    <r>
      <rPr>
        <sz val="9"/>
        <color rgb="FF7F7F7F"/>
        <rFont val="WenQuanYi Zen Hei"/>
        <family val="2"/>
      </rPr>
      <t xml:space="preserve">名</t>
    </r>
  </si>
  <si>
    <t xml:space="preserve">業務委託費・消耗品他</t>
  </si>
  <si>
    <t xml:space="preserve">本部集中購買・規格統一</t>
  </si>
  <si>
    <t xml:space="preserve">広告宣伝費・販売促進費</t>
  </si>
  <si>
    <t xml:space="preserve">据置</t>
  </si>
  <si>
    <t xml:space="preserve">その他経費</t>
  </si>
  <si>
    <t xml:space="preserve">水道光熱費</t>
  </si>
  <si>
    <t xml:space="preserve">高効率厨房機器・営業時間最適化</t>
  </si>
  <si>
    <t xml:space="preserve">ロイヤリティ</t>
  </si>
  <si>
    <r>
      <rPr>
        <sz val="9"/>
        <color rgb="FF7F7F7F"/>
        <rFont val="WenQuanYi Zen Hei"/>
        <family val="2"/>
      </rPr>
      <t xml:space="preserve">契約条件（ブラッスリー</t>
    </r>
    <r>
      <rPr>
        <sz val="9"/>
        <color rgb="FF7F7F7F"/>
        <rFont val="Meiryo"/>
        <family val="0"/>
        <charset val="1"/>
      </rPr>
      <t xml:space="preserve">4.0%</t>
    </r>
    <r>
      <rPr>
        <sz val="9"/>
        <color rgb="FF7F7F7F"/>
        <rFont val="WenQuanYi Zen Hei"/>
        <family val="2"/>
      </rPr>
      <t xml:space="preserve">）</t>
    </r>
  </si>
  <si>
    <t xml:space="preserve">保険・租税公課</t>
  </si>
  <si>
    <r>
      <rPr>
        <sz val="10"/>
        <color rgb="FF000000"/>
        <rFont val="WenQuanYi Zen Hei"/>
        <family val="2"/>
      </rPr>
      <t xml:space="preserve">修繕維持費（</t>
    </r>
    <r>
      <rPr>
        <sz val="10"/>
        <color rgb="FF000000"/>
        <rFont val="Meiryo"/>
        <family val="0"/>
        <charset val="1"/>
      </rPr>
      <t xml:space="preserve">FFE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</si>
  <si>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WenQuanYi Zen Hei"/>
        <family val="2"/>
      </rPr>
      <t xml:space="preserve">変動費計（方法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ベース・対売上）</t>
    </r>
  </si>
  <si>
    <t xml:space="preserve">■ 固定費・家賃条件</t>
  </si>
  <si>
    <t xml:space="preserve">地代家賃（固定）月額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</si>
  <si>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222</t>
    </r>
    <r>
      <rPr>
        <sz val="9"/>
        <color rgb="FF7F7F7F"/>
        <rFont val="WenQuanYi Zen Hei"/>
        <family val="2"/>
      </rPr>
      <t xml:space="preserve">万円（提出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）</t>
    </r>
  </si>
  <si>
    <t xml:space="preserve">地代家賃（固定）年額</t>
  </si>
  <si>
    <r>
      <rPr>
        <sz val="9"/>
        <color rgb="FF7F7F7F"/>
        <rFont val="WenQuanYi Zen Hei"/>
        <family val="2"/>
      </rPr>
      <t xml:space="preserve">＝月額</t>
    </r>
    <r>
      <rPr>
        <sz val="9"/>
        <color rgb="FF7F7F7F"/>
        <rFont val="Meiryo"/>
        <family val="0"/>
        <charset val="1"/>
      </rPr>
      <t xml:space="preserve">×12</t>
    </r>
  </si>
  <si>
    <t xml:space="preserve">歩合家賃率</t>
  </si>
  <si>
    <r>
      <rPr>
        <sz val="9"/>
        <color rgb="FF7F7F7F"/>
        <rFont val="WenQuanYi Zen Hei"/>
        <family val="2"/>
      </rPr>
      <t xml:space="preserve">閾値超過分に対して</t>
    </r>
    <r>
      <rPr>
        <sz val="9"/>
        <color rgb="FF7F7F7F"/>
        <rFont val="Meiryo"/>
        <family val="0"/>
        <charset val="1"/>
      </rPr>
      <t xml:space="preserve">7%</t>
    </r>
  </si>
  <si>
    <t xml:space="preserve">歩合家賃 閾値（年商）</t>
  </si>
  <si>
    <r>
      <rPr>
        <sz val="9"/>
        <color rgb="FF7F7F7F"/>
        <rFont val="WenQuanYi Zen Hei"/>
        <family val="2"/>
      </rPr>
      <t xml:space="preserve">満年度の歩合家賃</t>
    </r>
    <r>
      <rPr>
        <sz val="9"/>
        <color rgb="FF7F7F7F"/>
        <rFont val="Meiryo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百万円（対売上</t>
    </r>
    <r>
      <rPr>
        <sz val="9"/>
        <color rgb="FF7F7F7F"/>
        <rFont val="Meiryo"/>
        <family val="0"/>
        <charset val="1"/>
      </rPr>
      <t xml:space="preserve">1.9%</t>
    </r>
    <r>
      <rPr>
        <sz val="9"/>
        <color rgb="FF7F7F7F"/>
        <rFont val="WenQuanYi Zen Hei"/>
        <family val="2"/>
      </rPr>
      <t xml:space="preserve">）から逆算</t>
    </r>
  </si>
  <si>
    <t xml:space="preserve">人員数（名・参考）</t>
  </si>
  <si>
    <r>
      <rPr>
        <sz val="9"/>
        <color rgb="FF7F7F7F"/>
        <rFont val="WenQuanYi Zen Hei"/>
        <family val="2"/>
      </rPr>
      <t xml:space="preserve">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。人件費は売上比で計算</t>
    </r>
  </si>
  <si>
    <t xml:space="preserve">■ 初期投資・減価償却（百万円）</t>
  </si>
  <si>
    <t xml:space="preserve">契約金</t>
  </si>
  <si>
    <r>
      <rPr>
        <sz val="9"/>
        <color rgb="FF7F7F7F"/>
        <rFont val="WenQuanYi Zen Hei"/>
        <family val="2"/>
      </rPr>
      <t xml:space="preserve">契約金</t>
    </r>
    <r>
      <rPr>
        <sz val="9"/>
        <color rgb="FF7F7F7F"/>
        <rFont val="Meiryo"/>
        <family val="0"/>
        <charset val="1"/>
      </rPr>
      <t xml:space="preserve">3,000</t>
    </r>
    <r>
      <rPr>
        <sz val="9"/>
        <color rgb="FF7F7F7F"/>
        <rFont val="WenQuanYi Zen Hei"/>
        <family val="2"/>
      </rPr>
      <t xml:space="preserve">万円</t>
    </r>
    <r>
      <rPr>
        <sz val="9"/>
        <color rgb="FF7F7F7F"/>
        <rFont val="Meiryo"/>
        <family val="0"/>
        <charset val="1"/>
      </rPr>
      <t xml:space="preserve">÷3</t>
    </r>
    <r>
      <rPr>
        <sz val="9"/>
        <color rgb="FF7F7F7F"/>
        <rFont val="WenQuanYi Zen Hei"/>
        <family val="2"/>
      </rPr>
      <t xml:space="preserve">店舗</t>
    </r>
  </si>
  <si>
    <r>
      <rPr>
        <sz val="10"/>
        <color rgb="FF000000"/>
        <rFont val="WenQuanYi Zen Hei"/>
        <family val="2"/>
      </rPr>
      <t xml:space="preserve">事業費（設計・内装施工・</t>
    </r>
    <r>
      <rPr>
        <sz val="10"/>
        <color rgb="FF000000"/>
        <rFont val="Meiryo"/>
        <family val="0"/>
        <charset val="1"/>
      </rPr>
      <t xml:space="preserve">OSE/FF&amp;E</t>
    </r>
    <r>
      <rPr>
        <sz val="10"/>
        <color rgb="FF000000"/>
        <rFont val="WenQuanYi Zen Hei"/>
        <family val="2"/>
      </rPr>
      <t xml:space="preserve">）</t>
    </r>
  </si>
  <si>
    <t xml:space="preserve">開業準備金（広告・採用等）</t>
  </si>
  <si>
    <t xml:space="preserve">保証金</t>
  </si>
  <si>
    <t xml:space="preserve">非償却・退去時返還対象</t>
  </si>
  <si>
    <t xml:space="preserve">初期投資　合計</t>
  </si>
  <si>
    <t xml:space="preserve">償却対象資産（＝合計－保証金）</t>
  </si>
  <si>
    <t xml:space="preserve">償却年数（年）</t>
  </si>
  <si>
    <t xml:space="preserve">年間減価償却費</t>
  </si>
  <si>
    <t xml:space="preserve">■ 分割払いスキーム（百万円）</t>
  </si>
  <si>
    <t xml:space="preserve">分割対象：内装工事費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</si>
  <si>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833</t>
    </r>
    <r>
      <rPr>
        <sz val="9"/>
        <color rgb="FF7F7F7F"/>
        <rFont val="WenQuanYi Zen Hei"/>
        <family val="2"/>
      </rPr>
      <t xml:space="preserve">千円 </t>
    </r>
    <r>
      <rPr>
        <sz val="9"/>
        <color rgb="FF7F7F7F"/>
        <rFont val="Meiryo"/>
        <family val="0"/>
        <charset val="1"/>
      </rPr>
      <t xml:space="preserve">× 120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10</t>
    </r>
    <r>
      <rPr>
        <sz val="9"/>
        <color rgb="FF7F7F7F"/>
        <rFont val="WenQuanYi Zen Hei"/>
        <family val="2"/>
      </rPr>
      <t xml:space="preserve">年）</t>
    </r>
  </si>
  <si>
    <t xml:space="preserve">分割対象：保証金</t>
  </si>
  <si>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463</t>
    </r>
    <r>
      <rPr>
        <sz val="9"/>
        <color rgb="FF7F7F7F"/>
        <rFont val="WenQuanYi Zen Hei"/>
        <family val="2"/>
      </rPr>
      <t xml:space="preserve">千円 </t>
    </r>
    <r>
      <rPr>
        <sz val="9"/>
        <color rgb="FF7F7F7F"/>
        <rFont val="Meiryo"/>
        <family val="0"/>
        <charset val="1"/>
      </rPr>
      <t xml:space="preserve">× 84</t>
    </r>
    <r>
      <rPr>
        <sz val="9"/>
        <color rgb="FF7F7F7F"/>
        <rFont val="WenQuanYi Zen Hei"/>
        <family val="2"/>
      </rPr>
      <t xml:space="preserve">回（</t>
    </r>
    <r>
      <rPr>
        <sz val="9"/>
        <color rgb="FF7F7F7F"/>
        <rFont val="Meiryo"/>
        <family val="0"/>
        <charset val="1"/>
      </rPr>
      <t xml:space="preserve">7</t>
    </r>
    <r>
      <rPr>
        <sz val="9"/>
        <color rgb="FF7F7F7F"/>
        <rFont val="WenQuanYi Zen Hei"/>
        <family val="2"/>
      </rPr>
      <t xml:space="preserve">年）</t>
    </r>
  </si>
  <si>
    <t xml:space="preserve">分割対象額　計</t>
  </si>
  <si>
    <t xml:space="preserve">開業時 現金支出</t>
  </si>
  <si>
    <t xml:space="preserve">＝初期投資合計 － 分割対象額</t>
  </si>
  <si>
    <t xml:space="preserve">年間分割弁済額</t>
  </si>
  <si>
    <r>
      <rPr>
        <sz val="9"/>
        <color rgb="FF7F7F7F"/>
        <rFont val="WenQuanYi Zen Hei"/>
        <family val="2"/>
      </rPr>
      <t xml:space="preserve">月額合計</t>
    </r>
    <r>
      <rPr>
        <sz val="9"/>
        <color rgb="FF7F7F7F"/>
        <rFont val="Meiryo"/>
        <family val="0"/>
        <charset val="1"/>
      </rPr>
      <t xml:space="preserve">1,296</t>
    </r>
    <r>
      <rPr>
        <sz val="9"/>
        <color rgb="FF7F7F7F"/>
        <rFont val="WenQuanYi Zen Hei"/>
        <family val="2"/>
      </rPr>
      <t xml:space="preserve">千円 </t>
    </r>
    <r>
      <rPr>
        <sz val="9"/>
        <color rgb="FF7F7F7F"/>
        <rFont val="Meiryo"/>
        <family val="0"/>
        <charset val="1"/>
      </rPr>
      <t xml:space="preserve">× 12</t>
    </r>
    <r>
      <rPr>
        <sz val="9"/>
        <color rgb="FF7F7F7F"/>
        <rFont val="WenQuanYi Zen Hei"/>
        <family val="2"/>
      </rPr>
      <t xml:space="preserve">か月</t>
    </r>
  </si>
  <si>
    <r>
      <rPr>
        <b val="true"/>
        <sz val="11"/>
        <color rgb="FFFFFFFF"/>
        <rFont val="WenQuanYi Zen Hei"/>
        <family val="2"/>
      </rPr>
      <t xml:space="preserve">六本木ミッドタウン店　単店</t>
    </r>
    <r>
      <rPr>
        <b val="true"/>
        <sz val="11"/>
        <color rgb="FFFFFFFF"/>
        <rFont val="Meiryo"/>
        <family val="0"/>
        <charset val="1"/>
      </rPr>
      <t xml:space="preserve">PL</t>
    </r>
    <r>
      <rPr>
        <b val="true"/>
        <sz val="11"/>
        <color rgb="FFFFFFFF"/>
        <rFont val="WenQuanYi Zen Hei"/>
        <family val="2"/>
      </rPr>
      <t xml:space="preserve">（百万円）</t>
    </r>
  </si>
  <si>
    <r>
      <rPr>
        <sz val="9"/>
        <color rgb="FF7F7F7F"/>
        <rFont val="WenQuanYi Zen Hei"/>
        <family val="2"/>
      </rPr>
      <t xml:space="preserve">科目は</t>
    </r>
    <r>
      <rPr>
        <sz val="9"/>
        <color rgb="FF7F7F7F"/>
        <rFont val="Meiryo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"/>
        <family val="0"/>
        <charset val="1"/>
      </rPr>
      <t xml:space="preserve">8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"/>
        <family val="0"/>
        <charset val="1"/>
      </rPr>
      <t xml:space="preserve">3</t>
    </r>
    <r>
      <rPr>
        <sz val="9"/>
        <color rgb="FF7F7F7F"/>
        <rFont val="WenQuanYi Zen Hei"/>
        <family val="2"/>
      </rPr>
      <t xml:space="preserve">日提出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のまま。売上は「売上前提」、経費率は「経費前提」に連動。金利・税金は含まない。</t>
    </r>
  </si>
  <si>
    <t xml:space="preserve">科　目</t>
  </si>
  <si>
    <r>
      <rPr>
        <b val="true"/>
        <sz val="9"/>
        <color rgb="FF000000"/>
        <rFont val="WenQuanYi Zen Hei"/>
        <family val="2"/>
      </rPr>
      <t xml:space="preserve">満年度
（提出</t>
    </r>
    <r>
      <rPr>
        <b val="true"/>
        <sz val="9"/>
        <color rgb="FF000000"/>
        <rFont val="Meiryo"/>
        <family val="0"/>
        <charset val="1"/>
      </rPr>
      <t xml:space="preserve">P&amp;L</t>
    </r>
    <r>
      <rPr>
        <b val="true"/>
        <sz val="9"/>
        <color rgb="FF000000"/>
        <rFont val="WenQuanYi Zen Hei"/>
        <family val="2"/>
      </rPr>
      <t xml:space="preserve">）</t>
    </r>
  </si>
  <si>
    <r>
      <rPr>
        <b val="true"/>
        <sz val="9"/>
        <color rgb="FF000000"/>
        <rFont val="Meiryo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年目</t>
    </r>
  </si>
  <si>
    <t xml:space="preserve">　うち 料理売上</t>
  </si>
  <si>
    <t xml:space="preserve">　うち 飲料売上</t>
  </si>
  <si>
    <t xml:space="preserve">売上原価</t>
  </si>
  <si>
    <r>
      <rPr>
        <b val="true"/>
        <sz val="10"/>
        <color rgb="FF000000"/>
        <rFont val="Meiryo"/>
        <family val="0"/>
        <charset val="1"/>
      </rPr>
      <t xml:space="preserve">GOP</t>
    </r>
    <r>
      <rPr>
        <b val="true"/>
        <sz val="10"/>
        <color rgb="FF000000"/>
        <rFont val="WenQuanYi Zen Hei"/>
        <family val="2"/>
      </rPr>
      <t xml:space="preserve">（店舗営業総利益）</t>
    </r>
  </si>
  <si>
    <t xml:space="preserve">地代家賃（固定）</t>
  </si>
  <si>
    <t xml:space="preserve">歩合家賃</t>
  </si>
  <si>
    <r>
      <rPr>
        <b val="true"/>
        <sz val="9"/>
        <color rgb="FFC00000"/>
        <rFont val="WenQuanYi Zen Hei"/>
        <family val="2"/>
      </rPr>
      <t xml:space="preserve">提出</t>
    </r>
    <r>
      <rPr>
        <b val="true"/>
        <sz val="9"/>
        <color rgb="FFC00000"/>
        <rFont val="Meiryo"/>
        <family val="0"/>
        <charset val="1"/>
      </rPr>
      <t xml:space="preserve">P&amp;L</t>
    </r>
    <r>
      <rPr>
        <b val="true"/>
        <sz val="9"/>
        <color rgb="FFC00000"/>
        <rFont val="WenQuanYi Zen Hei"/>
        <family val="2"/>
      </rPr>
      <t xml:space="preserve">：満年度</t>
    </r>
    <r>
      <rPr>
        <b val="true"/>
        <sz val="9"/>
        <color rgb="FFC00000"/>
        <rFont val="Meiryo"/>
        <family val="0"/>
        <charset val="1"/>
      </rPr>
      <t xml:space="preserve">EBITDA 59</t>
    </r>
    <r>
      <rPr>
        <b val="true"/>
        <sz val="9"/>
        <color rgb="FFC00000"/>
        <rFont val="WenQuanYi Zen Hei"/>
        <family val="2"/>
      </rPr>
      <t xml:space="preserve">百万円（</t>
    </r>
    <r>
      <rPr>
        <b val="true"/>
        <sz val="9"/>
        <color rgb="FFC00000"/>
        <rFont val="Meiryo"/>
        <family val="0"/>
        <charset val="1"/>
      </rPr>
      <t xml:space="preserve">12.8%</t>
    </r>
    <r>
      <rPr>
        <b val="true"/>
        <sz val="9"/>
        <color rgb="FFC00000"/>
        <rFont val="WenQuanYi Zen Hei"/>
        <family val="2"/>
      </rPr>
      <t xml:space="preserve">）</t>
    </r>
  </si>
  <si>
    <t xml:space="preserve">減価償却費</t>
  </si>
  <si>
    <r>
      <rPr>
        <b val="true"/>
        <sz val="9"/>
        <color rgb="FFC00000"/>
        <rFont val="WenQuanYi Zen Hei"/>
        <family val="2"/>
      </rPr>
      <t xml:space="preserve">提出</t>
    </r>
    <r>
      <rPr>
        <b val="true"/>
        <sz val="9"/>
        <color rgb="FFC00000"/>
        <rFont val="Meiryo"/>
        <family val="0"/>
        <charset val="1"/>
      </rPr>
      <t xml:space="preserve">P&amp;L</t>
    </r>
    <r>
      <rPr>
        <b val="true"/>
        <sz val="9"/>
        <color rgb="FFC00000"/>
        <rFont val="WenQuanYi Zen Hei"/>
        <family val="2"/>
      </rPr>
      <t xml:space="preserve">：満年度 営業利益 </t>
    </r>
    <r>
      <rPr>
        <b val="true"/>
        <sz val="9"/>
        <color rgb="FFC00000"/>
        <rFont val="Meiryo"/>
        <family val="0"/>
        <charset val="1"/>
      </rPr>
      <t xml:space="preserve">38</t>
    </r>
    <r>
      <rPr>
        <b val="true"/>
        <sz val="9"/>
        <color rgb="FFC00000"/>
        <rFont val="WenQuanYi Zen Hei"/>
        <family val="2"/>
      </rPr>
      <t xml:space="preserve">百万円（</t>
    </r>
    <r>
      <rPr>
        <b val="true"/>
        <sz val="9"/>
        <color rgb="FFC00000"/>
        <rFont val="Meiryo"/>
        <family val="0"/>
        <charset val="1"/>
      </rPr>
      <t xml:space="preserve">8.3%</t>
    </r>
    <r>
      <rPr>
        <b val="true"/>
        <sz val="9"/>
        <color rgb="FFC00000"/>
        <rFont val="WenQuanYi Zen Hei"/>
        <family val="2"/>
      </rPr>
      <t xml:space="preserve">）</t>
    </r>
  </si>
  <si>
    <t xml:space="preserve">■ 対売上比</t>
  </si>
  <si>
    <t xml:space="preserve">初期投資・キャッシュフロー（百万円）</t>
  </si>
  <si>
    <r>
      <rPr>
        <sz val="9"/>
        <color rgb="FF7F7F7F"/>
        <rFont val="WenQuanYi Zen Hei"/>
        <family val="2"/>
      </rPr>
      <t xml:space="preserve">分割払いスキーム活用により、開業時の現金支出を</t>
    </r>
    <r>
      <rPr>
        <sz val="9"/>
        <color rgb="FF7F7F7F"/>
        <rFont val="Meiryo"/>
        <family val="0"/>
        <charset val="1"/>
      </rPr>
      <t xml:space="preserve">247</t>
    </r>
    <r>
      <rPr>
        <sz val="9"/>
        <color rgb="FF7F7F7F"/>
        <rFont val="WenQuanYi Zen Hei"/>
        <family val="2"/>
      </rPr>
      <t xml:space="preserve">百万円 → </t>
    </r>
    <r>
      <rPr>
        <sz val="9"/>
        <color rgb="FF7F7F7F"/>
        <rFont val="Meiryo"/>
        <family val="0"/>
        <charset val="1"/>
      </rPr>
      <t xml:space="preserve">108</t>
    </r>
    <r>
      <rPr>
        <sz val="9"/>
        <color rgb="FF7F7F7F"/>
        <rFont val="WenQuanYi Zen Hei"/>
        <family val="2"/>
      </rPr>
      <t xml:space="preserve">百万円に圧縮。</t>
    </r>
  </si>
  <si>
    <t xml:space="preserve">■ 初期投資</t>
  </si>
  <si>
    <t xml:space="preserve">分割対象額</t>
  </si>
  <si>
    <t xml:space="preserve">■ 単店キャッシュフロー推移</t>
  </si>
  <si>
    <t xml:space="preserve">開業時</t>
  </si>
  <si>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</si>
  <si>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年目</t>
    </r>
  </si>
  <si>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年目</t>
    </r>
  </si>
  <si>
    <t xml:space="preserve">分割弁済</t>
  </si>
  <si>
    <r>
      <rPr>
        <b val="true"/>
        <sz val="10"/>
        <color rgb="FF000000"/>
        <rFont val="WenQuanYi Zen Hei"/>
        <family val="2"/>
      </rPr>
      <t xml:space="preserve">単店</t>
    </r>
    <r>
      <rPr>
        <b val="true"/>
        <sz val="10"/>
        <color rgb="FF000000"/>
        <rFont val="Meiryo"/>
        <family val="0"/>
        <charset val="1"/>
      </rPr>
      <t xml:space="preserve">FCF</t>
    </r>
  </si>
  <si>
    <r>
      <rPr>
        <b val="true"/>
        <sz val="10"/>
        <color rgb="FF000000"/>
        <rFont val="WenQuanYi Zen Hei"/>
        <family val="2"/>
      </rPr>
      <t xml:space="preserve">累計</t>
    </r>
    <r>
      <rPr>
        <b val="true"/>
        <sz val="10"/>
        <color rgb="FF000000"/>
        <rFont val="Meiryo"/>
        <family val="0"/>
        <charset val="1"/>
      </rPr>
      <t xml:space="preserve">FCF</t>
    </r>
  </si>
  <si>
    <t xml:space="preserve">※ 税金・運転資本の増減・借入返済・分割払いに係る金利相当は含まない簡易ベース。</t>
  </si>
  <si>
    <r>
      <rPr>
        <sz val="9"/>
        <color rgb="FF7F7F7F"/>
        <rFont val="WenQuanYi Zen Hei"/>
        <family val="2"/>
      </rPr>
      <t xml:space="preserve">※ 保証金</t>
    </r>
    <r>
      <rPr>
        <sz val="9"/>
        <color rgb="FF7F7F7F"/>
        <rFont val="Meiryo"/>
        <family val="0"/>
        <charset val="1"/>
      </rPr>
      <t xml:space="preserve">39</t>
    </r>
    <r>
      <rPr>
        <sz val="9"/>
        <color rgb="FF7F7F7F"/>
        <rFont val="WenQuanYi Zen Hei"/>
        <family val="2"/>
      </rPr>
      <t xml:space="preserve">百万円は退去時返還対象のため、実質的な投資回収はさらに短期になる。</t>
    </r>
  </si>
  <si>
    <r>
      <rPr>
        <b val="true"/>
        <sz val="11"/>
        <color rgb="FFFFFFFF"/>
        <rFont val="WenQuanYi Zen Hei"/>
        <family val="2"/>
      </rPr>
      <t xml:space="preserve">感応度分析　店内席効率 </t>
    </r>
    <r>
      <rPr>
        <b val="true"/>
        <sz val="11"/>
        <color rgb="FFFFFFFF"/>
        <rFont val="Meiryo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ディナー店内回転率</t>
    </r>
  </si>
  <si>
    <r>
      <rPr>
        <sz val="9"/>
        <color rgb="FF7F7F7F"/>
        <rFont val="WenQuanYi Zen Hei"/>
        <family val="2"/>
      </rPr>
      <t xml:space="preserve">満年度・提出</t>
    </r>
    <r>
      <rPr>
        <sz val="9"/>
        <color rgb="FF7F7F7F"/>
        <rFont val="Meiryo"/>
        <family val="0"/>
        <charset val="1"/>
      </rPr>
      <t xml:space="preserve">P&amp;L</t>
    </r>
    <r>
      <rPr>
        <sz val="9"/>
        <color rgb="FF7F7F7F"/>
        <rFont val="WenQuanYi Zen Hei"/>
        <family val="2"/>
      </rPr>
      <t xml:space="preserve">水準の経費率ベース。テラスとランチ・カフェの前提は「売上前提」のまま固定。</t>
    </r>
  </si>
  <si>
    <t xml:space="preserve">■ 年間売上高（百万円）</t>
  </si>
  <si>
    <t xml:space="preserve">店内席効率 ＼ ディナー回転率</t>
  </si>
  <si>
    <t xml:space="preserve">■ 営業利益（百万円）</t>
  </si>
  <si>
    <t xml:space="preserve">■ 営業利益率</t>
  </si>
  <si>
    <r>
      <rPr>
        <sz val="9"/>
        <color rgb="FF7F7F7F"/>
        <rFont val="WenQuanYi Zen Hei"/>
        <family val="2"/>
      </rPr>
      <t xml:space="preserve">黄色セル＝現在の前提（店内席効率</t>
    </r>
    <r>
      <rPr>
        <sz val="9"/>
        <color rgb="FF7F7F7F"/>
        <rFont val="Meiryo"/>
        <family val="0"/>
        <charset val="1"/>
      </rPr>
      <t xml:space="preserve">80%</t>
    </r>
    <r>
      <rPr>
        <sz val="9"/>
        <color rgb="FF7F7F7F"/>
        <rFont val="WenQuanYi Zen Hei"/>
        <family val="2"/>
      </rPr>
      <t xml:space="preserve">・ディナー店内回転率</t>
    </r>
    <r>
      <rPr>
        <sz val="9"/>
        <color rgb="FF7F7F7F"/>
        <rFont val="Meiryo"/>
        <family val="0"/>
        <charset val="1"/>
      </rPr>
      <t xml:space="preserve">0.80</t>
    </r>
    <r>
      <rPr>
        <sz val="9"/>
        <color rgb="FF7F7F7F"/>
        <rFont val="WenQuanYi Zen Hei"/>
        <family val="2"/>
      </rPr>
      <t xml:space="preserve">）。</t>
    </r>
  </si>
  <si>
    <t xml:space="preserve">※ 地代家賃（固定）と減価償却費は売上に連動しないため、売上が伸びるほど利益率が加速的に改善する。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</si>
</sst>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0;\(0.00\);\-"/>
    <numFmt numFmtId="168" formatCode="#,##0.0;\(#,##0.0\);\-"/>
    <numFmt numFmtId="169" formatCode="0.00%;\(0.00%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Meiryo"/>
      <family val="0"/>
      <charset val="1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Meiryo"/>
      <family val="0"/>
      <charset val="1"/>
    </font>
    <font>
      <b val="true"/>
      <sz val="10"/>
      <color rgb="FF000000"/>
      <name val="Meiryo"/>
      <family val="0"/>
      <charset val="1"/>
    </font>
    <font>
      <sz val="10"/>
      <color rgb="FF000000"/>
      <name val="Meiryo"/>
      <family val="0"/>
      <charset val="1"/>
    </font>
    <font>
      <b val="true"/>
      <sz val="10"/>
      <color rgb="FF008000"/>
      <name val="Meiryo"/>
      <family val="0"/>
      <charset val="1"/>
    </font>
    <font>
      <sz val="9"/>
      <color rgb="FF000000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Meiryo"/>
      <family val="0"/>
      <charset val="1"/>
    </font>
    <font>
      <sz val="10"/>
      <color rgb="FF0000FF"/>
      <name val="Meiryo"/>
      <family val="0"/>
      <charset val="1"/>
    </font>
    <font>
      <b val="true"/>
      <sz val="9"/>
      <color rgb="FF000000"/>
      <name val="WenQuanYi Zen Hei"/>
      <family val="2"/>
    </font>
    <font>
      <b val="true"/>
      <sz val="9"/>
      <color rgb="FF000000"/>
      <name val="Meiryo"/>
      <family val="0"/>
      <charset val="1"/>
    </font>
    <font>
      <b val="true"/>
      <sz val="9"/>
      <color rgb="FFC00000"/>
      <name val="WenQuanYi Zen Hei"/>
      <family val="2"/>
    </font>
    <font>
      <b val="true"/>
      <sz val="9"/>
      <color rgb="FFC00000"/>
      <name val="Meiry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AF1FB"/>
      </patternFill>
    </fill>
    <fill>
      <patternFill patternType="solid">
        <fgColor rgb="FFF2F2F2"/>
        <bgColor rgb="FFEAF1FB"/>
      </patternFill>
    </fill>
    <fill>
      <patternFill patternType="solid">
        <fgColor rgb="FFFFFF00"/>
        <bgColor rgb="FFFFFF00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EAF1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5"/>
    <col collapsed="false" customWidth="true" hidden="false" outlineLevel="0" max="6" min="6" style="0" width="3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4" t="s">
        <v>4</v>
      </c>
      <c r="B6" s="5" t="n">
        <f aca="false">売上前提!$B$16</f>
        <v>123</v>
      </c>
    </row>
    <row r="7" customFormat="false" ht="15" hidden="false" customHeight="false" outlineLevel="0" collapsed="false">
      <c r="A7" s="6" t="s">
        <v>5</v>
      </c>
      <c r="B7" s="5" t="n">
        <f aca="false">売上前提!$B$14</f>
        <v>71</v>
      </c>
    </row>
    <row r="8" customFormat="false" ht="15" hidden="false" customHeight="false" outlineLevel="0" collapsed="false">
      <c r="A8" s="6" t="s">
        <v>6</v>
      </c>
      <c r="B8" s="5" t="n">
        <f aca="false">売上前提!$B$15</f>
        <v>52</v>
      </c>
    </row>
    <row r="9" customFormat="false" ht="15" hidden="false" customHeight="false" outlineLevel="0" collapsed="false">
      <c r="A9" s="4" t="s">
        <v>7</v>
      </c>
      <c r="B9" s="7" t="n">
        <f aca="false">売上前提!$D$20</f>
        <v>0.8</v>
      </c>
    </row>
    <row r="10" customFormat="false" ht="15" hidden="false" customHeight="false" outlineLevel="0" collapsed="false">
      <c r="A10" s="4" t="s">
        <v>8</v>
      </c>
      <c r="B10" s="8" t="n">
        <f aca="false">売上前提!$E$24</f>
        <v>0.8</v>
      </c>
    </row>
    <row r="11" customFormat="false" ht="15" hidden="false" customHeight="false" outlineLevel="0" collapsed="false">
      <c r="A11" s="4" t="s">
        <v>9</v>
      </c>
      <c r="B11" s="5" t="n">
        <f aca="false">売上前提!$H$20</f>
        <v>4000</v>
      </c>
    </row>
    <row r="12" customFormat="false" ht="15" hidden="false" customHeight="false" outlineLevel="0" collapsed="false">
      <c r="A12" s="4" t="s">
        <v>10</v>
      </c>
      <c r="B12" s="5" t="n">
        <f aca="false">売上前提!$H$22</f>
        <v>1500</v>
      </c>
    </row>
    <row r="13" customFormat="false" ht="15" hidden="false" customHeight="false" outlineLevel="0" collapsed="false">
      <c r="A13" s="4" t="s">
        <v>11</v>
      </c>
      <c r="B13" s="5" t="n">
        <f aca="false">売上前提!$H$24</f>
        <v>15000</v>
      </c>
    </row>
    <row r="14" customFormat="false" ht="15" hidden="false" customHeight="false" outlineLevel="0" collapsed="false">
      <c r="A14" s="4" t="s">
        <v>12</v>
      </c>
      <c r="B14" s="9" t="n">
        <f aca="false">売上前提!$B$5</f>
        <v>363</v>
      </c>
    </row>
    <row r="16" customFormat="false" ht="15" hidden="false" customHeight="false" outlineLevel="0" collapsed="false">
      <c r="A16" s="3" t="s">
        <v>13</v>
      </c>
      <c r="B16" s="3"/>
      <c r="C16" s="3"/>
      <c r="D16" s="3"/>
      <c r="E16" s="3"/>
    </row>
    <row r="17" customFormat="false" ht="15" hidden="false" customHeight="false" outlineLevel="0" collapsed="false">
      <c r="A17" s="10" t="s">
        <v>14</v>
      </c>
      <c r="B17" s="11" t="s">
        <v>15</v>
      </c>
      <c r="C17" s="12" t="s">
        <v>16</v>
      </c>
      <c r="D17" s="12" t="s">
        <v>17</v>
      </c>
      <c r="E17" s="12" t="s">
        <v>18</v>
      </c>
    </row>
    <row r="18" customFormat="false" ht="15" hidden="false" customHeight="false" outlineLevel="0" collapsed="false">
      <c r="A18" s="4" t="s">
        <v>19</v>
      </c>
      <c r="B18" s="9" t="n">
        <f aca="false">単店PL!B6</f>
        <v>460.60344</v>
      </c>
      <c r="C18" s="9" t="n">
        <f aca="false">単店PL!C6</f>
        <v>414.543096</v>
      </c>
      <c r="D18" s="9" t="n">
        <f aca="false">単店PL!D6</f>
        <v>451.3913712</v>
      </c>
      <c r="E18" s="9" t="n">
        <f aca="false">単店PL!E6</f>
        <v>460.60344</v>
      </c>
    </row>
    <row r="19" customFormat="false" ht="15" hidden="false" customHeight="false" outlineLevel="0" collapsed="false">
      <c r="A19" s="4" t="s">
        <v>20</v>
      </c>
      <c r="B19" s="9" t="n">
        <f aca="false">単店PL!B12</f>
        <v>154.76275584</v>
      </c>
      <c r="C19" s="9" t="n">
        <f aca="false">単店PL!C12</f>
        <v>139.286480256</v>
      </c>
      <c r="D19" s="9" t="n">
        <f aca="false">単店PL!D12</f>
        <v>159.3411540336</v>
      </c>
      <c r="E19" s="9" t="n">
        <f aca="false">単店PL!E12</f>
        <v>170.4232728</v>
      </c>
    </row>
    <row r="20" customFormat="false" ht="15" hidden="false" customHeight="false" outlineLevel="0" collapsed="false">
      <c r="A20" s="13" t="s">
        <v>21</v>
      </c>
      <c r="B20" s="9" t="n">
        <f aca="false">単店PL!B16</f>
        <v>127.58715288</v>
      </c>
      <c r="C20" s="9" t="n">
        <f aca="false">単店PL!C16</f>
        <v>114.828437592</v>
      </c>
      <c r="D20" s="9" t="n">
        <f aca="false">単店PL!D16</f>
        <v>133.6118458752</v>
      </c>
      <c r="E20" s="9" t="n">
        <f aca="false">単店PL!E16</f>
        <v>145.0900836</v>
      </c>
    </row>
    <row r="21" customFormat="false" ht="15" hidden="false" customHeight="false" outlineLevel="0" collapsed="false">
      <c r="A21" s="14" t="s">
        <v>22</v>
      </c>
      <c r="B21" s="15" t="n">
        <f aca="false">単店PL!B22</f>
        <v>58.7394644</v>
      </c>
      <c r="C21" s="15" t="n">
        <f aca="false">単店PL!C22</f>
        <v>52.52131796</v>
      </c>
      <c r="D21" s="15" t="n">
        <f aca="false">単店PL!D22</f>
        <v>66.0722711648</v>
      </c>
      <c r="E21" s="15" t="n">
        <f aca="false">単店PL!E22</f>
        <v>76.24239512</v>
      </c>
    </row>
    <row r="22" customFormat="false" ht="15" hidden="false" customHeight="false" outlineLevel="0" collapsed="false">
      <c r="A22" s="16" t="s">
        <v>23</v>
      </c>
      <c r="B22" s="15" t="n">
        <f aca="false">単店PL!B24</f>
        <v>37.9394644</v>
      </c>
      <c r="C22" s="15" t="n">
        <f aca="false">単店PL!C24</f>
        <v>31.72131796</v>
      </c>
      <c r="D22" s="15" t="n">
        <f aca="false">単店PL!D24</f>
        <v>45.2722711648</v>
      </c>
      <c r="E22" s="15" t="n">
        <f aca="false">単店PL!E24</f>
        <v>55.44239512</v>
      </c>
    </row>
    <row r="23" customFormat="false" ht="15" hidden="false" customHeight="false" outlineLevel="0" collapsed="false">
      <c r="A23" s="16" t="s">
        <v>24</v>
      </c>
      <c r="B23" s="17" t="n">
        <f aca="false">IF(単店PL!B6=0,0,単店PL!B22/単店PL!B6)</f>
        <v>0.127527194325774</v>
      </c>
      <c r="C23" s="17" t="n">
        <f aca="false">IF(単店PL!C6=0,0,単店PL!C22/単店PL!C6)</f>
        <v>0.126696882584193</v>
      </c>
      <c r="D23" s="17" t="n">
        <f aca="false">IF(単店PL!D6=0,0,単店PL!D22/単店PL!D6)</f>
        <v>0.146374688087525</v>
      </c>
      <c r="E23" s="17" t="n">
        <f aca="false">IF(単店PL!E6=0,0,単店PL!E22/単店PL!E6)</f>
        <v>0.165527194325774</v>
      </c>
    </row>
    <row r="24" customFormat="false" ht="15" hidden="false" customHeight="false" outlineLevel="0" collapsed="false">
      <c r="A24" s="16" t="s">
        <v>25</v>
      </c>
      <c r="B24" s="17" t="n">
        <f aca="false">IF(単店PL!B6=0,0,単店PL!B24/単店PL!B6)</f>
        <v>0.0823690426628164</v>
      </c>
      <c r="C24" s="17" t="n">
        <f aca="false">IF(単店PL!C6=0,0,単店PL!C24/単店PL!C6)</f>
        <v>0.0765211585142404</v>
      </c>
      <c r="D24" s="17" t="n">
        <f aca="false">IF(単店PL!D6=0,0,単店PL!D24/単店PL!D6)</f>
        <v>0.10029494149267</v>
      </c>
      <c r="E24" s="17" t="n">
        <f aca="false">IF(単店PL!E6=0,0,単店PL!E24/単店PL!E6)</f>
        <v>0.120369042662816</v>
      </c>
    </row>
    <row r="26" customFormat="false" ht="15" hidden="false" customHeight="false" outlineLevel="0" collapsed="false">
      <c r="A26" s="3" t="s">
        <v>26</v>
      </c>
      <c r="B26" s="3"/>
      <c r="C26" s="3"/>
      <c r="D26" s="3"/>
      <c r="E26" s="3"/>
    </row>
    <row r="27" customFormat="false" ht="15" hidden="false" customHeight="false" outlineLevel="0" collapsed="false">
      <c r="A27" s="10" t="s">
        <v>27</v>
      </c>
      <c r="B27" s="11" t="s">
        <v>28</v>
      </c>
      <c r="C27" s="11" t="s">
        <v>29</v>
      </c>
      <c r="D27" s="12" t="s">
        <v>30</v>
      </c>
    </row>
    <row r="28" customFormat="false" ht="15" hidden="false" customHeight="false" outlineLevel="0" collapsed="false">
      <c r="A28" s="18" t="str">
        <f aca="false">売上前提!A20&amp;"　"&amp;売上前提!B20</f>
        <v>ランチ　店内</v>
      </c>
      <c r="B28" s="9" t="n">
        <f aca="false">売上前提!K20</f>
        <v>94.84464</v>
      </c>
      <c r="C28" s="19" t="n">
        <f aca="false">売上前提!L20</f>
        <v>0.205913876804741</v>
      </c>
      <c r="D28" s="20" t="n">
        <f aca="false">売上前提!I20</f>
        <v>65.32</v>
      </c>
    </row>
    <row r="29" customFormat="false" ht="15" hidden="false" customHeight="false" outlineLevel="0" collapsed="false">
      <c r="A29" s="18" t="str">
        <f aca="false">売上前提!A21&amp;"　"&amp;売上前提!B21</f>
        <v>ランチ　テラス</v>
      </c>
      <c r="B29" s="9" t="n">
        <f aca="false">売上前提!K21</f>
        <v>37.752</v>
      </c>
      <c r="C29" s="19" t="n">
        <f aca="false">売上前提!L21</f>
        <v>0.0819620452682681</v>
      </c>
      <c r="D29" s="20" t="n">
        <f aca="false">売上前提!I21</f>
        <v>26</v>
      </c>
    </row>
    <row r="30" customFormat="false" ht="15" hidden="false" customHeight="false" outlineLevel="0" collapsed="false">
      <c r="A30" s="18" t="str">
        <f aca="false">売上前提!A22&amp;"　"&amp;売上前提!B22</f>
        <v>カフェ（アイドルタイム）　店内</v>
      </c>
      <c r="B30" s="9" t="n">
        <f aca="false">売上前提!K22</f>
        <v>15.4638</v>
      </c>
      <c r="C30" s="19" t="n">
        <f aca="false">売上前提!L22</f>
        <v>0.0335729146964252</v>
      </c>
      <c r="D30" s="20" t="n">
        <f aca="false">売上前提!I22</f>
        <v>28.4</v>
      </c>
    </row>
    <row r="31" customFormat="false" ht="15" hidden="false" customHeight="false" outlineLevel="0" collapsed="false">
      <c r="A31" s="18" t="str">
        <f aca="false">売上前提!A23&amp;"　"&amp;売上前提!B23</f>
        <v>カフェ（アイドルタイム）　テラス</v>
      </c>
      <c r="B31" s="9" t="n">
        <f aca="false">売上前提!K23</f>
        <v>8.4942</v>
      </c>
      <c r="C31" s="19" t="n">
        <f aca="false">売上前提!L23</f>
        <v>0.0184414601853603</v>
      </c>
      <c r="D31" s="20" t="n">
        <f aca="false">売上前提!I23</f>
        <v>15.6</v>
      </c>
    </row>
    <row r="32" customFormat="false" ht="15" hidden="false" customHeight="false" outlineLevel="0" collapsed="false">
      <c r="A32" s="18" t="str">
        <f aca="false">売上前提!A24&amp;"　"&amp;売上前提!B24</f>
        <v>ディナー　店内</v>
      </c>
      <c r="B32" s="9" t="n">
        <f aca="false">売上前提!K24</f>
        <v>247.4208</v>
      </c>
      <c r="C32" s="19" t="n">
        <f aca="false">売上前提!L24</f>
        <v>0.537166635142803</v>
      </c>
      <c r="D32" s="20" t="n">
        <f aca="false">売上前提!I24</f>
        <v>45.44</v>
      </c>
    </row>
    <row r="33" customFormat="false" ht="15" hidden="false" customHeight="false" outlineLevel="0" collapsed="false">
      <c r="A33" s="18" t="str">
        <f aca="false">売上前提!A25&amp;"　"&amp;売上前提!B25</f>
        <v>ディナー　テラス</v>
      </c>
      <c r="B33" s="9" t="n">
        <f aca="false">売上前提!K25</f>
        <v>56.628</v>
      </c>
      <c r="C33" s="19" t="n">
        <f aca="false">売上前提!L25</f>
        <v>0.122943067902402</v>
      </c>
      <c r="D33" s="20" t="n">
        <f aca="false">売上前提!I25</f>
        <v>10.4</v>
      </c>
    </row>
    <row r="34" customFormat="false" ht="15" hidden="false" customHeight="false" outlineLevel="0" collapsed="false">
      <c r="A34" s="16" t="s">
        <v>31</v>
      </c>
      <c r="B34" s="15" t="n">
        <f aca="false">売上前提!K26</f>
        <v>460.60344</v>
      </c>
      <c r="C34" s="21" t="n">
        <f aca="false">売上前提!L26</f>
        <v>1</v>
      </c>
      <c r="D34" s="22" t="n">
        <f aca="false">売上前提!I26</f>
        <v>191.16</v>
      </c>
    </row>
    <row r="36" customFormat="false" ht="15" hidden="false" customHeight="false" outlineLevel="0" collapsed="false">
      <c r="A36" s="3" t="s">
        <v>32</v>
      </c>
      <c r="B36" s="3"/>
      <c r="C36" s="3"/>
      <c r="D36" s="3"/>
      <c r="E36" s="3"/>
    </row>
    <row r="37" customFormat="false" ht="15" hidden="false" customHeight="false" outlineLevel="0" collapsed="false">
      <c r="A37" s="4" t="s">
        <v>33</v>
      </c>
      <c r="B37" s="9" t="n">
        <f aca="false">経費前提!$B$34</f>
        <v>247</v>
      </c>
    </row>
    <row r="38" customFormat="false" ht="15" hidden="false" customHeight="false" outlineLevel="0" collapsed="false">
      <c r="A38" s="4" t="s">
        <v>34</v>
      </c>
      <c r="B38" s="9" t="n">
        <f aca="false">経費前提!$B$43</f>
        <v>108.1</v>
      </c>
    </row>
    <row r="39" customFormat="false" ht="15" hidden="false" customHeight="false" outlineLevel="0" collapsed="false">
      <c r="A39" s="4" t="s">
        <v>35</v>
      </c>
      <c r="B39" s="9" t="n">
        <f aca="false">投資・CF!E19</f>
        <v>60.64239512</v>
      </c>
    </row>
    <row r="40" customFormat="false" ht="15" hidden="false" customHeight="false" outlineLevel="0" collapsed="false">
      <c r="A40" s="4" t="s">
        <v>36</v>
      </c>
      <c r="B40" s="9" t="n">
        <f aca="false">投資・CF!E20</f>
        <v>39.9359842448</v>
      </c>
    </row>
    <row r="42" customFormat="false" ht="15" hidden="false" customHeight="false" outlineLevel="0" collapsed="false">
      <c r="A42" s="2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12" min="3" style="0" width="12"/>
    <col collapsed="false" customWidth="true" hidden="false" outlineLevel="0" max="13" min="13" style="0" width="3"/>
    <col collapsed="false" customWidth="true" hidden="false" outlineLevel="0" max="14" min="14" style="0" width="48"/>
  </cols>
  <sheetData>
    <row r="1" customFormat="false" ht="15" hidden="false" customHeight="false" outlineLevel="0" collapsed="false">
      <c r="A1" s="24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25" t="s">
        <v>12</v>
      </c>
      <c r="B5" s="26" t="n">
        <v>363</v>
      </c>
      <c r="N5" s="2" t="s">
        <v>41</v>
      </c>
    </row>
    <row r="6" customFormat="false" ht="15" hidden="false" customHeight="false" outlineLevel="0" collapsed="false">
      <c r="A6" s="25" t="s">
        <v>42</v>
      </c>
      <c r="B6" s="27" t="n">
        <v>0.9</v>
      </c>
      <c r="N6" s="2" t="s">
        <v>43</v>
      </c>
    </row>
    <row r="7" customFormat="false" ht="15" hidden="false" customHeight="false" outlineLevel="0" collapsed="false">
      <c r="A7" s="25" t="s">
        <v>44</v>
      </c>
      <c r="B7" s="27" t="n">
        <v>0.98</v>
      </c>
      <c r="N7" s="2"/>
    </row>
    <row r="8" customFormat="false" ht="15" hidden="false" customHeight="false" outlineLevel="0" collapsed="false">
      <c r="A8" s="25" t="s">
        <v>45</v>
      </c>
      <c r="B8" s="27" t="n">
        <v>1</v>
      </c>
      <c r="N8" s="2" t="s">
        <v>46</v>
      </c>
    </row>
    <row r="10" customFormat="false" ht="15" hidden="false" customHeight="false" outlineLevel="0" collapsed="false">
      <c r="A10" s="3" t="s">
        <v>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false" outlineLevel="0" collapsed="false">
      <c r="A11" s="25" t="s">
        <v>48</v>
      </c>
      <c r="B11" s="28" t="n">
        <v>14</v>
      </c>
      <c r="N11" s="2" t="s">
        <v>49</v>
      </c>
    </row>
    <row r="12" customFormat="false" ht="15" hidden="false" customHeight="false" outlineLevel="0" collapsed="false">
      <c r="A12" s="25" t="s">
        <v>50</v>
      </c>
      <c r="B12" s="28" t="n">
        <v>30</v>
      </c>
    </row>
    <row r="13" customFormat="false" ht="15" hidden="false" customHeight="false" outlineLevel="0" collapsed="false">
      <c r="A13" s="25" t="s">
        <v>51</v>
      </c>
      <c r="B13" s="28" t="n">
        <v>27</v>
      </c>
    </row>
    <row r="14" customFormat="false" ht="15" hidden="false" customHeight="false" outlineLevel="0" collapsed="false">
      <c r="A14" s="29" t="s">
        <v>52</v>
      </c>
      <c r="B14" s="30" t="n">
        <f aca="false">SUM(B11:B13)</f>
        <v>71</v>
      </c>
    </row>
    <row r="15" customFormat="false" ht="15" hidden="false" customHeight="false" outlineLevel="0" collapsed="false">
      <c r="A15" s="25" t="s">
        <v>53</v>
      </c>
      <c r="B15" s="28" t="n">
        <v>52</v>
      </c>
    </row>
    <row r="16" customFormat="false" ht="15" hidden="false" customHeight="false" outlineLevel="0" collapsed="false">
      <c r="A16" s="29" t="s">
        <v>31</v>
      </c>
      <c r="B16" s="31" t="n">
        <f aca="false">B14+B15</f>
        <v>123</v>
      </c>
    </row>
    <row r="18" customFormat="false" ht="15" hidden="false" customHeight="false" outlineLevel="0" collapsed="false">
      <c r="A18" s="3" t="s">
        <v>54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33.75" hidden="false" customHeight="true" outlineLevel="0" collapsed="false">
      <c r="A19" s="32" t="s">
        <v>55</v>
      </c>
      <c r="B19" s="32" t="s">
        <v>56</v>
      </c>
      <c r="C19" s="32" t="s">
        <v>57</v>
      </c>
      <c r="D19" s="32" t="s">
        <v>58</v>
      </c>
      <c r="E19" s="32" t="s">
        <v>59</v>
      </c>
      <c r="F19" s="32" t="s">
        <v>60</v>
      </c>
      <c r="G19" s="32" t="s">
        <v>61</v>
      </c>
      <c r="H19" s="32" t="s">
        <v>62</v>
      </c>
      <c r="I19" s="33" t="s">
        <v>63</v>
      </c>
      <c r="J19" s="32" t="s">
        <v>64</v>
      </c>
      <c r="K19" s="32" t="s">
        <v>65</v>
      </c>
      <c r="L19" s="32" t="s">
        <v>29</v>
      </c>
    </row>
    <row r="20" customFormat="false" ht="15" hidden="false" customHeight="false" outlineLevel="0" collapsed="false">
      <c r="A20" s="18" t="s">
        <v>66</v>
      </c>
      <c r="B20" s="34" t="s">
        <v>67</v>
      </c>
      <c r="C20" s="5" t="n">
        <f aca="false">$B$14</f>
        <v>71</v>
      </c>
      <c r="D20" s="27" t="n">
        <v>0.8</v>
      </c>
      <c r="E20" s="35" t="n">
        <v>1.15</v>
      </c>
      <c r="F20" s="28" t="n">
        <v>3000</v>
      </c>
      <c r="G20" s="28" t="n">
        <v>1000</v>
      </c>
      <c r="H20" s="36" t="n">
        <f aca="false">F20+G20</f>
        <v>4000</v>
      </c>
      <c r="I20" s="20" t="n">
        <f aca="false">C20*D20*E20</f>
        <v>65.32</v>
      </c>
      <c r="J20" s="37" t="n">
        <f aca="false">I20*H20</f>
        <v>261280</v>
      </c>
      <c r="K20" s="38" t="n">
        <f aca="false">J20*$B$5/1000000</f>
        <v>94.84464</v>
      </c>
      <c r="L20" s="19" t="n">
        <f aca="false">IF($K$26=0,0,K20/$K$26)</f>
        <v>0.205913876804741</v>
      </c>
      <c r="N20" s="2" t="s">
        <v>68</v>
      </c>
    </row>
    <row r="21" customFormat="false" ht="15" hidden="false" customHeight="false" outlineLevel="0" collapsed="false">
      <c r="A21" s="18" t="s">
        <v>66</v>
      </c>
      <c r="B21" s="34" t="s">
        <v>53</v>
      </c>
      <c r="C21" s="5" t="n">
        <f aca="false">$B$15</f>
        <v>52</v>
      </c>
      <c r="D21" s="27" t="n">
        <v>0.5</v>
      </c>
      <c r="E21" s="35" t="n">
        <v>1</v>
      </c>
      <c r="F21" s="28" t="n">
        <v>3000</v>
      </c>
      <c r="G21" s="28" t="n">
        <v>1000</v>
      </c>
      <c r="H21" s="36" t="n">
        <f aca="false">F21+G21</f>
        <v>4000</v>
      </c>
      <c r="I21" s="20" t="n">
        <f aca="false">C21*D21*E21</f>
        <v>26</v>
      </c>
      <c r="J21" s="37" t="n">
        <f aca="false">I21*H21</f>
        <v>104000</v>
      </c>
      <c r="K21" s="38" t="n">
        <f aca="false">J21*$B$5/1000000</f>
        <v>37.752</v>
      </c>
      <c r="L21" s="19" t="n">
        <f aca="false">IF($K$26=0,0,K21/$K$26)</f>
        <v>0.0819620452682681</v>
      </c>
    </row>
    <row r="22" customFormat="false" ht="15" hidden="false" customHeight="false" outlineLevel="0" collapsed="false">
      <c r="A22" s="18" t="s">
        <v>69</v>
      </c>
      <c r="B22" s="34" t="s">
        <v>67</v>
      </c>
      <c r="C22" s="5" t="n">
        <f aca="false">$B$14</f>
        <v>71</v>
      </c>
      <c r="D22" s="27" t="n">
        <v>0.8</v>
      </c>
      <c r="E22" s="35" t="n">
        <v>0.5</v>
      </c>
      <c r="F22" s="28" t="n">
        <v>1000</v>
      </c>
      <c r="G22" s="28" t="n">
        <v>500</v>
      </c>
      <c r="H22" s="36" t="n">
        <f aca="false">F22+G22</f>
        <v>1500</v>
      </c>
      <c r="I22" s="20" t="n">
        <f aca="false">C22*D22*E22</f>
        <v>28.4</v>
      </c>
      <c r="J22" s="37" t="n">
        <f aca="false">I22*H22</f>
        <v>42600</v>
      </c>
      <c r="K22" s="38" t="n">
        <f aca="false">J22*$B$5/1000000</f>
        <v>15.4638</v>
      </c>
      <c r="L22" s="19" t="n">
        <f aca="false">IF($K$26=0,0,K22/$K$26)</f>
        <v>0.0335729146964252</v>
      </c>
      <c r="N22" s="2" t="s">
        <v>70</v>
      </c>
    </row>
    <row r="23" customFormat="false" ht="15" hidden="false" customHeight="false" outlineLevel="0" collapsed="false">
      <c r="A23" s="18" t="s">
        <v>69</v>
      </c>
      <c r="B23" s="34" t="s">
        <v>53</v>
      </c>
      <c r="C23" s="5" t="n">
        <f aca="false">$B$15</f>
        <v>52</v>
      </c>
      <c r="D23" s="27" t="n">
        <v>0.5</v>
      </c>
      <c r="E23" s="35" t="n">
        <v>0.6</v>
      </c>
      <c r="F23" s="28" t="n">
        <v>1000</v>
      </c>
      <c r="G23" s="28" t="n">
        <v>500</v>
      </c>
      <c r="H23" s="36" t="n">
        <f aca="false">F23+G23</f>
        <v>1500</v>
      </c>
      <c r="I23" s="20" t="n">
        <f aca="false">C23*D23*E23</f>
        <v>15.6</v>
      </c>
      <c r="J23" s="37" t="n">
        <f aca="false">I23*H23</f>
        <v>23400</v>
      </c>
      <c r="K23" s="38" t="n">
        <f aca="false">J23*$B$5/1000000</f>
        <v>8.4942</v>
      </c>
      <c r="L23" s="19" t="n">
        <f aca="false">IF($K$26=0,0,K23/$K$26)</f>
        <v>0.0184414601853603</v>
      </c>
    </row>
    <row r="24" customFormat="false" ht="15" hidden="false" customHeight="false" outlineLevel="0" collapsed="false">
      <c r="A24" s="18" t="s">
        <v>71</v>
      </c>
      <c r="B24" s="34" t="s">
        <v>67</v>
      </c>
      <c r="C24" s="5" t="n">
        <f aca="false">$B$14</f>
        <v>71</v>
      </c>
      <c r="D24" s="27" t="n">
        <v>0.8</v>
      </c>
      <c r="E24" s="35" t="n">
        <v>0.8</v>
      </c>
      <c r="F24" s="28" t="n">
        <v>9000</v>
      </c>
      <c r="G24" s="28" t="n">
        <v>6000</v>
      </c>
      <c r="H24" s="36" t="n">
        <f aca="false">F24+G24</f>
        <v>15000</v>
      </c>
      <c r="I24" s="20" t="n">
        <f aca="false">C24*D24*E24</f>
        <v>45.44</v>
      </c>
      <c r="J24" s="37" t="n">
        <f aca="false">I24*H24</f>
        <v>681600</v>
      </c>
      <c r="K24" s="38" t="n">
        <f aca="false">J24*$B$5/1000000</f>
        <v>247.4208</v>
      </c>
      <c r="L24" s="19" t="n">
        <f aca="false">IF($K$26=0,0,K24/$K$26)</f>
        <v>0.537166635142803</v>
      </c>
      <c r="N24" s="2" t="s">
        <v>72</v>
      </c>
    </row>
    <row r="25" customFormat="false" ht="15" hidden="false" customHeight="false" outlineLevel="0" collapsed="false">
      <c r="A25" s="18" t="s">
        <v>71</v>
      </c>
      <c r="B25" s="34" t="s">
        <v>53</v>
      </c>
      <c r="C25" s="5" t="n">
        <f aca="false">$B$15</f>
        <v>52</v>
      </c>
      <c r="D25" s="27" t="n">
        <v>0.5</v>
      </c>
      <c r="E25" s="35" t="n">
        <v>0.4</v>
      </c>
      <c r="F25" s="28" t="n">
        <v>9000</v>
      </c>
      <c r="G25" s="28" t="n">
        <v>6000</v>
      </c>
      <c r="H25" s="36" t="n">
        <f aca="false">F25+G25</f>
        <v>15000</v>
      </c>
      <c r="I25" s="20" t="n">
        <f aca="false">C25*D25*E25</f>
        <v>10.4</v>
      </c>
      <c r="J25" s="37" t="n">
        <f aca="false">I25*H25</f>
        <v>156000</v>
      </c>
      <c r="K25" s="38" t="n">
        <f aca="false">J25*$B$5/1000000</f>
        <v>56.628</v>
      </c>
      <c r="L25" s="19" t="n">
        <f aca="false">IF($K$26=0,0,K25/$K$26)</f>
        <v>0.122943067902402</v>
      </c>
    </row>
    <row r="26" customFormat="false" ht="15" hidden="false" customHeight="false" outlineLevel="0" collapsed="false">
      <c r="A26" s="16" t="s">
        <v>31</v>
      </c>
      <c r="B26" s="39"/>
      <c r="C26" s="39"/>
      <c r="D26" s="39"/>
      <c r="E26" s="39"/>
      <c r="F26" s="39"/>
      <c r="G26" s="39"/>
      <c r="H26" s="39"/>
      <c r="I26" s="22" t="n">
        <f aca="false">SUM(I20:I25)</f>
        <v>191.16</v>
      </c>
      <c r="J26" s="40" t="n">
        <f aca="false">SUM(J20:J25)</f>
        <v>1268880</v>
      </c>
      <c r="K26" s="41" t="n">
        <f aca="false">SUM(K20:K25)</f>
        <v>460.60344</v>
      </c>
      <c r="L26" s="21" t="n">
        <f aca="false">SUM(L20:L25)</f>
        <v>1</v>
      </c>
    </row>
    <row r="28" customFormat="false" ht="15" hidden="false" customHeight="false" outlineLevel="0" collapsed="false">
      <c r="A28" s="3" t="s">
        <v>73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25" t="s">
        <v>74</v>
      </c>
      <c r="B29" s="20" t="n">
        <f aca="false">SUMPRODUCT(I20:I25,F20:F25)*$B$5/1000000</f>
        <v>297.84876</v>
      </c>
    </row>
    <row r="30" customFormat="false" ht="15" hidden="false" customHeight="false" outlineLevel="0" collapsed="false">
      <c r="A30" s="25" t="s">
        <v>75</v>
      </c>
      <c r="B30" s="20" t="n">
        <f aca="false">SUMPRODUCT(I20:I25,G20:G25)*$B$5/1000000</f>
        <v>162.75468</v>
      </c>
    </row>
    <row r="31" customFormat="false" ht="15" hidden="false" customHeight="false" outlineLevel="0" collapsed="false">
      <c r="A31" s="29" t="s">
        <v>31</v>
      </c>
      <c r="B31" s="22" t="n">
        <f aca="false">B29+B30</f>
        <v>460.60344</v>
      </c>
    </row>
    <row r="32" customFormat="false" ht="15" hidden="false" customHeight="false" outlineLevel="0" collapsed="false">
      <c r="A32" s="25" t="s">
        <v>76</v>
      </c>
      <c r="B32" s="19" t="n">
        <f aca="false">IF($B$31=0,0,B29/$B$31)</f>
        <v>0.646649013303071</v>
      </c>
    </row>
    <row r="33" customFormat="false" ht="15" hidden="false" customHeight="false" outlineLevel="0" collapsed="false">
      <c r="A33" s="25" t="s">
        <v>77</v>
      </c>
      <c r="B33" s="19" t="n">
        <f aca="false">IF($B$31=0,0,B30/$B$31)</f>
        <v>0.35335098669693</v>
      </c>
    </row>
    <row r="35" customFormat="false" ht="15" hidden="false" customHeight="false" outlineLevel="0" collapsed="false">
      <c r="A35" s="3" t="s">
        <v>78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25" t="s">
        <v>79</v>
      </c>
      <c r="B36" s="36" t="n">
        <f aca="false">J26</f>
        <v>1268880</v>
      </c>
      <c r="N36" s="2"/>
    </row>
    <row r="37" customFormat="false" ht="15" hidden="false" customHeight="false" outlineLevel="0" collapsed="false">
      <c r="A37" s="25" t="s">
        <v>80</v>
      </c>
      <c r="B37" s="20" t="n">
        <f aca="false">K26/12</f>
        <v>38.38362</v>
      </c>
      <c r="N37" s="2"/>
    </row>
    <row r="38" customFormat="false" ht="15" hidden="false" customHeight="false" outlineLevel="0" collapsed="false">
      <c r="A38" s="25" t="s">
        <v>81</v>
      </c>
      <c r="B38" s="20" t="n">
        <f aca="false">K26</f>
        <v>460.60344</v>
      </c>
      <c r="N38" s="2" t="s">
        <v>82</v>
      </c>
    </row>
    <row r="39" customFormat="false" ht="15" hidden="false" customHeight="false" outlineLevel="0" collapsed="false">
      <c r="A39" s="42" t="s">
        <v>83</v>
      </c>
      <c r="B39" s="20" t="n">
        <f aca="false">I26</f>
        <v>191.16</v>
      </c>
      <c r="N39" s="2"/>
    </row>
    <row r="40" customFormat="false" ht="15" hidden="false" customHeight="false" outlineLevel="0" collapsed="false">
      <c r="A40" s="25" t="s">
        <v>84</v>
      </c>
      <c r="B40" s="36" t="n">
        <f aca="false">IF(I26=0,0,J26/I26)</f>
        <v>6637.79033270559</v>
      </c>
      <c r="N40" s="2"/>
    </row>
    <row r="41" customFormat="false" ht="15" hidden="false" customHeight="false" outlineLevel="0" collapsed="false">
      <c r="A41" s="25" t="s">
        <v>85</v>
      </c>
      <c r="B41" s="43" t="n">
        <f aca="false">IF($B$16=0,0,I26/$B$16)</f>
        <v>1.55414634146341</v>
      </c>
      <c r="N41" s="2" t="s">
        <v>86</v>
      </c>
    </row>
    <row r="42" customFormat="false" ht="15" hidden="false" customHeight="false" outlineLevel="0" collapsed="false">
      <c r="A42" s="25" t="s">
        <v>87</v>
      </c>
      <c r="B42" s="26" t="n">
        <v>55.5</v>
      </c>
      <c r="N42" s="44" t="s">
        <v>88</v>
      </c>
    </row>
    <row r="43" customFormat="false" ht="15" hidden="false" customHeight="false" outlineLevel="0" collapsed="false">
      <c r="A43" s="25" t="s">
        <v>89</v>
      </c>
      <c r="B43" s="20" t="n">
        <f aca="false">IF(B42=0,0,K26/B42)</f>
        <v>8.29916108108108</v>
      </c>
      <c r="N43" s="2"/>
    </row>
    <row r="45" customFormat="false" ht="15" hidden="false" customHeight="false" outlineLevel="0" collapsed="false">
      <c r="A45" s="3" t="s">
        <v>90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10" t="s">
        <v>14</v>
      </c>
      <c r="B46" s="11" t="s">
        <v>15</v>
      </c>
      <c r="C46" s="12" t="s">
        <v>16</v>
      </c>
      <c r="D46" s="12" t="s">
        <v>17</v>
      </c>
      <c r="E46" s="12" t="s">
        <v>18</v>
      </c>
    </row>
    <row r="47" customFormat="false" ht="15" hidden="false" customHeight="false" outlineLevel="0" collapsed="false">
      <c r="A47" s="25" t="s">
        <v>91</v>
      </c>
      <c r="B47" s="19" t="n">
        <f aca="false">$B$8</f>
        <v>1</v>
      </c>
      <c r="C47" s="19" t="n">
        <f aca="false">$B$6</f>
        <v>0.9</v>
      </c>
      <c r="D47" s="19" t="n">
        <f aca="false">$B$7</f>
        <v>0.98</v>
      </c>
      <c r="E47" s="19" t="n">
        <f aca="false">$B$8</f>
        <v>1</v>
      </c>
    </row>
    <row r="48" customFormat="false" ht="15" hidden="false" customHeight="false" outlineLevel="0" collapsed="false">
      <c r="A48" s="29" t="s">
        <v>92</v>
      </c>
      <c r="B48" s="45" t="n">
        <f aca="false">$K$26*B47</f>
        <v>460.60344</v>
      </c>
      <c r="C48" s="45" t="n">
        <f aca="false">$K$26*C47</f>
        <v>414.543096</v>
      </c>
      <c r="D48" s="45" t="n">
        <f aca="false">$K$26*D47</f>
        <v>451.3913712</v>
      </c>
      <c r="E48" s="45" t="n">
        <f aca="false">$K$26*E47</f>
        <v>460.60344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5"/>
    <col collapsed="false" customWidth="true" hidden="false" outlineLevel="0" max="5" min="5" style="0" width="3"/>
    <col collapsed="false" customWidth="true" hidden="false" outlineLevel="0" max="6" min="6" style="0" width="56"/>
  </cols>
  <sheetData>
    <row r="1" customFormat="false" ht="15" hidden="false" customHeight="false" outlineLevel="0" collapsed="false">
      <c r="A1" s="24" t="s">
        <v>93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3" t="s">
        <v>95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25" t="s">
        <v>96</v>
      </c>
      <c r="B5" s="28" t="n">
        <v>1</v>
      </c>
      <c r="F5" s="44" t="s">
        <v>97</v>
      </c>
    </row>
    <row r="7" customFormat="false" ht="15" hidden="false" customHeight="false" outlineLevel="0" collapsed="false">
      <c r="A7" s="3" t="s">
        <v>98</v>
      </c>
      <c r="B7" s="3"/>
      <c r="C7" s="3"/>
      <c r="D7" s="3"/>
      <c r="E7" s="3"/>
      <c r="F7" s="3"/>
    </row>
    <row r="8" customFormat="false" ht="31.5" hidden="false" customHeight="true" outlineLevel="0" collapsed="false">
      <c r="A8" s="32" t="s">
        <v>99</v>
      </c>
      <c r="B8" s="32" t="s">
        <v>100</v>
      </c>
      <c r="C8" s="33" t="s">
        <v>101</v>
      </c>
      <c r="D8" s="33" t="s">
        <v>102</v>
      </c>
    </row>
    <row r="9" customFormat="false" ht="15" hidden="false" customHeight="false" outlineLevel="0" collapsed="false">
      <c r="A9" s="4" t="s">
        <v>103</v>
      </c>
      <c r="B9" s="27" t="n">
        <v>0.295</v>
      </c>
      <c r="C9" s="27" t="n">
        <v>0.29</v>
      </c>
      <c r="D9" s="27" t="n">
        <v>0.285</v>
      </c>
      <c r="F9" s="2" t="s">
        <v>104</v>
      </c>
    </row>
    <row r="10" customFormat="false" ht="15" hidden="false" customHeight="false" outlineLevel="0" collapsed="false">
      <c r="A10" s="6" t="s">
        <v>105</v>
      </c>
      <c r="B10" s="46" t="n">
        <v>0.32</v>
      </c>
      <c r="C10" s="46" t="n">
        <v>0.319</v>
      </c>
      <c r="D10" s="46" t="n">
        <v>0.318</v>
      </c>
      <c r="F10" s="2" t="s">
        <v>106</v>
      </c>
    </row>
    <row r="11" customFormat="false" ht="15" hidden="false" customHeight="false" outlineLevel="0" collapsed="false">
      <c r="A11" s="6" t="s">
        <v>107</v>
      </c>
      <c r="B11" s="46" t="n">
        <v>0.248</v>
      </c>
      <c r="C11" s="46" t="n">
        <v>0.2365</v>
      </c>
      <c r="D11" s="46" t="n">
        <v>0.225</v>
      </c>
      <c r="F11" s="44" t="s">
        <v>108</v>
      </c>
    </row>
    <row r="12" customFormat="false" ht="15" hidden="false" customHeight="false" outlineLevel="0" collapsed="false">
      <c r="A12" s="4" t="s">
        <v>109</v>
      </c>
      <c r="B12" s="27" t="n">
        <v>0.345</v>
      </c>
      <c r="C12" s="27" t="n">
        <v>0.335</v>
      </c>
      <c r="D12" s="27" t="n">
        <v>0.325</v>
      </c>
      <c r="F12" s="2" t="s">
        <v>110</v>
      </c>
    </row>
    <row r="13" customFormat="false" ht="15" hidden="false" customHeight="false" outlineLevel="0" collapsed="false">
      <c r="A13" s="4" t="s">
        <v>111</v>
      </c>
      <c r="B13" s="27" t="n">
        <v>0.024</v>
      </c>
      <c r="C13" s="27" t="n">
        <v>0.022</v>
      </c>
      <c r="D13" s="27" t="n">
        <v>0.02</v>
      </c>
      <c r="F13" s="2" t="s">
        <v>112</v>
      </c>
    </row>
    <row r="14" customFormat="false" ht="15" hidden="false" customHeight="false" outlineLevel="0" collapsed="false">
      <c r="A14" s="4" t="s">
        <v>113</v>
      </c>
      <c r="B14" s="27" t="n">
        <v>0.014</v>
      </c>
      <c r="C14" s="27" t="n">
        <v>0.014</v>
      </c>
      <c r="D14" s="27" t="n">
        <v>0.014</v>
      </c>
      <c r="F14" s="2" t="s">
        <v>114</v>
      </c>
    </row>
    <row r="15" customFormat="false" ht="15" hidden="false" customHeight="false" outlineLevel="0" collapsed="false">
      <c r="A15" s="4" t="s">
        <v>115</v>
      </c>
      <c r="B15" s="27" t="n">
        <v>0.005</v>
      </c>
      <c r="C15" s="27" t="n">
        <v>0.005</v>
      </c>
      <c r="D15" s="27" t="n">
        <v>0.005</v>
      </c>
      <c r="F15" s="2" t="s">
        <v>114</v>
      </c>
    </row>
    <row r="16" customFormat="false" ht="15" hidden="false" customHeight="false" outlineLevel="0" collapsed="false">
      <c r="A16" s="4" t="s">
        <v>116</v>
      </c>
      <c r="B16" s="27" t="n">
        <v>0.04</v>
      </c>
      <c r="C16" s="27" t="n">
        <v>0.038</v>
      </c>
      <c r="D16" s="27" t="n">
        <v>0.036</v>
      </c>
      <c r="F16" s="2" t="s">
        <v>117</v>
      </c>
    </row>
    <row r="17" customFormat="false" ht="15" hidden="false" customHeight="false" outlineLevel="0" collapsed="false">
      <c r="A17" s="4" t="s">
        <v>118</v>
      </c>
      <c r="B17" s="27" t="n">
        <v>0.04</v>
      </c>
      <c r="C17" s="27" t="n">
        <v>0.04</v>
      </c>
      <c r="D17" s="27" t="n">
        <v>0.04</v>
      </c>
      <c r="F17" s="2" t="s">
        <v>119</v>
      </c>
    </row>
    <row r="18" customFormat="false" ht="15" hidden="false" customHeight="false" outlineLevel="0" collapsed="false">
      <c r="A18" s="4" t="s">
        <v>120</v>
      </c>
      <c r="B18" s="27" t="n">
        <v>0.007</v>
      </c>
      <c r="C18" s="27" t="n">
        <v>0.007</v>
      </c>
      <c r="D18" s="27" t="n">
        <v>0.007</v>
      </c>
      <c r="F18" s="2" t="s">
        <v>114</v>
      </c>
    </row>
    <row r="19" customFormat="false" ht="15" hidden="false" customHeight="false" outlineLevel="0" collapsed="false">
      <c r="A19" s="4" t="s">
        <v>121</v>
      </c>
      <c r="B19" s="27" t="n">
        <v>0.025</v>
      </c>
      <c r="C19" s="27" t="n">
        <v>0.025</v>
      </c>
      <c r="D19" s="27" t="n">
        <v>0.025</v>
      </c>
      <c r="F19" s="2" t="s">
        <v>114</v>
      </c>
    </row>
    <row r="20" customFormat="false" ht="15" hidden="false" customHeight="false" outlineLevel="0" collapsed="false">
      <c r="A20" s="16" t="s">
        <v>122</v>
      </c>
      <c r="B20" s="21" t="n">
        <f aca="false">B9+SUM(B12:B19)</f>
        <v>0.795</v>
      </c>
      <c r="C20" s="21" t="n">
        <f aca="false">C9+SUM(C12:C19)</f>
        <v>0.776</v>
      </c>
      <c r="D20" s="21" t="n">
        <f aca="false">D9+SUM(D12:D19)</f>
        <v>0.757</v>
      </c>
    </row>
    <row r="22" customFormat="false" ht="15" hidden="false" customHeight="false" outlineLevel="0" collapsed="false">
      <c r="A22" s="3" t="s">
        <v>123</v>
      </c>
      <c r="B22" s="3"/>
      <c r="C22" s="3"/>
      <c r="D22" s="3"/>
      <c r="E22" s="3"/>
      <c r="F22" s="3"/>
    </row>
    <row r="23" customFormat="false" ht="15" hidden="false" customHeight="false" outlineLevel="0" collapsed="false">
      <c r="A23" s="25" t="s">
        <v>124</v>
      </c>
      <c r="B23" s="26" t="n">
        <v>2.22</v>
      </c>
      <c r="F23" s="2" t="s">
        <v>125</v>
      </c>
    </row>
    <row r="24" customFormat="false" ht="15" hidden="false" customHeight="false" outlineLevel="0" collapsed="false">
      <c r="A24" s="25" t="s">
        <v>126</v>
      </c>
      <c r="B24" s="20" t="n">
        <f aca="false">B23*12</f>
        <v>26.64</v>
      </c>
      <c r="F24" s="2" t="s">
        <v>127</v>
      </c>
    </row>
    <row r="25" customFormat="false" ht="15" hidden="false" customHeight="false" outlineLevel="0" collapsed="false">
      <c r="A25" s="25" t="s">
        <v>128</v>
      </c>
      <c r="B25" s="27" t="n">
        <v>0.07</v>
      </c>
      <c r="F25" s="2" t="s">
        <v>129</v>
      </c>
    </row>
    <row r="26" customFormat="false" ht="15" hidden="false" customHeight="false" outlineLevel="0" collapsed="false">
      <c r="A26" s="25" t="s">
        <v>130</v>
      </c>
      <c r="B26" s="26" t="n">
        <v>331.4</v>
      </c>
      <c r="F26" s="2" t="s">
        <v>131</v>
      </c>
    </row>
    <row r="27" customFormat="false" ht="15" hidden="false" customHeight="false" outlineLevel="0" collapsed="false">
      <c r="A27" s="25" t="s">
        <v>132</v>
      </c>
      <c r="B27" s="28" t="n">
        <v>26</v>
      </c>
      <c r="F27" s="2" t="s">
        <v>133</v>
      </c>
    </row>
    <row r="29" customFormat="false" ht="15" hidden="false" customHeight="false" outlineLevel="0" collapsed="false">
      <c r="A29" s="3" t="s">
        <v>134</v>
      </c>
      <c r="B29" s="3"/>
      <c r="C29" s="3"/>
      <c r="D29" s="3"/>
      <c r="E29" s="3"/>
      <c r="F29" s="3"/>
    </row>
    <row r="30" customFormat="false" ht="15" hidden="false" customHeight="false" outlineLevel="0" collapsed="false">
      <c r="A30" s="25" t="s">
        <v>135</v>
      </c>
      <c r="B30" s="26" t="n">
        <v>10</v>
      </c>
      <c r="F30" s="2" t="s">
        <v>136</v>
      </c>
    </row>
    <row r="31" customFormat="false" ht="15" hidden="false" customHeight="false" outlineLevel="0" collapsed="false">
      <c r="A31" s="25" t="s">
        <v>137</v>
      </c>
      <c r="B31" s="26" t="n">
        <v>194</v>
      </c>
      <c r="F31" s="2"/>
    </row>
    <row r="32" customFormat="false" ht="15" hidden="false" customHeight="false" outlineLevel="0" collapsed="false">
      <c r="A32" s="25" t="s">
        <v>138</v>
      </c>
      <c r="B32" s="26" t="n">
        <v>4</v>
      </c>
      <c r="F32" s="2"/>
    </row>
    <row r="33" customFormat="false" ht="15" hidden="false" customHeight="false" outlineLevel="0" collapsed="false">
      <c r="A33" s="25" t="s">
        <v>139</v>
      </c>
      <c r="B33" s="26" t="n">
        <v>39</v>
      </c>
      <c r="F33" s="2" t="s">
        <v>140</v>
      </c>
    </row>
    <row r="34" customFormat="false" ht="15" hidden="false" customHeight="false" outlineLevel="0" collapsed="false">
      <c r="A34" s="29" t="s">
        <v>141</v>
      </c>
      <c r="B34" s="45" t="n">
        <f aca="false">SUM(B30:B33)</f>
        <v>247</v>
      </c>
    </row>
    <row r="35" customFormat="false" ht="15" hidden="false" customHeight="false" outlineLevel="0" collapsed="false">
      <c r="A35" s="29" t="s">
        <v>142</v>
      </c>
      <c r="B35" s="22" t="n">
        <f aca="false">B34-B33</f>
        <v>208</v>
      </c>
    </row>
    <row r="36" customFormat="false" ht="15" hidden="false" customHeight="false" outlineLevel="0" collapsed="false">
      <c r="A36" s="25" t="s">
        <v>143</v>
      </c>
      <c r="B36" s="26" t="n">
        <v>10</v>
      </c>
    </row>
    <row r="37" customFormat="false" ht="15" hidden="false" customHeight="false" outlineLevel="0" collapsed="false">
      <c r="A37" s="29" t="s">
        <v>144</v>
      </c>
      <c r="B37" s="22" t="n">
        <f aca="false">B35/B36</f>
        <v>20.8</v>
      </c>
    </row>
    <row r="39" customFormat="false" ht="15" hidden="false" customHeight="false" outlineLevel="0" collapsed="false">
      <c r="A39" s="3" t="s">
        <v>145</v>
      </c>
      <c r="B39" s="3"/>
      <c r="C39" s="3"/>
      <c r="D39" s="3"/>
      <c r="E39" s="3"/>
      <c r="F39" s="3"/>
    </row>
    <row r="40" customFormat="false" ht="15" hidden="false" customHeight="false" outlineLevel="0" collapsed="false">
      <c r="A40" s="25" t="s">
        <v>146</v>
      </c>
      <c r="B40" s="26" t="n">
        <v>100</v>
      </c>
      <c r="F40" s="2" t="s">
        <v>147</v>
      </c>
    </row>
    <row r="41" customFormat="false" ht="15" hidden="false" customHeight="false" outlineLevel="0" collapsed="false">
      <c r="A41" s="25" t="s">
        <v>148</v>
      </c>
      <c r="B41" s="26" t="n">
        <v>38.9</v>
      </c>
      <c r="F41" s="2" t="s">
        <v>149</v>
      </c>
    </row>
    <row r="42" customFormat="false" ht="15" hidden="false" customHeight="false" outlineLevel="0" collapsed="false">
      <c r="A42" s="29" t="s">
        <v>150</v>
      </c>
      <c r="B42" s="22" t="n">
        <f aca="false">B40+B41</f>
        <v>138.9</v>
      </c>
      <c r="F42" s="2"/>
    </row>
    <row r="43" customFormat="false" ht="15" hidden="false" customHeight="false" outlineLevel="0" collapsed="false">
      <c r="A43" s="29" t="s">
        <v>151</v>
      </c>
      <c r="B43" s="22" t="n">
        <f aca="false">B34-B42</f>
        <v>108.1</v>
      </c>
      <c r="F43" s="2" t="s">
        <v>152</v>
      </c>
    </row>
    <row r="44" customFormat="false" ht="15" hidden="false" customHeight="false" outlineLevel="0" collapsed="false">
      <c r="A44" s="25" t="s">
        <v>153</v>
      </c>
      <c r="B44" s="26" t="n">
        <v>15.6</v>
      </c>
      <c r="F44" s="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3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24" t="s">
        <v>155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156</v>
      </c>
    </row>
    <row r="4" customFormat="false" ht="30" hidden="false" customHeight="true" outlineLevel="0" collapsed="false">
      <c r="A4" s="10" t="s">
        <v>157</v>
      </c>
      <c r="B4" s="32" t="s">
        <v>158</v>
      </c>
      <c r="C4" s="33" t="s">
        <v>159</v>
      </c>
      <c r="D4" s="33" t="s">
        <v>101</v>
      </c>
      <c r="E4" s="33" t="s">
        <v>102</v>
      </c>
    </row>
    <row r="5" customFormat="false" ht="15" hidden="false" customHeight="false" outlineLevel="0" collapsed="false">
      <c r="A5" s="25" t="s">
        <v>91</v>
      </c>
      <c r="B5" s="7" t="n">
        <f aca="false">売上前提!B47</f>
        <v>1</v>
      </c>
      <c r="C5" s="7" t="n">
        <f aca="false">売上前提!C47</f>
        <v>0.9</v>
      </c>
      <c r="D5" s="7" t="n">
        <f aca="false">売上前提!D47</f>
        <v>0.98</v>
      </c>
      <c r="E5" s="7" t="n">
        <f aca="false">売上前提!E47</f>
        <v>1</v>
      </c>
    </row>
    <row r="6" customFormat="false" ht="15" hidden="false" customHeight="false" outlineLevel="0" collapsed="false">
      <c r="A6" s="16" t="s">
        <v>19</v>
      </c>
      <c r="B6" s="47" t="n">
        <f aca="false">売上前提!B$48</f>
        <v>460.60344</v>
      </c>
      <c r="C6" s="47" t="n">
        <f aca="false">売上前提!C$48</f>
        <v>414.543096</v>
      </c>
      <c r="D6" s="47" t="n">
        <f aca="false">売上前提!D$48</f>
        <v>451.3913712</v>
      </c>
      <c r="E6" s="47" t="n">
        <f aca="false">売上前提!E$48</f>
        <v>460.60344</v>
      </c>
    </row>
    <row r="7" customFormat="false" ht="15" hidden="false" customHeight="false" outlineLevel="0" collapsed="false">
      <c r="A7" s="6" t="s">
        <v>160</v>
      </c>
      <c r="B7" s="48" t="n">
        <f aca="false">B$6*売上前提!$B$32</f>
        <v>297.84876</v>
      </c>
      <c r="C7" s="48" t="n">
        <f aca="false">C$6*売上前提!$B$32</f>
        <v>268.063884</v>
      </c>
      <c r="D7" s="48" t="n">
        <f aca="false">D$6*売上前提!$B$32</f>
        <v>291.8917848</v>
      </c>
      <c r="E7" s="48" t="n">
        <f aca="false">E$6*売上前提!$B$32</f>
        <v>297.84876</v>
      </c>
    </row>
    <row r="8" customFormat="false" ht="15" hidden="false" customHeight="false" outlineLevel="0" collapsed="false">
      <c r="A8" s="6" t="s">
        <v>161</v>
      </c>
      <c r="B8" s="48" t="n">
        <f aca="false">B$6*売上前提!$B$33</f>
        <v>162.75468</v>
      </c>
      <c r="C8" s="48" t="n">
        <f aca="false">C$6*売上前提!$B$33</f>
        <v>146.479212</v>
      </c>
      <c r="D8" s="48" t="n">
        <f aca="false">D$6*売上前提!$B$33</f>
        <v>159.4995864</v>
      </c>
      <c r="E8" s="48" t="n">
        <f aca="false">E$6*売上前提!$B$33</f>
        <v>162.75468</v>
      </c>
    </row>
    <row r="9" customFormat="false" ht="15" hidden="false" customHeight="false" outlineLevel="0" collapsed="false">
      <c r="A9" s="4" t="s">
        <v>162</v>
      </c>
      <c r="B9" s="38" t="n">
        <f aca="false">IF(経費前提!$B$5=1,B$6*経費前提!$B$9,B$7*経費前提!$B$10+B$8*経費前提!$B$11)</f>
        <v>135.8780148</v>
      </c>
      <c r="C9" s="38" t="n">
        <f aca="false">IF(経費前提!$B$5=1,C$6*経費前提!$B$9,C$7*経費前提!$B$10+C$8*経費前提!$B$11)</f>
        <v>122.29021332</v>
      </c>
      <c r="D9" s="38" t="n">
        <f aca="false">IF(経費前提!$B$5=1,D$6*経費前提!$C$9,D$7*経費前提!$C$10+D$8*経費前提!$C$11)</f>
        <v>130.903497648</v>
      </c>
      <c r="E9" s="38" t="n">
        <f aca="false">IF(経費前提!$B$5=1,E$6*経費前提!$D$9,E$7*経費前提!$D$10+E$8*経費前提!$D$11)</f>
        <v>131.2719804</v>
      </c>
    </row>
    <row r="10" customFormat="false" ht="15" hidden="false" customHeight="false" outlineLevel="0" collapsed="false">
      <c r="A10" s="4" t="s">
        <v>109</v>
      </c>
      <c r="B10" s="38" t="n">
        <f aca="false">B$6*経費前提!$B$12</f>
        <v>158.9081868</v>
      </c>
      <c r="C10" s="38" t="n">
        <f aca="false">C$6*経費前提!$B$12</f>
        <v>143.01736812</v>
      </c>
      <c r="D10" s="38" t="n">
        <f aca="false">D$6*経費前提!$C$12</f>
        <v>151.216109352</v>
      </c>
      <c r="E10" s="38" t="n">
        <f aca="false">E$6*経費前提!$D$12</f>
        <v>149.696118</v>
      </c>
    </row>
    <row r="11" customFormat="false" ht="15" hidden="false" customHeight="false" outlineLevel="0" collapsed="false">
      <c r="A11" s="4" t="s">
        <v>111</v>
      </c>
      <c r="B11" s="38" t="n">
        <f aca="false">B$6*経費前提!$B$13</f>
        <v>11.05448256</v>
      </c>
      <c r="C11" s="38" t="n">
        <f aca="false">C$6*経費前提!$B$13</f>
        <v>9.949034304</v>
      </c>
      <c r="D11" s="38" t="n">
        <f aca="false">D$6*経費前提!$C$13</f>
        <v>9.9306101664</v>
      </c>
      <c r="E11" s="38" t="n">
        <f aca="false">E$6*経費前提!$D$13</f>
        <v>9.2120688</v>
      </c>
    </row>
    <row r="12" customFormat="false" ht="15" hidden="false" customHeight="false" outlineLevel="0" collapsed="false">
      <c r="A12" s="16" t="s">
        <v>20</v>
      </c>
      <c r="B12" s="49" t="n">
        <f aca="false">B6-B9-B10-B11</f>
        <v>154.76275584</v>
      </c>
      <c r="C12" s="49" t="n">
        <f aca="false">C6-C9-C10-C11</f>
        <v>139.286480256</v>
      </c>
      <c r="D12" s="49" t="n">
        <f aca="false">D6-D9-D10-D11</f>
        <v>159.3411540336</v>
      </c>
      <c r="E12" s="49" t="n">
        <f aca="false">E6-E9-E10-E11</f>
        <v>170.4232728</v>
      </c>
    </row>
    <row r="13" customFormat="false" ht="15" hidden="false" customHeight="false" outlineLevel="0" collapsed="false">
      <c r="A13" s="4" t="s">
        <v>113</v>
      </c>
      <c r="B13" s="38" t="n">
        <f aca="false">B$6*経費前提!$B$14</f>
        <v>6.44844816</v>
      </c>
      <c r="C13" s="38" t="n">
        <f aca="false">C$6*経費前提!$B$14</f>
        <v>5.803603344</v>
      </c>
      <c r="D13" s="38" t="n">
        <f aca="false">D$6*経費前提!$C$14</f>
        <v>6.3194791968</v>
      </c>
      <c r="E13" s="38" t="n">
        <f aca="false">E$6*経費前提!$D$14</f>
        <v>6.44844816</v>
      </c>
    </row>
    <row r="14" customFormat="false" ht="15" hidden="false" customHeight="false" outlineLevel="0" collapsed="false">
      <c r="A14" s="4" t="s">
        <v>115</v>
      </c>
      <c r="B14" s="38" t="n">
        <f aca="false">B$6*経費前提!$B$15</f>
        <v>2.3030172</v>
      </c>
      <c r="C14" s="38" t="n">
        <f aca="false">C$6*経費前提!$B$15</f>
        <v>2.07271548</v>
      </c>
      <c r="D14" s="38" t="n">
        <f aca="false">D$6*経費前提!$C$15</f>
        <v>2.256956856</v>
      </c>
      <c r="E14" s="38" t="n">
        <f aca="false">E$6*経費前提!$D$15</f>
        <v>2.3030172</v>
      </c>
    </row>
    <row r="15" customFormat="false" ht="15" hidden="false" customHeight="false" outlineLevel="0" collapsed="false">
      <c r="A15" s="4" t="s">
        <v>116</v>
      </c>
      <c r="B15" s="38" t="n">
        <f aca="false">B$6*経費前提!$B$16</f>
        <v>18.4241376</v>
      </c>
      <c r="C15" s="38" t="n">
        <f aca="false">C$6*経費前提!$B$16</f>
        <v>16.58172384</v>
      </c>
      <c r="D15" s="38" t="n">
        <f aca="false">D$6*経費前提!$C$16</f>
        <v>17.1528721056</v>
      </c>
      <c r="E15" s="38" t="n">
        <f aca="false">E$6*経費前提!$D$16</f>
        <v>16.58172384</v>
      </c>
    </row>
    <row r="16" customFormat="false" ht="15" hidden="false" customHeight="false" outlineLevel="0" collapsed="false">
      <c r="A16" s="14" t="s">
        <v>163</v>
      </c>
      <c r="B16" s="49" t="n">
        <f aca="false">B12-B13-B14-B15</f>
        <v>127.58715288</v>
      </c>
      <c r="C16" s="49" t="n">
        <f aca="false">C12-C13-C14-C15</f>
        <v>114.828437592</v>
      </c>
      <c r="D16" s="49" t="n">
        <f aca="false">D12-D13-D14-D15</f>
        <v>133.6118458752</v>
      </c>
      <c r="E16" s="49" t="n">
        <f aca="false">E12-E13-E14-E15</f>
        <v>145.0900836</v>
      </c>
    </row>
    <row r="17" customFormat="false" ht="15" hidden="false" customHeight="false" outlineLevel="0" collapsed="false">
      <c r="A17" s="4" t="s">
        <v>118</v>
      </c>
      <c r="B17" s="38" t="n">
        <f aca="false">B$6*経費前提!$B$17</f>
        <v>18.4241376</v>
      </c>
      <c r="C17" s="38" t="n">
        <f aca="false">C$6*経費前提!$B$17</f>
        <v>16.58172384</v>
      </c>
      <c r="D17" s="38" t="n">
        <f aca="false">D$6*経費前提!$C$17</f>
        <v>18.055654848</v>
      </c>
      <c r="E17" s="38" t="n">
        <f aca="false">E$6*経費前提!$D$17</f>
        <v>18.4241376</v>
      </c>
    </row>
    <row r="18" customFormat="false" ht="15" hidden="false" customHeight="false" outlineLevel="0" collapsed="false">
      <c r="A18" s="4" t="s">
        <v>120</v>
      </c>
      <c r="B18" s="38" t="n">
        <f aca="false">B$6*経費前提!$B$18</f>
        <v>3.22422408</v>
      </c>
      <c r="C18" s="38" t="n">
        <f aca="false">C$6*経費前提!$B$18</f>
        <v>2.901801672</v>
      </c>
      <c r="D18" s="38" t="n">
        <f aca="false">D$6*経費前提!$C$18</f>
        <v>3.1597395984</v>
      </c>
      <c r="E18" s="38" t="n">
        <f aca="false">E$6*経費前提!$D$18</f>
        <v>3.22422408</v>
      </c>
    </row>
    <row r="19" customFormat="false" ht="15" hidden="false" customHeight="false" outlineLevel="0" collapsed="false">
      <c r="A19" s="4" t="s">
        <v>164</v>
      </c>
      <c r="B19" s="50" t="n">
        <f aca="false">経費前提!$B$24</f>
        <v>26.64</v>
      </c>
      <c r="C19" s="50" t="n">
        <f aca="false">経費前提!$B$24</f>
        <v>26.64</v>
      </c>
      <c r="D19" s="50" t="n">
        <f aca="false">経費前提!$B$24</f>
        <v>26.64</v>
      </c>
      <c r="E19" s="50" t="n">
        <f aca="false">経費前提!$B$24</f>
        <v>26.64</v>
      </c>
    </row>
    <row r="20" customFormat="false" ht="15" hidden="false" customHeight="false" outlineLevel="0" collapsed="false">
      <c r="A20" s="4" t="s">
        <v>165</v>
      </c>
      <c r="B20" s="38" t="n">
        <f aca="false">MAX(0,B6-経費前提!$B$26)*経費前提!$B$25</f>
        <v>9.0442408</v>
      </c>
      <c r="C20" s="38" t="n">
        <f aca="false">MAX(0,C6-経費前提!$B$26)*経費前提!$B$25</f>
        <v>5.82001672000001</v>
      </c>
      <c r="D20" s="38" t="n">
        <f aca="false">MAX(0,D6-経費前提!$B$26)*経費前提!$B$25</f>
        <v>8.39939598400001</v>
      </c>
      <c r="E20" s="38" t="n">
        <f aca="false">MAX(0,E6-経費前提!$B$26)*経費前提!$B$25</f>
        <v>9.0442408</v>
      </c>
    </row>
    <row r="21" customFormat="false" ht="15" hidden="false" customHeight="false" outlineLevel="0" collapsed="false">
      <c r="A21" s="4" t="s">
        <v>121</v>
      </c>
      <c r="B21" s="38" t="n">
        <f aca="false">B$6*経費前提!$B$19</f>
        <v>11.515086</v>
      </c>
      <c r="C21" s="38" t="n">
        <f aca="false">C$6*経費前提!$B$19</f>
        <v>10.3635774</v>
      </c>
      <c r="D21" s="38" t="n">
        <f aca="false">D$6*経費前提!$C$19</f>
        <v>11.28478428</v>
      </c>
      <c r="E21" s="38" t="n">
        <f aca="false">E$6*経費前提!$D$19</f>
        <v>11.515086</v>
      </c>
    </row>
    <row r="22" customFormat="false" ht="15" hidden="false" customHeight="false" outlineLevel="0" collapsed="false">
      <c r="A22" s="14" t="s">
        <v>22</v>
      </c>
      <c r="B22" s="41" t="n">
        <f aca="false">B16-B17-B18-B19-B20-B21</f>
        <v>58.7394644</v>
      </c>
      <c r="C22" s="41" t="n">
        <f aca="false">C16-C17-C18-C19-C20-C21</f>
        <v>52.52131796</v>
      </c>
      <c r="D22" s="41" t="n">
        <f aca="false">D16-D17-D18-D19-D20-D21</f>
        <v>66.0722711648</v>
      </c>
      <c r="E22" s="41" t="n">
        <f aca="false">E16-E17-E18-E19-E20-E21</f>
        <v>76.24239512</v>
      </c>
      <c r="G22" s="51" t="s">
        <v>166</v>
      </c>
    </row>
    <row r="23" customFormat="false" ht="15" hidden="false" customHeight="false" outlineLevel="0" collapsed="false">
      <c r="A23" s="4" t="s">
        <v>167</v>
      </c>
      <c r="B23" s="50" t="n">
        <f aca="false">経費前提!$B$37</f>
        <v>20.8</v>
      </c>
      <c r="C23" s="50" t="n">
        <f aca="false">経費前提!$B$37</f>
        <v>20.8</v>
      </c>
      <c r="D23" s="50" t="n">
        <f aca="false">経費前提!$B$37</f>
        <v>20.8</v>
      </c>
      <c r="E23" s="50" t="n">
        <f aca="false">経費前提!$B$37</f>
        <v>20.8</v>
      </c>
    </row>
    <row r="24" customFormat="false" ht="15" hidden="false" customHeight="false" outlineLevel="0" collapsed="false">
      <c r="A24" s="16" t="s">
        <v>23</v>
      </c>
      <c r="B24" s="41" t="n">
        <f aca="false">B22-B23</f>
        <v>37.9394644</v>
      </c>
      <c r="C24" s="41" t="n">
        <f aca="false">C22-C23</f>
        <v>31.72131796</v>
      </c>
      <c r="D24" s="41" t="n">
        <f aca="false">D22-D23</f>
        <v>45.2722711648</v>
      </c>
      <c r="E24" s="41" t="n">
        <f aca="false">E22-E23</f>
        <v>55.44239512</v>
      </c>
      <c r="G24" s="51" t="s">
        <v>168</v>
      </c>
    </row>
    <row r="26" customFormat="false" ht="15" hidden="false" customHeight="false" outlineLevel="0" collapsed="false">
      <c r="A26" s="3" t="s">
        <v>169</v>
      </c>
      <c r="B26" s="3"/>
      <c r="C26" s="3"/>
      <c r="D26" s="3"/>
      <c r="E26" s="3"/>
    </row>
    <row r="27" customFormat="false" ht="15" hidden="false" customHeight="false" outlineLevel="0" collapsed="false">
      <c r="A27" s="10" t="s">
        <v>157</v>
      </c>
      <c r="B27" s="11" t="s">
        <v>15</v>
      </c>
      <c r="C27" s="12" t="s">
        <v>16</v>
      </c>
      <c r="D27" s="12" t="s">
        <v>17</v>
      </c>
      <c r="E27" s="12" t="s">
        <v>18</v>
      </c>
    </row>
    <row r="28" customFormat="false" ht="15" hidden="false" customHeight="false" outlineLevel="0" collapsed="false">
      <c r="A28" s="4" t="s">
        <v>19</v>
      </c>
      <c r="B28" s="19" t="n">
        <f aca="false">IF(B$6=0,0,B6/B$6)</f>
        <v>1</v>
      </c>
      <c r="C28" s="19" t="n">
        <f aca="false">IF(C$6=0,0,C6/C$6)</f>
        <v>1</v>
      </c>
      <c r="D28" s="19" t="n">
        <f aca="false">IF(D$6=0,0,D6/D$6)</f>
        <v>1</v>
      </c>
      <c r="E28" s="19" t="n">
        <f aca="false">IF(E$6=0,0,E6/E$6)</f>
        <v>1</v>
      </c>
    </row>
    <row r="29" customFormat="false" ht="15" hidden="false" customHeight="false" outlineLevel="0" collapsed="false">
      <c r="A29" s="4" t="s">
        <v>162</v>
      </c>
      <c r="B29" s="19" t="n">
        <f aca="false">IF(B$6=0,0,B9/B$6)</f>
        <v>0.295</v>
      </c>
      <c r="C29" s="19" t="n">
        <f aca="false">IF(C$6=0,0,C9/C$6)</f>
        <v>0.295</v>
      </c>
      <c r="D29" s="19" t="n">
        <f aca="false">IF(D$6=0,0,D9/D$6)</f>
        <v>0.29</v>
      </c>
      <c r="E29" s="19" t="n">
        <f aca="false">IF(E$6=0,0,E9/E$6)</f>
        <v>0.285</v>
      </c>
    </row>
    <row r="30" customFormat="false" ht="15" hidden="false" customHeight="false" outlineLevel="0" collapsed="false">
      <c r="A30" s="4" t="s">
        <v>109</v>
      </c>
      <c r="B30" s="19" t="n">
        <f aca="false">IF(B$6=0,0,B10/B$6)</f>
        <v>0.345</v>
      </c>
      <c r="C30" s="19" t="n">
        <f aca="false">IF(C$6=0,0,C10/C$6)</f>
        <v>0.345</v>
      </c>
      <c r="D30" s="19" t="n">
        <f aca="false">IF(D$6=0,0,D10/D$6)</f>
        <v>0.335</v>
      </c>
      <c r="E30" s="19" t="n">
        <f aca="false">IF(E$6=0,0,E10/E$6)</f>
        <v>0.325</v>
      </c>
    </row>
    <row r="31" customFormat="false" ht="15" hidden="false" customHeight="false" outlineLevel="0" collapsed="false">
      <c r="A31" s="4" t="s">
        <v>111</v>
      </c>
      <c r="B31" s="19" t="n">
        <f aca="false">IF(B$6=0,0,B11/B$6)</f>
        <v>0.024</v>
      </c>
      <c r="C31" s="19" t="n">
        <f aca="false">IF(C$6=0,0,C11/C$6)</f>
        <v>0.024</v>
      </c>
      <c r="D31" s="19" t="n">
        <f aca="false">IF(D$6=0,0,D11/D$6)</f>
        <v>0.022</v>
      </c>
      <c r="E31" s="19" t="n">
        <f aca="false">IF(E$6=0,0,E11/E$6)</f>
        <v>0.02</v>
      </c>
    </row>
    <row r="32" customFormat="false" ht="15" hidden="false" customHeight="false" outlineLevel="0" collapsed="false">
      <c r="A32" s="16" t="s">
        <v>20</v>
      </c>
      <c r="B32" s="21" t="n">
        <f aca="false">IF(B$6=0,0,B12/B$6)</f>
        <v>0.336</v>
      </c>
      <c r="C32" s="21" t="n">
        <f aca="false">IF(C$6=0,0,C12/C$6)</f>
        <v>0.336</v>
      </c>
      <c r="D32" s="21" t="n">
        <f aca="false">IF(D$6=0,0,D12/D$6)</f>
        <v>0.353</v>
      </c>
      <c r="E32" s="21" t="n">
        <f aca="false">IF(E$6=0,0,E12/E$6)</f>
        <v>0.37</v>
      </c>
    </row>
    <row r="33" customFormat="false" ht="15" hidden="false" customHeight="false" outlineLevel="0" collapsed="false">
      <c r="A33" s="4" t="s">
        <v>113</v>
      </c>
      <c r="B33" s="19" t="n">
        <f aca="false">IF(B$6=0,0,B13/B$6)</f>
        <v>0.014</v>
      </c>
      <c r="C33" s="19" t="n">
        <f aca="false">IF(C$6=0,0,C13/C$6)</f>
        <v>0.014</v>
      </c>
      <c r="D33" s="19" t="n">
        <f aca="false">IF(D$6=0,0,D13/D$6)</f>
        <v>0.014</v>
      </c>
      <c r="E33" s="19" t="n">
        <f aca="false">IF(E$6=0,0,E13/E$6)</f>
        <v>0.014</v>
      </c>
    </row>
    <row r="34" customFormat="false" ht="15" hidden="false" customHeight="false" outlineLevel="0" collapsed="false">
      <c r="A34" s="4" t="s">
        <v>115</v>
      </c>
      <c r="B34" s="19" t="n">
        <f aca="false">IF(B$6=0,0,B14/B$6)</f>
        <v>0.005</v>
      </c>
      <c r="C34" s="19" t="n">
        <f aca="false">IF(C$6=0,0,C14/C$6)</f>
        <v>0.005</v>
      </c>
      <c r="D34" s="19" t="n">
        <f aca="false">IF(D$6=0,0,D14/D$6)</f>
        <v>0.005</v>
      </c>
      <c r="E34" s="19" t="n">
        <f aca="false">IF(E$6=0,0,E14/E$6)</f>
        <v>0.005</v>
      </c>
    </row>
    <row r="35" customFormat="false" ht="15" hidden="false" customHeight="false" outlineLevel="0" collapsed="false">
      <c r="A35" s="4" t="s">
        <v>116</v>
      </c>
      <c r="B35" s="19" t="n">
        <f aca="false">IF(B$6=0,0,B15/B$6)</f>
        <v>0.04</v>
      </c>
      <c r="C35" s="19" t="n">
        <f aca="false">IF(C$6=0,0,C15/C$6)</f>
        <v>0.04</v>
      </c>
      <c r="D35" s="19" t="n">
        <f aca="false">IF(D$6=0,0,D15/D$6)</f>
        <v>0.038</v>
      </c>
      <c r="E35" s="19" t="n">
        <f aca="false">IF(E$6=0,0,E15/E$6)</f>
        <v>0.036</v>
      </c>
    </row>
    <row r="36" customFormat="false" ht="15" hidden="false" customHeight="false" outlineLevel="0" collapsed="false">
      <c r="A36" s="14" t="s">
        <v>163</v>
      </c>
      <c r="B36" s="21" t="n">
        <f aca="false">IF(B$6=0,0,B16/B$6)</f>
        <v>0.277</v>
      </c>
      <c r="C36" s="21" t="n">
        <f aca="false">IF(C$6=0,0,C16/C$6)</f>
        <v>0.277</v>
      </c>
      <c r="D36" s="21" t="n">
        <f aca="false">IF(D$6=0,0,D16/D$6)</f>
        <v>0.296</v>
      </c>
      <c r="E36" s="21" t="n">
        <f aca="false">IF(E$6=0,0,E16/E$6)</f>
        <v>0.315</v>
      </c>
    </row>
    <row r="37" customFormat="false" ht="15" hidden="false" customHeight="false" outlineLevel="0" collapsed="false">
      <c r="A37" s="4" t="s">
        <v>118</v>
      </c>
      <c r="B37" s="19" t="n">
        <f aca="false">IF(B$6=0,0,B17/B$6)</f>
        <v>0.04</v>
      </c>
      <c r="C37" s="19" t="n">
        <f aca="false">IF(C$6=0,0,C17/C$6)</f>
        <v>0.04</v>
      </c>
      <c r="D37" s="19" t="n">
        <f aca="false">IF(D$6=0,0,D17/D$6)</f>
        <v>0.04</v>
      </c>
      <c r="E37" s="19" t="n">
        <f aca="false">IF(E$6=0,0,E17/E$6)</f>
        <v>0.04</v>
      </c>
    </row>
    <row r="38" customFormat="false" ht="15" hidden="false" customHeight="false" outlineLevel="0" collapsed="false">
      <c r="A38" s="4" t="s">
        <v>120</v>
      </c>
      <c r="B38" s="19" t="n">
        <f aca="false">IF(B$6=0,0,B18/B$6)</f>
        <v>0.007</v>
      </c>
      <c r="C38" s="19" t="n">
        <f aca="false">IF(C$6=0,0,C18/C$6)</f>
        <v>0.007</v>
      </c>
      <c r="D38" s="19" t="n">
        <f aca="false">IF(D$6=0,0,D18/D$6)</f>
        <v>0.007</v>
      </c>
      <c r="E38" s="19" t="n">
        <f aca="false">IF(E$6=0,0,E18/E$6)</f>
        <v>0.007</v>
      </c>
    </row>
    <row r="39" customFormat="false" ht="15" hidden="false" customHeight="false" outlineLevel="0" collapsed="false">
      <c r="A39" s="4" t="s">
        <v>164</v>
      </c>
      <c r="B39" s="19" t="n">
        <f aca="false">IF(B$6=0,0,B19/B$6)</f>
        <v>0.0578371711683265</v>
      </c>
      <c r="C39" s="19" t="n">
        <f aca="false">IF(C$6=0,0,C19/C$6)</f>
        <v>0.0642635235203628</v>
      </c>
      <c r="D39" s="19" t="n">
        <f aca="false">IF(D$6=0,0,D19/D$6)</f>
        <v>0.0590175216003332</v>
      </c>
      <c r="E39" s="19" t="n">
        <f aca="false">IF(E$6=0,0,E19/E$6)</f>
        <v>0.0578371711683265</v>
      </c>
    </row>
    <row r="40" customFormat="false" ht="15" hidden="false" customHeight="false" outlineLevel="0" collapsed="false">
      <c r="A40" s="4" t="s">
        <v>165</v>
      </c>
      <c r="B40" s="19" t="n">
        <f aca="false">IF(B$6=0,0,B20/B$6)</f>
        <v>0.0196356345058995</v>
      </c>
      <c r="C40" s="19" t="n">
        <f aca="false">IF(C$6=0,0,C20/C$6)</f>
        <v>0.0140395938954439</v>
      </c>
      <c r="D40" s="19" t="n">
        <f aca="false">IF(D$6=0,0,D20/D$6)</f>
        <v>0.0186077903121423</v>
      </c>
      <c r="E40" s="19" t="n">
        <f aca="false">IF(E$6=0,0,E20/E$6)</f>
        <v>0.0196356345058995</v>
      </c>
    </row>
    <row r="41" customFormat="false" ht="15" hidden="false" customHeight="false" outlineLevel="0" collapsed="false">
      <c r="A41" s="4" t="s">
        <v>121</v>
      </c>
      <c r="B41" s="19" t="n">
        <f aca="false">IF(B$6=0,0,B21/B$6)</f>
        <v>0.025</v>
      </c>
      <c r="C41" s="19" t="n">
        <f aca="false">IF(C$6=0,0,C21/C$6)</f>
        <v>0.025</v>
      </c>
      <c r="D41" s="19" t="n">
        <f aca="false">IF(D$6=0,0,D21/D$6)</f>
        <v>0.025</v>
      </c>
      <c r="E41" s="19" t="n">
        <f aca="false">IF(E$6=0,0,E21/E$6)</f>
        <v>0.025</v>
      </c>
    </row>
    <row r="42" customFormat="false" ht="15" hidden="false" customHeight="false" outlineLevel="0" collapsed="false">
      <c r="A42" s="14" t="s">
        <v>22</v>
      </c>
      <c r="B42" s="17" t="n">
        <f aca="false">IF(B$6=0,0,B22/B$6)</f>
        <v>0.127527194325774</v>
      </c>
      <c r="C42" s="17" t="n">
        <f aca="false">IF(C$6=0,0,C22/C$6)</f>
        <v>0.126696882584193</v>
      </c>
      <c r="D42" s="17" t="n">
        <f aca="false">IF(D$6=0,0,D22/D$6)</f>
        <v>0.146374688087525</v>
      </c>
      <c r="E42" s="17" t="n">
        <f aca="false">IF(E$6=0,0,E22/E$6)</f>
        <v>0.165527194325774</v>
      </c>
    </row>
    <row r="43" customFormat="false" ht="15" hidden="false" customHeight="false" outlineLevel="0" collapsed="false">
      <c r="A43" s="4" t="s">
        <v>167</v>
      </c>
      <c r="B43" s="19" t="n">
        <f aca="false">IF(B$6=0,0,B23/B$6)</f>
        <v>0.0451581516629576</v>
      </c>
      <c r="C43" s="19" t="n">
        <f aca="false">IF(C$6=0,0,C23/C$6)</f>
        <v>0.0501757240699529</v>
      </c>
      <c r="D43" s="19" t="n">
        <f aca="false">IF(D$6=0,0,D23/D$6)</f>
        <v>0.0460797465948547</v>
      </c>
      <c r="E43" s="19" t="n">
        <f aca="false">IF(E$6=0,0,E23/E$6)</f>
        <v>0.0451581516629576</v>
      </c>
    </row>
    <row r="44" customFormat="false" ht="15" hidden="false" customHeight="false" outlineLevel="0" collapsed="false">
      <c r="A44" s="16" t="s">
        <v>23</v>
      </c>
      <c r="B44" s="17" t="n">
        <f aca="false">IF(B$6=0,0,B24/B$6)</f>
        <v>0.0823690426628164</v>
      </c>
      <c r="C44" s="17" t="n">
        <f aca="false">IF(C$6=0,0,C24/C$6)</f>
        <v>0.0765211585142404</v>
      </c>
      <c r="D44" s="17" t="n">
        <f aca="false">IF(D$6=0,0,D24/D$6)</f>
        <v>0.10029494149267</v>
      </c>
      <c r="E44" s="17" t="n">
        <f aca="false">IF(E$6=0,0,E24/E$6)</f>
        <v>0.120369042662816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3"/>
    <col collapsed="false" customWidth="true" hidden="false" outlineLevel="0" max="8" min="8" style="0" width="3"/>
    <col collapsed="false" customWidth="true" hidden="false" outlineLevel="0" max="9" min="9" style="0" width="50"/>
  </cols>
  <sheetData>
    <row r="1" customFormat="false" ht="15" hidden="false" customHeight="false" outlineLevel="0" collapsed="false">
      <c r="A1" s="24" t="s">
        <v>170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171</v>
      </c>
    </row>
    <row r="4" customFormat="false" ht="15" hidden="false" customHeight="false" outlineLevel="0" collapsed="false">
      <c r="A4" s="3" t="s">
        <v>172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135</v>
      </c>
      <c r="B5" s="9" t="n">
        <f aca="false">経費前提!$B$30</f>
        <v>10</v>
      </c>
    </row>
    <row r="6" customFormat="false" ht="15" hidden="false" customHeight="false" outlineLevel="0" collapsed="false">
      <c r="A6" s="4" t="s">
        <v>137</v>
      </c>
      <c r="B6" s="9" t="n">
        <f aca="false">経費前提!$B$31</f>
        <v>194</v>
      </c>
    </row>
    <row r="7" customFormat="false" ht="15" hidden="false" customHeight="false" outlineLevel="0" collapsed="false">
      <c r="A7" s="4" t="s">
        <v>138</v>
      </c>
      <c r="B7" s="9" t="n">
        <f aca="false">経費前提!$B$32</f>
        <v>4</v>
      </c>
    </row>
    <row r="8" customFormat="false" ht="15" hidden="false" customHeight="false" outlineLevel="0" collapsed="false">
      <c r="A8" s="4" t="s">
        <v>139</v>
      </c>
      <c r="B8" s="9" t="n">
        <f aca="false">経費前提!$B$33</f>
        <v>39</v>
      </c>
    </row>
    <row r="9" customFormat="false" ht="15" hidden="false" customHeight="false" outlineLevel="0" collapsed="false">
      <c r="A9" s="16" t="s">
        <v>141</v>
      </c>
      <c r="B9" s="15" t="n">
        <f aca="false">経費前提!$B$34</f>
        <v>247</v>
      </c>
    </row>
    <row r="10" customFormat="false" ht="15" hidden="false" customHeight="false" outlineLevel="0" collapsed="false">
      <c r="A10" s="4" t="s">
        <v>173</v>
      </c>
      <c r="B10" s="9" t="n">
        <f aca="false">経費前提!$B$42</f>
        <v>138.9</v>
      </c>
    </row>
    <row r="11" customFormat="false" ht="15" hidden="false" customHeight="false" outlineLevel="0" collapsed="false">
      <c r="A11" s="16" t="s">
        <v>151</v>
      </c>
      <c r="B11" s="15" t="n">
        <f aca="false">経費前提!$B$43</f>
        <v>108.1</v>
      </c>
    </row>
    <row r="12" customFormat="false" ht="15" hidden="false" customHeight="false" outlineLevel="0" collapsed="false">
      <c r="A12" s="4" t="s">
        <v>153</v>
      </c>
      <c r="B12" s="9" t="n">
        <f aca="false">経費前提!$B$44</f>
        <v>15.6</v>
      </c>
    </row>
    <row r="14" customFormat="false" ht="15" hidden="false" customHeight="false" outlineLevel="0" collapsed="false">
      <c r="A14" s="3" t="s">
        <v>174</v>
      </c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10" t="s">
        <v>14</v>
      </c>
      <c r="B15" s="11" t="s">
        <v>175</v>
      </c>
      <c r="C15" s="12" t="s">
        <v>16</v>
      </c>
      <c r="D15" s="12" t="s">
        <v>17</v>
      </c>
      <c r="E15" s="12" t="s">
        <v>176</v>
      </c>
      <c r="F15" s="12" t="s">
        <v>177</v>
      </c>
      <c r="G15" s="12" t="s">
        <v>178</v>
      </c>
    </row>
    <row r="16" customFormat="false" ht="15" hidden="false" customHeight="false" outlineLevel="0" collapsed="false">
      <c r="A16" s="13" t="s">
        <v>22</v>
      </c>
      <c r="B16" s="20" t="n">
        <v>0</v>
      </c>
      <c r="C16" s="9" t="n">
        <f aca="false">単店PL!C22</f>
        <v>52.52131796</v>
      </c>
      <c r="D16" s="9" t="n">
        <f aca="false">単店PL!D22</f>
        <v>66.0722711648</v>
      </c>
      <c r="E16" s="9" t="n">
        <f aca="false">単店PL!E22</f>
        <v>76.24239512</v>
      </c>
      <c r="F16" s="9" t="n">
        <f aca="false">単店PL!E22</f>
        <v>76.24239512</v>
      </c>
      <c r="G16" s="9" t="n">
        <f aca="false">単店PL!E22</f>
        <v>76.24239512</v>
      </c>
    </row>
    <row r="17" customFormat="false" ht="15" hidden="false" customHeight="false" outlineLevel="0" collapsed="false">
      <c r="A17" s="4" t="s">
        <v>151</v>
      </c>
      <c r="B17" s="20" t="n">
        <f aca="false">-経費前提!$B$43</f>
        <v>-108.1</v>
      </c>
      <c r="C17" s="20" t="n">
        <v>0</v>
      </c>
      <c r="D17" s="20" t="n">
        <v>0</v>
      </c>
      <c r="E17" s="20" t="n">
        <v>0</v>
      </c>
      <c r="F17" s="20" t="n">
        <v>0</v>
      </c>
      <c r="G17" s="20" t="n">
        <v>0</v>
      </c>
    </row>
    <row r="18" customFormat="false" ht="15" hidden="false" customHeight="false" outlineLevel="0" collapsed="false">
      <c r="A18" s="4" t="s">
        <v>179</v>
      </c>
      <c r="B18" s="20" t="n">
        <v>0</v>
      </c>
      <c r="C18" s="20" t="n">
        <f aca="false">-経費前提!$B$44</f>
        <v>-15.6</v>
      </c>
      <c r="D18" s="20" t="n">
        <f aca="false">-経費前提!$B$44</f>
        <v>-15.6</v>
      </c>
      <c r="E18" s="20" t="n">
        <f aca="false">-経費前提!$B$44</f>
        <v>-15.6</v>
      </c>
      <c r="F18" s="20" t="n">
        <f aca="false">-経費前提!$B$44</f>
        <v>-15.6</v>
      </c>
      <c r="G18" s="20" t="n">
        <f aca="false">-経費前提!$B$44</f>
        <v>-15.6</v>
      </c>
    </row>
    <row r="19" customFormat="false" ht="15" hidden="false" customHeight="false" outlineLevel="0" collapsed="false">
      <c r="A19" s="16" t="s">
        <v>180</v>
      </c>
      <c r="B19" s="22" t="n">
        <f aca="false">B16+B17+B18</f>
        <v>-108.1</v>
      </c>
      <c r="C19" s="22" t="n">
        <f aca="false">C16+C17+C18</f>
        <v>36.92131796</v>
      </c>
      <c r="D19" s="22" t="n">
        <f aca="false">D16+D17+D18</f>
        <v>50.4722711648</v>
      </c>
      <c r="E19" s="22" t="n">
        <f aca="false">E16+E17+E18</f>
        <v>60.64239512</v>
      </c>
      <c r="F19" s="22" t="n">
        <f aca="false">F16+F17+F18</f>
        <v>60.64239512</v>
      </c>
      <c r="G19" s="22" t="n">
        <f aca="false">G16+G17+G18</f>
        <v>60.64239512</v>
      </c>
    </row>
    <row r="20" customFormat="false" ht="15" hidden="false" customHeight="false" outlineLevel="0" collapsed="false">
      <c r="A20" s="16" t="s">
        <v>181</v>
      </c>
      <c r="B20" s="45" t="n">
        <f aca="false">B19</f>
        <v>-108.1</v>
      </c>
      <c r="C20" s="45" t="n">
        <f aca="false">B20+C19</f>
        <v>-71.17868204</v>
      </c>
      <c r="D20" s="45" t="n">
        <f aca="false">C20+D19</f>
        <v>-20.7064108752</v>
      </c>
      <c r="E20" s="45" t="n">
        <f aca="false">D20+E19</f>
        <v>39.9359842448</v>
      </c>
      <c r="F20" s="45" t="n">
        <f aca="false">E20+F19</f>
        <v>100.5783793648</v>
      </c>
      <c r="G20" s="45" t="n">
        <f aca="false">F20+G19</f>
        <v>161.2207744848</v>
      </c>
    </row>
    <row r="22" customFormat="false" ht="15" hidden="false" customHeight="false" outlineLevel="0" collapsed="false">
      <c r="A22" s="23" t="s">
        <v>182</v>
      </c>
    </row>
    <row r="23" customFormat="false" ht="15" hidden="false" customHeight="false" outlineLevel="0" collapsed="false">
      <c r="A23" s="2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  <col collapsed="false" customWidth="true" hidden="false" outlineLevel="0" max="8" min="8" style="0" width="3"/>
    <col collapsed="false" customWidth="true" hidden="false" outlineLevel="0" max="9" min="9" style="0" width="46"/>
  </cols>
  <sheetData>
    <row r="1" customFormat="false" ht="15" hidden="false" customHeight="false" outlineLevel="0" collapsed="false">
      <c r="A1" s="24" t="s">
        <v>184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185</v>
      </c>
    </row>
    <row r="4" customFormat="false" ht="15" hidden="false" customHeight="false" outlineLevel="0" collapsed="false">
      <c r="A4" s="3" t="s">
        <v>186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32" t="s">
        <v>187</v>
      </c>
      <c r="B5" s="52" t="n">
        <v>0.6</v>
      </c>
      <c r="C5" s="52" t="n">
        <v>0.7</v>
      </c>
      <c r="D5" s="52" t="n">
        <v>0.8</v>
      </c>
      <c r="E5" s="52" t="n">
        <v>0.9</v>
      </c>
      <c r="F5" s="52" t="n">
        <v>1</v>
      </c>
    </row>
    <row r="6" customFormat="false" ht="15" hidden="false" customHeight="false" outlineLevel="0" collapsed="false">
      <c r="A6" s="21" t="n">
        <v>0.6</v>
      </c>
      <c r="B6" s="20" t="n">
        <f aca="false">((売上前提!$C$20*$A6*売上前提!$E$20*売上前提!$H$20+売上前提!$C$22*$A6*売上前提!$E$22*売上前提!$H$22+売上前提!$C$24*$A6*B$5*売上前提!$H$24)+(売上前提!$J$21+売上前提!$J$23+売上前提!$J$25))*売上前提!$B$5/1000000</f>
        <v>324.77973</v>
      </c>
      <c r="C6" s="20" t="n">
        <f aca="false">((売上前提!$C$20*$A6*売上前提!$E$20*売上前提!$H$20+売上前提!$C$22*$A6*売上前提!$E$22*売上前提!$H$22+売上前提!$C$24*$A6*C$5*売上前提!$H$24)+(売上前提!$J$21+売上前提!$J$23+売上前提!$J$25))*売上前提!$B$5/1000000</f>
        <v>347.97543</v>
      </c>
      <c r="D6" s="20" t="n">
        <f aca="false">((売上前提!$C$20*$A6*売上前提!$E$20*売上前提!$H$20+売上前提!$C$22*$A6*売上前提!$E$22*売上前提!$H$22+売上前提!$C$24*$A6*D$5*売上前提!$H$24)+(売上前提!$J$21+売上前提!$J$23+売上前提!$J$25))*売上前提!$B$5/1000000</f>
        <v>371.17113</v>
      </c>
      <c r="E6" s="20" t="n">
        <f aca="false">((売上前提!$C$20*$A6*売上前提!$E$20*売上前提!$H$20+売上前提!$C$22*$A6*売上前提!$E$22*売上前提!$H$22+売上前提!$C$24*$A6*E$5*売上前提!$H$24)+(売上前提!$J$21+売上前提!$J$23+売上前提!$J$25))*売上前提!$B$5/1000000</f>
        <v>394.36683</v>
      </c>
      <c r="F6" s="20" t="n">
        <f aca="false">((売上前提!$C$20*$A6*売上前提!$E$20*売上前提!$H$20+売上前提!$C$22*$A6*売上前提!$E$22*売上前提!$H$22+売上前提!$C$24*$A6*F$5*売上前提!$H$24)+(売上前提!$J$21+売上前提!$J$23+売上前提!$J$25))*売上前提!$B$5/1000000</f>
        <v>417.56253</v>
      </c>
    </row>
    <row r="7" customFormat="false" ht="15" hidden="false" customHeight="false" outlineLevel="0" collapsed="false">
      <c r="A7" s="21" t="n">
        <v>0.7</v>
      </c>
      <c r="B7" s="20" t="n">
        <f aca="false">((売上前提!$C$20*$A7*売上前提!$E$20*売上前提!$H$20+売上前提!$C$22*$A7*売上前提!$E$22*売上前提!$H$22+売上前提!$C$24*$A7*B$5*売上前提!$H$24)+(売上前提!$J$21+売上前提!$J$23+売上前提!$J$25))*売上前提!$B$5/1000000</f>
        <v>361.763985</v>
      </c>
      <c r="C7" s="20" t="n">
        <f aca="false">((売上前提!$C$20*$A7*売上前提!$E$20*売上前提!$H$20+売上前提!$C$22*$A7*売上前提!$E$22*売上前提!$H$22+売上前提!$C$24*$A7*C$5*売上前提!$H$24)+(売上前提!$J$21+売上前提!$J$23+売上前提!$J$25))*売上前提!$B$5/1000000</f>
        <v>388.825635</v>
      </c>
      <c r="D7" s="20" t="n">
        <f aca="false">((売上前提!$C$20*$A7*売上前提!$E$20*売上前提!$H$20+売上前提!$C$22*$A7*売上前提!$E$22*売上前提!$H$22+売上前提!$C$24*$A7*D$5*売上前提!$H$24)+(売上前提!$J$21+売上前提!$J$23+売上前提!$J$25))*売上前提!$B$5/1000000</f>
        <v>415.887285</v>
      </c>
      <c r="E7" s="20" t="n">
        <f aca="false">((売上前提!$C$20*$A7*売上前提!$E$20*売上前提!$H$20+売上前提!$C$22*$A7*売上前提!$E$22*売上前提!$H$22+売上前提!$C$24*$A7*E$5*売上前提!$H$24)+(売上前提!$J$21+売上前提!$J$23+売上前提!$J$25))*売上前提!$B$5/1000000</f>
        <v>442.948935</v>
      </c>
      <c r="F7" s="20" t="n">
        <f aca="false">((売上前提!$C$20*$A7*売上前提!$E$20*売上前提!$H$20+売上前提!$C$22*$A7*売上前提!$E$22*売上前提!$H$22+売上前提!$C$24*$A7*F$5*売上前提!$H$24)+(売上前提!$J$21+売上前提!$J$23+売上前提!$J$25))*売上前提!$B$5/1000000</f>
        <v>470.010585</v>
      </c>
    </row>
    <row r="8" customFormat="false" ht="15" hidden="false" customHeight="false" outlineLevel="0" collapsed="false">
      <c r="A8" s="21" t="n">
        <v>0.8</v>
      </c>
      <c r="B8" s="20" t="n">
        <f aca="false">((売上前提!$C$20*$A8*売上前提!$E$20*売上前提!$H$20+売上前提!$C$22*$A8*売上前提!$E$22*売上前提!$H$22+売上前提!$C$24*$A8*B$5*売上前提!$H$24)+(売上前提!$J$21+売上前提!$J$23+売上前提!$J$25))*売上前提!$B$5/1000000</f>
        <v>398.74824</v>
      </c>
      <c r="C8" s="20" t="n">
        <f aca="false">((売上前提!$C$20*$A8*売上前提!$E$20*売上前提!$H$20+売上前提!$C$22*$A8*売上前提!$E$22*売上前提!$H$22+売上前提!$C$24*$A8*C$5*売上前提!$H$24)+(売上前提!$J$21+売上前提!$J$23+売上前提!$J$25))*売上前提!$B$5/1000000</f>
        <v>429.67584</v>
      </c>
      <c r="D8" s="53" t="n">
        <f aca="false">((売上前提!$C$20*$A8*売上前提!$E$20*売上前提!$H$20+売上前提!$C$22*$A8*売上前提!$E$22*売上前提!$H$22+売上前提!$C$24*$A8*D$5*売上前提!$H$24)+(売上前提!$J$21+売上前提!$J$23+売上前提!$J$25))*売上前提!$B$5/1000000</f>
        <v>460.60344</v>
      </c>
      <c r="E8" s="20" t="n">
        <f aca="false">((売上前提!$C$20*$A8*売上前提!$E$20*売上前提!$H$20+売上前提!$C$22*$A8*売上前提!$E$22*売上前提!$H$22+売上前提!$C$24*$A8*E$5*売上前提!$H$24)+(売上前提!$J$21+売上前提!$J$23+売上前提!$J$25))*売上前提!$B$5/1000000</f>
        <v>491.53104</v>
      </c>
      <c r="F8" s="20" t="n">
        <f aca="false">((売上前提!$C$20*$A8*売上前提!$E$20*売上前提!$H$20+売上前提!$C$22*$A8*売上前提!$E$22*売上前提!$H$22+売上前提!$C$24*$A8*F$5*売上前提!$H$24)+(売上前提!$J$21+売上前提!$J$23+売上前提!$J$25))*売上前提!$B$5/1000000</f>
        <v>522.45864</v>
      </c>
    </row>
    <row r="9" customFormat="false" ht="15" hidden="false" customHeight="false" outlineLevel="0" collapsed="false">
      <c r="A9" s="21" t="n">
        <v>0.9</v>
      </c>
      <c r="B9" s="20" t="n">
        <f aca="false">((売上前提!$C$20*$A9*売上前提!$E$20*売上前提!$H$20+売上前提!$C$22*$A9*売上前提!$E$22*売上前提!$H$22+売上前提!$C$24*$A9*B$5*売上前提!$H$24)+(売上前提!$J$21+売上前提!$J$23+売上前提!$J$25))*売上前提!$B$5/1000000</f>
        <v>435.732495</v>
      </c>
      <c r="C9" s="20" t="n">
        <f aca="false">((売上前提!$C$20*$A9*売上前提!$E$20*売上前提!$H$20+売上前提!$C$22*$A9*売上前提!$E$22*売上前提!$H$22+売上前提!$C$24*$A9*C$5*売上前提!$H$24)+(売上前提!$J$21+売上前提!$J$23+売上前提!$J$25))*売上前提!$B$5/1000000</f>
        <v>470.526045</v>
      </c>
      <c r="D9" s="20" t="n">
        <f aca="false">((売上前提!$C$20*$A9*売上前提!$E$20*売上前提!$H$20+売上前提!$C$22*$A9*売上前提!$E$22*売上前提!$H$22+売上前提!$C$24*$A9*D$5*売上前提!$H$24)+(売上前提!$J$21+売上前提!$J$23+売上前提!$J$25))*売上前提!$B$5/1000000</f>
        <v>505.319595</v>
      </c>
      <c r="E9" s="20" t="n">
        <f aca="false">((売上前提!$C$20*$A9*売上前提!$E$20*売上前提!$H$20+売上前提!$C$22*$A9*売上前提!$E$22*売上前提!$H$22+売上前提!$C$24*$A9*E$5*売上前提!$H$24)+(売上前提!$J$21+売上前提!$J$23+売上前提!$J$25))*売上前提!$B$5/1000000</f>
        <v>540.113145</v>
      </c>
      <c r="F9" s="20" t="n">
        <f aca="false">((売上前提!$C$20*$A9*売上前提!$E$20*売上前提!$H$20+売上前提!$C$22*$A9*売上前提!$E$22*売上前提!$H$22+売上前提!$C$24*$A9*F$5*売上前提!$H$24)+(売上前提!$J$21+売上前提!$J$23+売上前提!$J$25))*売上前提!$B$5/1000000</f>
        <v>574.906695</v>
      </c>
    </row>
    <row r="10" customFormat="false" ht="15" hidden="false" customHeight="false" outlineLevel="0" collapsed="false">
      <c r="A10" s="21" t="n">
        <v>1</v>
      </c>
      <c r="B10" s="20" t="n">
        <f aca="false">((売上前提!$C$20*$A10*売上前提!$E$20*売上前提!$H$20+売上前提!$C$22*$A10*売上前提!$E$22*売上前提!$H$22+売上前提!$C$24*$A10*B$5*売上前提!$H$24)+(売上前提!$J$21+売上前提!$J$23+売上前提!$J$25))*売上前提!$B$5/1000000</f>
        <v>472.71675</v>
      </c>
      <c r="C10" s="20" t="n">
        <f aca="false">((売上前提!$C$20*$A10*売上前提!$E$20*売上前提!$H$20+売上前提!$C$22*$A10*売上前提!$E$22*売上前提!$H$22+売上前提!$C$24*$A10*C$5*売上前提!$H$24)+(売上前提!$J$21+売上前提!$J$23+売上前提!$J$25))*売上前提!$B$5/1000000</f>
        <v>511.37625</v>
      </c>
      <c r="D10" s="20" t="n">
        <f aca="false">((売上前提!$C$20*$A10*売上前提!$E$20*売上前提!$H$20+売上前提!$C$22*$A10*売上前提!$E$22*売上前提!$H$22+売上前提!$C$24*$A10*D$5*売上前提!$H$24)+(売上前提!$J$21+売上前提!$J$23+売上前提!$J$25))*売上前提!$B$5/1000000</f>
        <v>550.03575</v>
      </c>
      <c r="E10" s="20" t="n">
        <f aca="false">((売上前提!$C$20*$A10*売上前提!$E$20*売上前提!$H$20+売上前提!$C$22*$A10*売上前提!$E$22*売上前提!$H$22+売上前提!$C$24*$A10*E$5*売上前提!$H$24)+(売上前提!$J$21+売上前提!$J$23+売上前提!$J$25))*売上前提!$B$5/1000000</f>
        <v>588.69525</v>
      </c>
      <c r="F10" s="20" t="n">
        <f aca="false">((売上前提!$C$20*$A10*売上前提!$E$20*売上前提!$H$20+売上前提!$C$22*$A10*売上前提!$E$22*売上前提!$H$22+売上前提!$C$24*$A10*F$5*売上前提!$H$24)+(売上前提!$J$21+売上前提!$J$23+売上前提!$J$25))*売上前提!$B$5/1000000</f>
        <v>627.35475</v>
      </c>
    </row>
    <row r="12" customFormat="false" ht="15" hidden="false" customHeight="false" outlineLevel="0" collapsed="false">
      <c r="A12" s="3" t="s">
        <v>188</v>
      </c>
      <c r="B12" s="3"/>
      <c r="C12" s="3"/>
      <c r="D12" s="3"/>
      <c r="E12" s="3"/>
      <c r="F12" s="3"/>
      <c r="G12" s="3"/>
    </row>
    <row r="13" customFormat="false" ht="27.75" hidden="false" customHeight="true" outlineLevel="0" collapsed="false">
      <c r="A13" s="32" t="s">
        <v>187</v>
      </c>
      <c r="B13" s="52" t="n">
        <v>0.6</v>
      </c>
      <c r="C13" s="52" t="n">
        <v>0.7</v>
      </c>
      <c r="D13" s="52" t="n">
        <v>0.8</v>
      </c>
      <c r="E13" s="52" t="n">
        <v>0.9</v>
      </c>
      <c r="F13" s="52" t="n">
        <v>1</v>
      </c>
    </row>
    <row r="14" customFormat="false" ht="15" hidden="false" customHeight="false" outlineLevel="0" collapsed="false">
      <c r="A14" s="21" t="n">
        <v>0.6</v>
      </c>
      <c r="B14" s="20" t="n">
        <f aca="false">((((売上前提!$C$20*$A14*売上前提!$E$20*売上前提!$H$20+売上前提!$C$22*$A14*売上前提!$E$22*売上前提!$H$22+売上前提!$C$24*$A14*B$13*売上前提!$H$24)+(売上前提!$J$21+売上前提!$J$23+売上前提!$J$25))*売上前提!$B$5/1000000)*(1-経費前提!$B$20)-経費前提!$B$24-MAX(0,(((売上前提!$C$20*$A14*売上前提!$E$20*売上前提!$H$20+売上前提!$C$22*$A14*売上前提!$E$22*売上前提!$H$22+売上前提!$C$24*$A14*B$13*売上前提!$H$24)+(売上前提!$J$21+売上前提!$J$23+売上前提!$J$25))*売上前提!$B$5/1000000)-経費前提!$B$26)*経費前提!$B$25-経費前提!$B$37)</f>
        <v>19.13984465</v>
      </c>
      <c r="C14" s="20" t="n">
        <f aca="false">((((売上前提!$C$20*$A14*売上前提!$E$20*売上前提!$H$20+売上前提!$C$22*$A14*売上前提!$E$22*売上前提!$H$22+売上前提!$C$24*$A14*C$13*売上前提!$H$24)+(売上前提!$J$21+売上前提!$J$23+売上前提!$J$25))*売上前提!$B$5/1000000)*(1-経費前提!$B$20)-経費前提!$B$24-MAX(0,(((売上前提!$C$20*$A14*売上前提!$E$20*売上前提!$H$20+売上前提!$C$22*$A14*売上前提!$E$22*売上前提!$H$22+売上前提!$C$24*$A14*C$13*売上前提!$H$24)+(売上前提!$J$21+売上前提!$J$23+売上前提!$J$25))*売上前提!$B$5/1000000)-経費前提!$B$26)*経費前提!$B$25-経費前提!$B$37)</f>
        <v>22.73468305</v>
      </c>
      <c r="D14" s="20" t="n">
        <f aca="false">((((売上前提!$C$20*$A14*売上前提!$E$20*売上前提!$H$20+売上前提!$C$22*$A14*売上前提!$E$22*売上前提!$H$22+売上前提!$C$24*$A14*D$13*売上前提!$H$24)+(売上前提!$J$21+売上前提!$J$23+売上前提!$J$25))*売上前提!$B$5/1000000)*(1-経費前提!$B$20)-経費前提!$B$24-MAX(0,(((売上前提!$C$20*$A14*売上前提!$E$20*売上前提!$H$20+売上前提!$C$22*$A14*売上前提!$E$22*売上前提!$H$22+売上前提!$C$24*$A14*D$13*売上前提!$H$24)+(売上前提!$J$21+売上前提!$J$23+売上前提!$J$25))*売上前提!$B$5/1000000)-経費前提!$B$26)*経費前提!$B$25-経費前提!$B$37)</f>
        <v>25.86610255</v>
      </c>
      <c r="E14" s="20" t="n">
        <f aca="false">((((売上前提!$C$20*$A14*売上前提!$E$20*売上前提!$H$20+売上前提!$C$22*$A14*売上前提!$E$22*売上前提!$H$22+売上前提!$C$24*$A14*E$13*売上前提!$H$24)+(売上前提!$J$21+売上前提!$J$23+売上前提!$J$25))*売上前提!$B$5/1000000)*(1-経費前提!$B$20)-経費前提!$B$24-MAX(0,(((売上前提!$C$20*$A14*売上前提!$E$20*売上前提!$H$20+売上前提!$C$22*$A14*売上前提!$E$22*売上前提!$H$22+売上前提!$C$24*$A14*E$13*売上前提!$H$24)+(売上前提!$J$21+売上前提!$J$23+売上前提!$J$25))*売上前提!$B$5/1000000)-経費前提!$B$26)*経費前提!$B$25-経費前提!$B$37)</f>
        <v>28.99752205</v>
      </c>
      <c r="F14" s="20" t="n">
        <f aca="false">((((売上前提!$C$20*$A14*売上前提!$E$20*売上前提!$H$20+売上前提!$C$22*$A14*売上前提!$E$22*売上前提!$H$22+売上前提!$C$24*$A14*F$13*売上前提!$H$24)+(売上前提!$J$21+売上前提!$J$23+売上前提!$J$25))*売上前提!$B$5/1000000)*(1-経費前提!$B$20)-経費前提!$B$24-MAX(0,(((売上前提!$C$20*$A14*売上前提!$E$20*売上前提!$H$20+売上前提!$C$22*$A14*売上前提!$E$22*売上前提!$H$22+売上前提!$C$24*$A14*F$13*売上前提!$H$24)+(売上前提!$J$21+売上前提!$J$23+売上前提!$J$25))*売上前提!$B$5/1000000)-経費前提!$B$26)*経費前提!$B$25-経費前提!$B$37)</f>
        <v>32.12894155</v>
      </c>
    </row>
    <row r="15" customFormat="false" ht="15" hidden="false" customHeight="false" outlineLevel="0" collapsed="false">
      <c r="A15" s="21" t="n">
        <v>0.7</v>
      </c>
      <c r="B15" s="20" t="n">
        <f aca="false">((((売上前提!$C$20*$A15*売上前提!$E$20*売上前提!$H$20+売上前提!$C$22*$A15*売上前提!$E$22*売上前提!$H$22+売上前提!$C$24*$A15*B$13*売上前提!$H$24)+(売上前提!$J$21+売上前提!$J$23+売上前提!$J$25))*売上前提!$B$5/1000000)*(1-経費前提!$B$20)-経費前提!$B$24-MAX(0,(((売上前提!$C$20*$A15*売上前提!$E$20*売上前提!$H$20+売上前提!$C$22*$A15*売上前提!$E$22*売上前提!$H$22+売上前提!$C$24*$A15*B$13*売上前提!$H$24)+(売上前提!$J$21+売上前提!$J$23+売上前提!$J$25))*売上前提!$B$5/1000000)-経費前提!$B$26)*経費前提!$B$25-経費前提!$B$37)</f>
        <v>24.596137975</v>
      </c>
      <c r="C15" s="20" t="n">
        <f aca="false">((((売上前提!$C$20*$A15*売上前提!$E$20*売上前提!$H$20+売上前提!$C$22*$A15*売上前提!$E$22*売上前提!$H$22+売上前提!$C$24*$A15*C$13*売上前提!$H$24)+(売上前提!$J$21+売上前提!$J$23+売上前提!$J$25))*売上前提!$B$5/1000000)*(1-経費前提!$B$20)-経費前提!$B$24-MAX(0,(((売上前提!$C$20*$A15*売上前提!$E$20*売上前提!$H$20+売上前提!$C$22*$A15*売上前提!$E$22*売上前提!$H$22+売上前提!$C$24*$A15*C$13*売上前提!$H$24)+(売上前提!$J$21+売上前提!$J$23+売上前提!$J$25))*売上前提!$B$5/1000000)-経費前提!$B$26)*経費前提!$B$25-経費前提!$B$37)</f>
        <v>28.249460725</v>
      </c>
      <c r="D15" s="20" t="n">
        <f aca="false">((((売上前提!$C$20*$A15*売上前提!$E$20*売上前提!$H$20+売上前提!$C$22*$A15*売上前提!$E$22*売上前提!$H$22+売上前提!$C$24*$A15*D$13*売上前提!$H$24)+(売上前提!$J$21+売上前提!$J$23+売上前提!$J$25))*売上前提!$B$5/1000000)*(1-経費前提!$B$20)-経費前提!$B$24-MAX(0,(((売上前提!$C$20*$A15*売上前提!$E$20*売上前提!$H$20+売上前提!$C$22*$A15*売上前提!$E$22*売上前提!$H$22+売上前提!$C$24*$A15*D$13*売上前提!$H$24)+(売上前提!$J$21+売上前提!$J$23+売上前提!$J$25))*売上前提!$B$5/1000000)-経費前提!$B$26)*経費前提!$B$25-経費前提!$B$37)</f>
        <v>31.902783475</v>
      </c>
      <c r="E15" s="20" t="n">
        <f aca="false">((((売上前提!$C$20*$A15*売上前提!$E$20*売上前提!$H$20+売上前提!$C$22*$A15*売上前提!$E$22*売上前提!$H$22+売上前提!$C$24*$A15*E$13*売上前提!$H$24)+(売上前提!$J$21+売上前提!$J$23+売上前提!$J$25))*売上前提!$B$5/1000000)*(1-経費前提!$B$20)-経費前提!$B$24-MAX(0,(((売上前提!$C$20*$A15*売上前提!$E$20*売上前提!$H$20+売上前提!$C$22*$A15*売上前提!$E$22*売上前提!$H$22+売上前提!$C$24*$A15*E$13*売上前提!$H$24)+(売上前提!$J$21+売上前提!$J$23+売上前提!$J$25))*売上前提!$B$5/1000000)-経費前提!$B$26)*経費前提!$B$25-経費前提!$B$37)</f>
        <v>35.556106225</v>
      </c>
      <c r="F15" s="20" t="n">
        <f aca="false">((((売上前提!$C$20*$A15*売上前提!$E$20*売上前提!$H$20+売上前提!$C$22*$A15*売上前提!$E$22*売上前提!$H$22+売上前提!$C$24*$A15*F$13*売上前提!$H$24)+(売上前提!$J$21+売上前提!$J$23+売上前提!$J$25))*売上前提!$B$5/1000000)*(1-経費前提!$B$20)-経費前提!$B$24-MAX(0,(((売上前提!$C$20*$A15*売上前提!$E$20*売上前提!$H$20+売上前提!$C$22*$A15*売上前提!$E$22*売上前提!$H$22+売上前提!$C$24*$A15*F$13*売上前提!$H$24)+(売上前提!$J$21+売上前提!$J$23+売上前提!$J$25))*売上前提!$B$5/1000000)-経費前提!$B$26)*経費前提!$B$25-経費前提!$B$37)</f>
        <v>39.209428975</v>
      </c>
    </row>
    <row r="16" customFormat="false" ht="15" hidden="false" customHeight="false" outlineLevel="0" collapsed="false">
      <c r="A16" s="21" t="n">
        <v>0.8</v>
      </c>
      <c r="B16" s="20" t="n">
        <f aca="false">((((売上前提!$C$20*$A16*売上前提!$E$20*売上前提!$H$20+売上前提!$C$22*$A16*売上前提!$E$22*売上前提!$H$22+売上前提!$C$24*$A16*B$13*売上前提!$H$24)+(売上前提!$J$21+売上前提!$J$23+売上前提!$J$25))*売上前提!$B$5/1000000)*(1-経費前提!$B$20)-経費前提!$B$24-MAX(0,(((売上前提!$C$20*$A16*売上前提!$E$20*売上前提!$H$20+売上前提!$C$22*$A16*売上前提!$E$22*売上前提!$H$22+売上前提!$C$24*$A16*B$13*売上前提!$H$24)+(売上前提!$J$21+売上前提!$J$23+売上前提!$J$25))*売上前提!$B$5/1000000)-経費前提!$B$26)*経費前提!$B$25-経費前提!$B$37)</f>
        <v>29.5890124</v>
      </c>
      <c r="C16" s="20" t="n">
        <f aca="false">((((売上前提!$C$20*$A16*売上前提!$E$20*売上前提!$H$20+売上前提!$C$22*$A16*売上前提!$E$22*売上前提!$H$22+売上前提!$C$24*$A16*C$13*売上前提!$H$24)+(売上前提!$J$21+売上前提!$J$23+売上前提!$J$25))*売上前提!$B$5/1000000)*(1-経費前提!$B$20)-経費前提!$B$24-MAX(0,(((売上前提!$C$20*$A16*売上前提!$E$20*売上前提!$H$20+売上前提!$C$22*$A16*売上前提!$E$22*売上前提!$H$22+売上前提!$C$24*$A16*C$13*売上前提!$H$24)+(売上前提!$J$21+売上前提!$J$23+売上前提!$J$25))*売上前提!$B$5/1000000)-経費前提!$B$26)*経費前提!$B$25-経費前提!$B$37)</f>
        <v>33.7642384</v>
      </c>
      <c r="D16" s="53" t="n">
        <f aca="false">((((売上前提!$C$20*$A16*売上前提!$E$20*売上前提!$H$20+売上前提!$C$22*$A16*売上前提!$E$22*売上前提!$H$22+売上前提!$C$24*$A16*D$13*売上前提!$H$24)+(売上前提!$J$21+売上前提!$J$23+売上前提!$J$25))*売上前提!$B$5/1000000)*(1-経費前提!$B$20)-経費前提!$B$24-MAX(0,(((売上前提!$C$20*$A16*売上前提!$E$20*売上前提!$H$20+売上前提!$C$22*$A16*売上前提!$E$22*売上前提!$H$22+売上前提!$C$24*$A16*D$13*売上前提!$H$24)+(売上前提!$J$21+売上前提!$J$23+売上前提!$J$25))*売上前提!$B$5/1000000)-経費前提!$B$26)*経費前提!$B$25-経費前提!$B$37)</f>
        <v>37.9394644</v>
      </c>
      <c r="E16" s="20" t="n">
        <f aca="false">((((売上前提!$C$20*$A16*売上前提!$E$20*売上前提!$H$20+売上前提!$C$22*$A16*売上前提!$E$22*売上前提!$H$22+売上前提!$C$24*$A16*E$13*売上前提!$H$24)+(売上前提!$J$21+売上前提!$J$23+売上前提!$J$25))*売上前提!$B$5/1000000)*(1-経費前提!$B$20)-経費前提!$B$24-MAX(0,(((売上前提!$C$20*$A16*売上前提!$E$20*売上前提!$H$20+売上前提!$C$22*$A16*売上前提!$E$22*売上前提!$H$22+売上前提!$C$24*$A16*E$13*売上前提!$H$24)+(売上前提!$J$21+売上前提!$J$23+売上前提!$J$25))*売上前提!$B$5/1000000)-経費前提!$B$26)*経費前提!$B$25-経費前提!$B$37)</f>
        <v>42.1146904</v>
      </c>
      <c r="F16" s="20" t="n">
        <f aca="false">((((売上前提!$C$20*$A16*売上前提!$E$20*売上前提!$H$20+売上前提!$C$22*$A16*売上前提!$E$22*売上前提!$H$22+売上前提!$C$24*$A16*F$13*売上前提!$H$24)+(売上前提!$J$21+売上前提!$J$23+売上前提!$J$25))*売上前提!$B$5/1000000)*(1-経費前提!$B$20)-経費前提!$B$24-MAX(0,(((売上前提!$C$20*$A16*売上前提!$E$20*売上前提!$H$20+売上前提!$C$22*$A16*売上前提!$E$22*売上前提!$H$22+売上前提!$C$24*$A16*F$13*売上前提!$H$24)+(売上前提!$J$21+売上前提!$J$23+売上前提!$J$25))*売上前提!$B$5/1000000)-経費前提!$B$26)*経費前提!$B$25-経費前提!$B$37)</f>
        <v>46.2899164</v>
      </c>
    </row>
    <row r="17" customFormat="false" ht="15" hidden="false" customHeight="false" outlineLevel="0" collapsed="false">
      <c r="A17" s="21" t="n">
        <v>0.9</v>
      </c>
      <c r="B17" s="20" t="n">
        <f aca="false">((((売上前提!$C$20*$A17*売上前提!$E$20*売上前提!$H$20+売上前提!$C$22*$A17*売上前提!$E$22*売上前提!$H$22+売上前提!$C$24*$A17*B$13*売上前提!$H$24)+(売上前提!$J$21+売上前提!$J$23+売上前提!$J$25))*売上前提!$B$5/1000000)*(1-経費前提!$B$20)-経費前提!$B$24-MAX(0,(((売上前提!$C$20*$A17*売上前提!$E$20*売上前提!$H$20+売上前提!$C$22*$A17*売上前提!$E$22*売上前提!$H$22+売上前提!$C$24*$A17*B$13*売上前提!$H$24)+(売上前提!$J$21+売上前提!$J$23+売上前提!$J$25))*売上前提!$B$5/1000000)-経費前提!$B$26)*経費前提!$B$25-経費前提!$B$37)</f>
        <v>34.581886825</v>
      </c>
      <c r="C17" s="20" t="n">
        <f aca="false">((((売上前提!$C$20*$A17*売上前提!$E$20*売上前提!$H$20+売上前提!$C$22*$A17*売上前提!$E$22*売上前提!$H$22+売上前提!$C$24*$A17*C$13*売上前提!$H$24)+(売上前提!$J$21+売上前提!$J$23+売上前提!$J$25))*売上前提!$B$5/1000000)*(1-経費前提!$B$20)-経費前提!$B$24-MAX(0,(((売上前提!$C$20*$A17*売上前提!$E$20*売上前提!$H$20+売上前提!$C$22*$A17*売上前提!$E$22*売上前提!$H$22+売上前提!$C$24*$A17*C$13*売上前提!$H$24)+(売上前提!$J$21+売上前提!$J$23+売上前提!$J$25))*売上前提!$B$5/1000000)-経費前提!$B$26)*経費前提!$B$25-経費前提!$B$37)</f>
        <v>39.279016075</v>
      </c>
      <c r="D17" s="20" t="n">
        <f aca="false">((((売上前提!$C$20*$A17*売上前提!$E$20*売上前提!$H$20+売上前提!$C$22*$A17*売上前提!$E$22*売上前提!$H$22+売上前提!$C$24*$A17*D$13*売上前提!$H$24)+(売上前提!$J$21+売上前提!$J$23+売上前提!$J$25))*売上前提!$B$5/1000000)*(1-経費前提!$B$20)-経費前提!$B$24-MAX(0,(((売上前提!$C$20*$A17*売上前提!$E$20*売上前提!$H$20+売上前提!$C$22*$A17*売上前提!$E$22*売上前提!$H$22+売上前提!$C$24*$A17*D$13*売上前提!$H$24)+(売上前提!$J$21+売上前提!$J$23+売上前提!$J$25))*売上前提!$B$5/1000000)-経費前提!$B$26)*経費前提!$B$25-経費前提!$B$37)</f>
        <v>43.976145325</v>
      </c>
      <c r="E17" s="20" t="n">
        <f aca="false">((((売上前提!$C$20*$A17*売上前提!$E$20*売上前提!$H$20+売上前提!$C$22*$A17*売上前提!$E$22*売上前提!$H$22+売上前提!$C$24*$A17*E$13*売上前提!$H$24)+(売上前提!$J$21+売上前提!$J$23+売上前提!$J$25))*売上前提!$B$5/1000000)*(1-経費前提!$B$20)-経費前提!$B$24-MAX(0,(((売上前提!$C$20*$A17*売上前提!$E$20*売上前提!$H$20+売上前提!$C$22*$A17*売上前提!$E$22*売上前提!$H$22+売上前提!$C$24*$A17*E$13*売上前提!$H$24)+(売上前提!$J$21+売上前提!$J$23+売上前提!$J$25))*売上前提!$B$5/1000000)-経費前提!$B$26)*経費前提!$B$25-経費前提!$B$37)</f>
        <v>48.673274575</v>
      </c>
      <c r="F17" s="20" t="n">
        <f aca="false">((((売上前提!$C$20*$A17*売上前提!$E$20*売上前提!$H$20+売上前提!$C$22*$A17*売上前提!$E$22*売上前提!$H$22+売上前提!$C$24*$A17*F$13*売上前提!$H$24)+(売上前提!$J$21+売上前提!$J$23+売上前提!$J$25))*売上前提!$B$5/1000000)*(1-経費前提!$B$20)-経費前提!$B$24-MAX(0,(((売上前提!$C$20*$A17*売上前提!$E$20*売上前提!$H$20+売上前提!$C$22*$A17*売上前提!$E$22*売上前提!$H$22+売上前提!$C$24*$A17*F$13*売上前提!$H$24)+(売上前提!$J$21+売上前提!$J$23+売上前提!$J$25))*売上前提!$B$5/1000000)-経費前提!$B$26)*経費前提!$B$25-経費前提!$B$37)</f>
        <v>53.370403825</v>
      </c>
    </row>
    <row r="18" customFormat="false" ht="15" hidden="false" customHeight="false" outlineLevel="0" collapsed="false">
      <c r="A18" s="21" t="n">
        <v>1</v>
      </c>
      <c r="B18" s="20" t="n">
        <f aca="false">((((売上前提!$C$20*$A18*売上前提!$E$20*売上前提!$H$20+売上前提!$C$22*$A18*売上前提!$E$22*売上前提!$H$22+売上前提!$C$24*$A18*B$13*売上前提!$H$24)+(売上前提!$J$21+売上前提!$J$23+売上前提!$J$25))*売上前提!$B$5/1000000)*(1-経費前提!$B$20)-経費前提!$B$24-MAX(0,(((売上前提!$C$20*$A18*売上前提!$E$20*売上前提!$H$20+売上前提!$C$22*$A18*売上前提!$E$22*売上前提!$H$22+売上前提!$C$24*$A18*B$13*売上前提!$H$24)+(売上前提!$J$21+売上前提!$J$23+売上前提!$J$25))*売上前提!$B$5/1000000)-経費前提!$B$26)*経費前提!$B$25-経費前提!$B$37)</f>
        <v>39.57476125</v>
      </c>
      <c r="C18" s="20" t="n">
        <f aca="false">((((売上前提!$C$20*$A18*売上前提!$E$20*売上前提!$H$20+売上前提!$C$22*$A18*売上前提!$E$22*売上前提!$H$22+売上前提!$C$24*$A18*C$13*売上前提!$H$24)+(売上前提!$J$21+売上前提!$J$23+売上前提!$J$25))*売上前提!$B$5/1000000)*(1-経費前提!$B$20)-経費前提!$B$24-MAX(0,(((売上前提!$C$20*$A18*売上前提!$E$20*売上前提!$H$20+売上前提!$C$22*$A18*売上前提!$E$22*売上前提!$H$22+売上前提!$C$24*$A18*C$13*売上前提!$H$24)+(売上前提!$J$21+売上前提!$J$23+売上前提!$J$25))*売上前提!$B$5/1000000)-経費前提!$B$26)*経費前提!$B$25-経費前提!$B$37)</f>
        <v>44.79379375</v>
      </c>
      <c r="D18" s="20" t="n">
        <f aca="false">((((売上前提!$C$20*$A18*売上前提!$E$20*売上前提!$H$20+売上前提!$C$22*$A18*売上前提!$E$22*売上前提!$H$22+売上前提!$C$24*$A18*D$13*売上前提!$H$24)+(売上前提!$J$21+売上前提!$J$23+売上前提!$J$25))*売上前提!$B$5/1000000)*(1-経費前提!$B$20)-経費前提!$B$24-MAX(0,(((売上前提!$C$20*$A18*売上前提!$E$20*売上前提!$H$20+売上前提!$C$22*$A18*売上前提!$E$22*売上前提!$H$22+売上前提!$C$24*$A18*D$13*売上前提!$H$24)+(売上前提!$J$21+売上前提!$J$23+売上前提!$J$25))*売上前提!$B$5/1000000)-経費前提!$B$26)*経費前提!$B$25-経費前提!$B$37)</f>
        <v>50.01282625</v>
      </c>
      <c r="E18" s="20" t="n">
        <f aca="false">((((売上前提!$C$20*$A18*売上前提!$E$20*売上前提!$H$20+売上前提!$C$22*$A18*売上前提!$E$22*売上前提!$H$22+売上前提!$C$24*$A18*E$13*売上前提!$H$24)+(売上前提!$J$21+売上前提!$J$23+売上前提!$J$25))*売上前提!$B$5/1000000)*(1-経費前提!$B$20)-経費前提!$B$24-MAX(0,(((売上前提!$C$20*$A18*売上前提!$E$20*売上前提!$H$20+売上前提!$C$22*$A18*売上前提!$E$22*売上前提!$H$22+売上前提!$C$24*$A18*E$13*売上前提!$H$24)+(売上前提!$J$21+売上前提!$J$23+売上前提!$J$25))*売上前提!$B$5/1000000)-経費前提!$B$26)*経費前提!$B$25-経費前提!$B$37)</f>
        <v>55.23185875</v>
      </c>
      <c r="F18" s="20" t="n">
        <f aca="false">((((売上前提!$C$20*$A18*売上前提!$E$20*売上前提!$H$20+売上前提!$C$22*$A18*売上前提!$E$22*売上前提!$H$22+売上前提!$C$24*$A18*F$13*売上前提!$H$24)+(売上前提!$J$21+売上前提!$J$23+売上前提!$J$25))*売上前提!$B$5/1000000)*(1-経費前提!$B$20)-経費前提!$B$24-MAX(0,(((売上前提!$C$20*$A18*売上前提!$E$20*売上前提!$H$20+売上前提!$C$22*$A18*売上前提!$E$22*売上前提!$H$22+売上前提!$C$24*$A18*F$13*売上前提!$H$24)+(売上前提!$J$21+売上前提!$J$23+売上前提!$J$25))*売上前提!$B$5/1000000)-経費前提!$B$26)*経費前提!$B$25-経費前提!$B$37)</f>
        <v>60.4508912500001</v>
      </c>
    </row>
    <row r="20" customFormat="false" ht="15" hidden="false" customHeight="false" outlineLevel="0" collapsed="false">
      <c r="A20" s="3" t="s">
        <v>189</v>
      </c>
      <c r="B20" s="3"/>
      <c r="C20" s="3"/>
      <c r="D20" s="3"/>
      <c r="E20" s="3"/>
      <c r="F20" s="3"/>
      <c r="G20" s="3"/>
    </row>
    <row r="21" customFormat="false" ht="27.75" hidden="false" customHeight="true" outlineLevel="0" collapsed="false">
      <c r="A21" s="32" t="s">
        <v>187</v>
      </c>
      <c r="B21" s="52" t="n">
        <v>0.6</v>
      </c>
      <c r="C21" s="52" t="n">
        <v>0.7</v>
      </c>
      <c r="D21" s="52" t="n">
        <v>0.8</v>
      </c>
      <c r="E21" s="52" t="n">
        <v>0.9</v>
      </c>
      <c r="F21" s="52" t="n">
        <v>1</v>
      </c>
    </row>
    <row r="22" customFormat="false" ht="15" hidden="false" customHeight="false" outlineLevel="0" collapsed="false">
      <c r="A22" s="21" t="n">
        <v>0.6</v>
      </c>
      <c r="B22" s="19" t="n">
        <f aca="false">IF((((売上前提!$C$20*$A22*売上前提!$E$20*売上前提!$H$20+売上前提!$C$22*$A22*売上前提!$E$22*売上前提!$H$22+売上前提!$C$24*$A22*B$21*売上前提!$H$24)+(売上前提!$J$21+売上前提!$J$23+売上前提!$J$25))*売上前提!$B$5/1000000)=0,0,((((売上前提!$C$20*$A22*売上前提!$E$20*売上前提!$H$20+売上前提!$C$22*$A22*売上前提!$E$22*売上前提!$H$22+売上前提!$C$24*$A22*B$21*売上前提!$H$24)+(売上前提!$J$21+売上前提!$J$23+売上前提!$J$25))*売上前提!$B$5/1000000)*(1-経費前提!$B$20)-経費前提!$B$24-MAX(0,(((売上前提!$C$20*$A22*売上前提!$E$20*売上前提!$H$20+売上前提!$C$22*$A22*売上前提!$E$22*売上前提!$H$22+売上前提!$C$24*$A22*B$21*売上前提!$H$24)+(売上前提!$J$21+売上前提!$J$23+売上前提!$J$25))*売上前提!$B$5/1000000)-経費前提!$B$26)*経費前提!$B$25-経費前提!$B$37)/(((売上前提!$C$20*$A22*売上前提!$E$20*売上前提!$H$20+売上前提!$C$22*$A22*売上前提!$E$22*売上前提!$H$22+売上前提!$C$24*$A22*B$21*売上前提!$H$24)+(売上前提!$J$21+売上前提!$J$23+売上前提!$J$25))*売上前提!$B$5/1000000))</f>
        <v>0.058931770926714</v>
      </c>
      <c r="C22" s="19" t="n">
        <f aca="false">IF((((売上前提!$C$20*$A22*売上前提!$E$20*売上前提!$H$20+売上前提!$C$22*$A22*売上前提!$E$22*売上前提!$H$22+売上前提!$C$24*$A22*C$21*売上前提!$H$24)+(売上前提!$J$21+売上前提!$J$23+売上前提!$J$25))*売上前提!$B$5/1000000)=0,0,((((売上前提!$C$20*$A22*売上前提!$E$20*売上前提!$H$20+売上前提!$C$22*$A22*売上前提!$E$22*売上前提!$H$22+売上前提!$C$24*$A22*C$21*売上前提!$H$24)+(売上前提!$J$21+売上前提!$J$23+売上前提!$J$25))*売上前提!$B$5/1000000)*(1-経費前提!$B$20)-経費前提!$B$24-MAX(0,(((売上前提!$C$20*$A22*売上前提!$E$20*売上前提!$H$20+売上前提!$C$22*$A22*売上前提!$E$22*売上前提!$H$22+売上前提!$C$24*$A22*C$21*売上前提!$H$24)+(売上前提!$J$21+売上前提!$J$23+売上前提!$J$25))*売上前提!$B$5/1000000)-経費前提!$B$26)*経費前提!$B$25-経費前提!$B$37)/(((売上前提!$C$20*$A22*売上前提!$E$20*売上前提!$H$20+売上前提!$C$22*$A22*売上前提!$E$22*売上前提!$H$22+売上前提!$C$24*$A22*C$21*売上前提!$H$24)+(売上前提!$J$21+売上前提!$J$23+売上前提!$J$25))*売上前提!$B$5/1000000))</f>
        <v>0.065334161811367</v>
      </c>
      <c r="D22" s="19" t="n">
        <f aca="false">IF((((売上前提!$C$20*$A22*売上前提!$E$20*売上前提!$H$20+売上前提!$C$22*$A22*売上前提!$E$22*売上前提!$H$22+売上前提!$C$24*$A22*D$21*売上前提!$H$24)+(売上前提!$J$21+売上前提!$J$23+売上前提!$J$25))*売上前提!$B$5/1000000)=0,0,((((売上前提!$C$20*$A22*売上前提!$E$20*売上前提!$H$20+売上前提!$C$22*$A22*売上前提!$E$22*売上前提!$H$22+売上前提!$C$24*$A22*D$21*売上前提!$H$24)+(売上前提!$J$21+売上前提!$J$23+売上前提!$J$25))*売上前提!$B$5/1000000)*(1-経費前提!$B$20)-経費前提!$B$24-MAX(0,(((売上前提!$C$20*$A22*売上前提!$E$20*売上前提!$H$20+売上前提!$C$22*$A22*売上前提!$E$22*売上前提!$H$22+売上前提!$C$24*$A22*D$21*売上前提!$H$24)+(売上前提!$J$21+売上前提!$J$23+売上前提!$J$25))*売上前提!$B$5/1000000)-経費前提!$B$26)*経費前提!$B$25-経費前提!$B$37)/(((売上前提!$C$20*$A22*売上前提!$E$20*売上前提!$H$20+売上前提!$C$22*$A22*売上前提!$E$22*売上前提!$H$22+売上前提!$C$24*$A22*D$21*売上前提!$H$24)+(売上前提!$J$21+売上前提!$J$23+売上前提!$J$25))*売上前提!$B$5/1000000))</f>
        <v>0.0696878082894002</v>
      </c>
      <c r="E22" s="19" t="n">
        <f aca="false">IF((((売上前提!$C$20*$A22*売上前提!$E$20*売上前提!$H$20+売上前提!$C$22*$A22*売上前提!$E$22*売上前提!$H$22+売上前提!$C$24*$A22*E$21*売上前提!$H$24)+(売上前提!$J$21+売上前提!$J$23+売上前提!$J$25))*売上前提!$B$5/1000000)=0,0,((((売上前提!$C$20*$A22*売上前提!$E$20*売上前提!$H$20+売上前提!$C$22*$A22*売上前提!$E$22*売上前提!$H$22+売上前提!$C$24*$A22*E$21*売上前提!$H$24)+(売上前提!$J$21+売上前提!$J$23+売上前提!$J$25))*売上前提!$B$5/1000000)*(1-経費前提!$B$20)-経費前提!$B$24-MAX(0,(((売上前提!$C$20*$A22*売上前提!$E$20*売上前提!$H$20+売上前提!$C$22*$A22*売上前提!$E$22*売上前提!$H$22+売上前提!$C$24*$A22*E$21*売上前提!$H$24)+(売上前提!$J$21+売上前提!$J$23+売上前提!$J$25))*売上前提!$B$5/1000000)-経費前提!$B$26)*経費前提!$B$25-経費前提!$B$37)/(((売上前提!$C$20*$A22*売上前提!$E$20*売上前提!$H$20+売上前提!$C$22*$A22*売上前提!$E$22*売上前提!$H$22+売上前提!$C$24*$A22*E$21*売上前提!$H$24)+(売上前提!$J$21+売上前提!$J$23+売上前提!$J$25))*売上前提!$B$5/1000000))</f>
        <v>0.0735293129242133</v>
      </c>
      <c r="F22" s="19" t="n">
        <f aca="false">IF((((売上前提!$C$20*$A22*売上前提!$E$20*売上前提!$H$20+売上前提!$C$22*$A22*売上前提!$E$22*売上前提!$H$22+売上前提!$C$24*$A22*F$21*売上前提!$H$24)+(売上前提!$J$21+売上前提!$J$23+売上前提!$J$25))*売上前提!$B$5/1000000)=0,0,((((売上前提!$C$20*$A22*売上前提!$E$20*売上前提!$H$20+売上前提!$C$22*$A22*売上前提!$E$22*売上前提!$H$22+売上前提!$C$24*$A22*F$21*売上前提!$H$24)+(売上前提!$J$21+売上前提!$J$23+売上前提!$J$25))*売上前提!$B$5/1000000)*(1-経費前提!$B$20)-経費前提!$B$24-MAX(0,(((売上前提!$C$20*$A22*売上前提!$E$20*売上前提!$H$20+売上前提!$C$22*$A22*売上前提!$E$22*売上前提!$H$22+売上前提!$C$24*$A22*F$21*売上前提!$H$24)+(売上前提!$J$21+売上前提!$J$23+売上前提!$J$25))*売上前提!$B$5/1000000)-経費前提!$B$26)*経費前提!$B$25-経費前提!$B$37)/(((売上前提!$C$20*$A22*売上前提!$E$20*売上前提!$H$20+売上前提!$C$22*$A22*売上前提!$E$22*売上前提!$H$22+売上前提!$C$24*$A22*F$21*売上前提!$H$24)+(売上前提!$J$21+売上前提!$J$23+売上前提!$J$25))*売上前提!$B$5/1000000))</f>
        <v>0.0769440245272966</v>
      </c>
    </row>
    <row r="23" customFormat="false" ht="15" hidden="false" customHeight="false" outlineLevel="0" collapsed="false">
      <c r="A23" s="21" t="n">
        <v>0.7</v>
      </c>
      <c r="B23" s="19" t="n">
        <f aca="false">IF((((売上前提!$C$20*$A23*売上前提!$E$20*売上前提!$H$20+売上前提!$C$22*$A23*売上前提!$E$22*売上前提!$H$22+売上前提!$C$24*$A23*B$21*売上前提!$H$24)+(売上前提!$J$21+売上前提!$J$23+売上前提!$J$25))*売上前提!$B$5/1000000)=0,0,((((売上前提!$C$20*$A23*売上前提!$E$20*売上前提!$H$20+売上前提!$C$22*$A23*売上前提!$E$22*売上前提!$H$22+売上前提!$C$24*$A23*B$21*売上前提!$H$24)+(売上前提!$J$21+売上前提!$J$23+売上前提!$J$25))*売上前提!$B$5/1000000)*(1-経費前提!$B$20)-経費前提!$B$24-MAX(0,(((売上前提!$C$20*$A23*売上前提!$E$20*売上前提!$H$20+売上前提!$C$22*$A23*売上前提!$E$22*売上前提!$H$22+売上前提!$C$24*$A23*B$21*売上前提!$H$24)+(売上前提!$J$21+売上前提!$J$23+売上前提!$J$25))*売上前提!$B$5/1000000)-経費前提!$B$26)*経費前提!$B$25-経費前提!$B$37)/(((売上前提!$C$20*$A23*売上前提!$E$20*売上前提!$H$20+売上前提!$C$22*$A23*売上前提!$E$22*売上前提!$H$22+売上前提!$C$24*$A23*B$21*売上前提!$H$24)+(売上前提!$J$21+売上前提!$J$23+売上前提!$J$25))*売上前提!$B$5/1000000))</f>
        <v>0.067989459965176</v>
      </c>
      <c r="C23" s="19" t="n">
        <f aca="false">IF((((売上前提!$C$20*$A23*売上前提!$E$20*売上前提!$H$20+売上前提!$C$22*$A23*売上前提!$E$22*売上前提!$H$22+売上前提!$C$24*$A23*C$21*売上前提!$H$24)+(売上前提!$J$21+売上前提!$J$23+売上前提!$J$25))*売上前提!$B$5/1000000)=0,0,((((売上前提!$C$20*$A23*売上前提!$E$20*売上前提!$H$20+売上前提!$C$22*$A23*売上前提!$E$22*売上前提!$H$22+売上前提!$C$24*$A23*C$21*売上前提!$H$24)+(売上前提!$J$21+売上前提!$J$23+売上前提!$J$25))*売上前提!$B$5/1000000)*(1-経費前提!$B$20)-経費前提!$B$24-MAX(0,(((売上前提!$C$20*$A23*売上前提!$E$20*売上前提!$H$20+売上前提!$C$22*$A23*売上前提!$E$22*売上前提!$H$22+売上前提!$C$24*$A23*C$21*売上前提!$H$24)+(売上前提!$J$21+売上前提!$J$23+売上前提!$J$25))*売上前提!$B$5/1000000)-経費前提!$B$26)*経費前提!$B$25-経費前提!$B$37)/(((売上前提!$C$20*$A23*売上前提!$E$20*売上前提!$H$20+売上前提!$C$22*$A23*売上前提!$E$22*売上前提!$H$22+売上前提!$C$24*$A23*C$21*売上前提!$H$24)+(売上前提!$J$21+売上前提!$J$23+売上前提!$J$25))*売上前提!$B$5/1000000))</f>
        <v>0.0726532877005397</v>
      </c>
      <c r="D23" s="19" t="n">
        <f aca="false">IF((((売上前提!$C$20*$A23*売上前提!$E$20*売上前提!$H$20+売上前提!$C$22*$A23*売上前提!$E$22*売上前提!$H$22+売上前提!$C$24*$A23*D$21*売上前提!$H$24)+(売上前提!$J$21+売上前提!$J$23+売上前提!$J$25))*売上前提!$B$5/1000000)=0,0,((((売上前提!$C$20*$A23*売上前提!$E$20*売上前提!$H$20+売上前提!$C$22*$A23*売上前提!$E$22*売上前提!$H$22+売上前提!$C$24*$A23*D$21*売上前提!$H$24)+(売上前提!$J$21+売上前提!$J$23+売上前提!$J$25))*売上前提!$B$5/1000000)*(1-経費前提!$B$20)-経費前提!$B$24-MAX(0,(((売上前提!$C$20*$A23*売上前提!$E$20*売上前提!$H$20+売上前提!$C$22*$A23*売上前提!$E$22*売上前提!$H$22+売上前提!$C$24*$A23*D$21*売上前提!$H$24)+(売上前提!$J$21+売上前提!$J$23+売上前提!$J$25))*売上前提!$B$5/1000000)-経費前提!$B$26)*経費前提!$B$25-経費前提!$B$37)/(((売上前提!$C$20*$A23*売上前提!$E$20*売上前提!$H$20+売上前提!$C$22*$A23*売上前提!$E$22*売上前提!$H$22+売上前提!$C$24*$A23*D$21*売上前提!$H$24)+(売上前提!$J$21+売上前提!$J$23+売上前提!$J$25))*売上前提!$B$5/1000000))</f>
        <v>0.0767101679364879</v>
      </c>
      <c r="E23" s="19" t="n">
        <f aca="false">IF((((売上前提!$C$20*$A23*売上前提!$E$20*売上前提!$H$20+売上前提!$C$22*$A23*売上前提!$E$22*売上前提!$H$22+売上前提!$C$24*$A23*E$21*売上前提!$H$24)+(売上前提!$J$21+売上前提!$J$23+売上前提!$J$25))*売上前提!$B$5/1000000)=0,0,((((売上前提!$C$20*$A23*売上前提!$E$20*売上前提!$H$20+売上前提!$C$22*$A23*売上前提!$E$22*売上前提!$H$22+売上前提!$C$24*$A23*E$21*売上前提!$H$24)+(売上前提!$J$21+売上前提!$J$23+売上前提!$J$25))*売上前提!$B$5/1000000)*(1-経費前提!$B$20)-経費前提!$B$24-MAX(0,(((売上前提!$C$20*$A23*売上前提!$E$20*売上前提!$H$20+売上前提!$C$22*$A23*売上前提!$E$22*売上前提!$H$22+売上前提!$C$24*$A23*E$21*売上前提!$H$24)+(売上前提!$J$21+売上前提!$J$23+売上前提!$J$25))*売上前提!$B$5/1000000)-経費前提!$B$26)*経費前提!$B$25-経費前提!$B$37)/(((売上前提!$C$20*$A23*売上前提!$E$20*売上前提!$H$20+売上前提!$C$22*$A23*売上前提!$E$22*売上前提!$H$22+売上前提!$C$24*$A23*E$21*売上前提!$H$24)+(売上前提!$J$21+売上前提!$J$23+売上前提!$J$25))*売上前提!$B$5/1000000))</f>
        <v>0.0802713437498163</v>
      </c>
      <c r="F23" s="19" t="n">
        <f aca="false">IF((((売上前提!$C$20*$A23*売上前提!$E$20*売上前提!$H$20+売上前提!$C$22*$A23*売上前提!$E$22*売上前提!$H$22+売上前提!$C$24*$A23*F$21*売上前提!$H$24)+(売上前提!$J$21+売上前提!$J$23+売上前提!$J$25))*売上前提!$B$5/1000000)=0,0,((((売上前提!$C$20*$A23*売上前提!$E$20*売上前提!$H$20+売上前提!$C$22*$A23*売上前提!$E$22*売上前提!$H$22+売上前提!$C$24*$A23*F$21*売上前提!$H$24)+(売上前提!$J$21+売上前提!$J$23+売上前提!$J$25))*売上前提!$B$5/1000000)*(1-経費前提!$B$20)-経費前提!$B$24-MAX(0,(((売上前提!$C$20*$A23*売上前提!$E$20*売上前提!$H$20+売上前提!$C$22*$A23*売上前提!$E$22*売上前提!$H$22+売上前提!$C$24*$A23*F$21*売上前提!$H$24)+(売上前提!$J$21+売上前提!$J$23+売上前提!$J$25))*売上前提!$B$5/1000000)-経費前提!$B$26)*経費前提!$B$25-経費前提!$B$37)/(((売上前提!$C$20*$A23*売上前提!$E$20*売上前提!$H$20+売上前提!$C$22*$A23*売上前提!$E$22*売上前提!$H$22+売上前提!$C$24*$A23*F$21*売上前提!$H$24)+(売上前提!$J$21+売上前提!$J$23+売上前提!$J$25))*売上前提!$B$5/1000000))</f>
        <v>0.0834224381882804</v>
      </c>
    </row>
    <row r="24" customFormat="false" ht="15" hidden="false" customHeight="false" outlineLevel="0" collapsed="false">
      <c r="A24" s="21" t="n">
        <v>0.8</v>
      </c>
      <c r="B24" s="19" t="n">
        <f aca="false">IF((((売上前提!$C$20*$A24*売上前提!$E$20*売上前提!$H$20+売上前提!$C$22*$A24*売上前提!$E$22*売上前提!$H$22+売上前提!$C$24*$A24*B$21*売上前提!$H$24)+(売上前提!$J$21+売上前提!$J$23+売上前提!$J$25))*売上前提!$B$5/1000000)=0,0,((((売上前提!$C$20*$A24*売上前提!$E$20*売上前提!$H$20+売上前提!$C$22*$A24*売上前提!$E$22*売上前提!$H$22+売上前提!$C$24*$A24*B$21*売上前提!$H$24)+(売上前提!$J$21+売上前提!$J$23+売上前提!$J$25))*売上前提!$B$5/1000000)*(1-経費前提!$B$20)-経費前提!$B$24-MAX(0,(((売上前提!$C$20*$A24*売上前提!$E$20*売上前提!$H$20+売上前提!$C$22*$A24*売上前提!$E$22*売上前提!$H$22+売上前提!$C$24*$A24*B$21*売上前提!$H$24)+(売上前提!$J$21+売上前提!$J$23+売上前提!$J$25))*売上前提!$B$5/1000000)-経費前提!$B$26)*経費前提!$B$25-経費前提!$B$37)/(((売上前提!$C$20*$A24*売上前提!$E$20*売上前提!$H$20+売上前提!$C$22*$A24*売上前提!$E$22*売上前提!$H$22+売上前提!$C$24*$A24*B$21*売上前提!$H$24)+(売上前提!$J$21+売上前提!$J$23+売上前提!$J$25))*売上前提!$B$5/1000000))</f>
        <v>0.0742047473363143</v>
      </c>
      <c r="C24" s="19" t="n">
        <f aca="false">IF((((売上前提!$C$20*$A24*売上前提!$E$20*売上前提!$H$20+売上前提!$C$22*$A24*売上前提!$E$22*売上前提!$H$22+売上前提!$C$24*$A24*C$21*売上前提!$H$24)+(売上前提!$J$21+売上前提!$J$23+売上前提!$J$25))*売上前提!$B$5/1000000)=0,0,((((売上前提!$C$20*$A24*売上前提!$E$20*売上前提!$H$20+売上前提!$C$22*$A24*売上前提!$E$22*売上前提!$H$22+売上前提!$C$24*$A24*C$21*売上前提!$H$24)+(売上前提!$J$21+売上前提!$J$23+売上前提!$J$25))*売上前提!$B$5/1000000)*(1-経費前提!$B$20)-経費前提!$B$24-MAX(0,(((売上前提!$C$20*$A24*売上前提!$E$20*売上前提!$H$20+売上前提!$C$22*$A24*売上前提!$E$22*売上前提!$H$22+売上前提!$C$24*$A24*C$21*売上前提!$H$24)+(売上前提!$J$21+売上前提!$J$23+売上前提!$J$25))*売上前提!$B$5/1000000)-経費前提!$B$26)*経費前提!$B$25-経費前提!$B$37)/(((売上前提!$C$20*$A24*売上前提!$E$20*売上前提!$H$20+売上前提!$C$22*$A24*売上前提!$E$22*売上前提!$H$22+売上前提!$C$24*$A24*C$21*売上前提!$H$24)+(売上前提!$J$21+売上前提!$J$23+売上前提!$J$25))*売上前提!$B$5/1000000))</f>
        <v>0.0785807235519689</v>
      </c>
      <c r="D24" s="54" t="n">
        <f aca="false">IF((((売上前提!$C$20*$A24*売上前提!$E$20*売上前提!$H$20+売上前提!$C$22*$A24*売上前提!$E$22*売上前提!$H$22+売上前提!$C$24*$A24*D$21*売上前提!$H$24)+(売上前提!$J$21+売上前提!$J$23+売上前提!$J$25))*売上前提!$B$5/1000000)=0,0,((((売上前提!$C$20*$A24*売上前提!$E$20*売上前提!$H$20+売上前提!$C$22*$A24*売上前提!$E$22*売上前提!$H$22+売上前提!$C$24*$A24*D$21*売上前提!$H$24)+(売上前提!$J$21+売上前提!$J$23+売上前提!$J$25))*売上前提!$B$5/1000000)*(1-経費前提!$B$20)-経費前提!$B$24-MAX(0,(((売上前提!$C$20*$A24*売上前提!$E$20*売上前提!$H$20+売上前提!$C$22*$A24*売上前提!$E$22*売上前提!$H$22+売上前提!$C$24*$A24*D$21*売上前提!$H$24)+(売上前提!$J$21+売上前提!$J$23+売上前提!$J$25))*売上前提!$B$5/1000000)-経費前提!$B$26)*経費前提!$B$25-経費前提!$B$37)/(((売上前提!$C$20*$A24*売上前提!$E$20*売上前提!$H$20+売上前提!$C$22*$A24*売上前提!$E$22*売上前提!$H$22+売上前提!$C$24*$A24*D$21*売上前提!$H$24)+(売上前提!$J$21+売上前提!$J$23+売上前提!$J$25))*売上前提!$B$5/1000000))</f>
        <v>0.0823690426628165</v>
      </c>
      <c r="E24" s="19" t="n">
        <f aca="false">IF((((売上前提!$C$20*$A24*売上前提!$E$20*売上前提!$H$20+売上前提!$C$22*$A24*売上前提!$E$22*売上前提!$H$22+売上前提!$C$24*$A24*E$21*売上前提!$H$24)+(売上前提!$J$21+売上前提!$J$23+売上前提!$J$25))*売上前提!$B$5/1000000)=0,0,((((売上前提!$C$20*$A24*売上前提!$E$20*売上前提!$H$20+売上前提!$C$22*$A24*売上前提!$E$22*売上前提!$H$22+売上前提!$C$24*$A24*E$21*売上前提!$H$24)+(売上前提!$J$21+売上前提!$J$23+売上前提!$J$25))*売上前提!$B$5/1000000)*(1-経費前提!$B$20)-経費前提!$B$24-MAX(0,(((売上前提!$C$20*$A24*売上前提!$E$20*売上前提!$H$20+売上前提!$C$22*$A24*売上前提!$E$22*売上前提!$H$22+売上前提!$C$24*$A24*E$21*売上前提!$H$24)+(売上前提!$J$21+売上前提!$J$23+売上前提!$J$25))*売上前提!$B$5/1000000)-経費前提!$B$26)*経費前提!$B$25-経費前提!$B$37)/(((売上前提!$C$20*$A24*売上前提!$E$20*売上前提!$H$20+売上前提!$C$22*$A24*売上前提!$E$22*売上前提!$H$22+売上前提!$C$24*$A24*E$21*売上前提!$H$24)+(売上前提!$J$21+売上前提!$J$23+売上前提!$J$25))*売上前提!$B$5/1000000))</f>
        <v>0.0856806324988144</v>
      </c>
      <c r="F24" s="19" t="n">
        <f aca="false">IF((((売上前提!$C$20*$A24*売上前提!$E$20*売上前提!$H$20+売上前提!$C$22*$A24*売上前提!$E$22*売上前提!$H$22+売上前提!$C$24*$A24*F$21*売上前提!$H$24)+(売上前提!$J$21+売上前提!$J$23+売上前提!$J$25))*売上前提!$B$5/1000000)=0,0,((((売上前提!$C$20*$A24*売上前提!$E$20*売上前提!$H$20+売上前提!$C$22*$A24*売上前提!$E$22*売上前提!$H$22+売上前提!$C$24*$A24*F$21*売上前提!$H$24)+(売上前提!$J$21+売上前提!$J$23+売上前提!$J$25))*売上前提!$B$5/1000000)*(1-経費前提!$B$20)-経費前提!$B$24-MAX(0,(((売上前提!$C$20*$A24*売上前提!$E$20*売上前提!$H$20+売上前提!$C$22*$A24*売上前提!$E$22*売上前提!$H$22+売上前提!$C$24*$A24*F$21*売上前提!$H$24)+(売上前提!$J$21+売上前提!$J$23+売上前提!$J$25))*売上前提!$B$5/1000000)-経費前提!$B$26)*経費前提!$B$25-経費前提!$B$37)/(((売上前提!$C$20*$A24*売上前提!$E$20*売上前提!$H$20+売上前提!$C$22*$A24*売上前提!$E$22*売上前提!$H$22+売上前提!$C$24*$A24*F$21*売上前提!$H$24)+(売上前提!$J$21+売上前提!$J$23+売上前提!$J$25))*売上前提!$B$5/1000000))</f>
        <v>0.088600154837137</v>
      </c>
    </row>
    <row r="25" customFormat="false" ht="15" hidden="false" customHeight="false" outlineLevel="0" collapsed="false">
      <c r="A25" s="21" t="n">
        <v>0.9</v>
      </c>
      <c r="B25" s="19" t="n">
        <f aca="false">IF((((売上前提!$C$20*$A25*売上前提!$E$20*売上前提!$H$20+売上前提!$C$22*$A25*売上前提!$E$22*売上前提!$H$22+売上前提!$C$24*$A25*B$21*売上前提!$H$24)+(売上前提!$J$21+売上前提!$J$23+売上前提!$J$25))*売上前提!$B$5/1000000)=0,0,((((売上前提!$C$20*$A25*売上前提!$E$20*売上前提!$H$20+売上前提!$C$22*$A25*売上前提!$E$22*売上前提!$H$22+売上前提!$C$24*$A25*B$21*売上前提!$H$24)+(売上前提!$J$21+売上前提!$J$23+売上前提!$J$25))*売上前提!$B$5/1000000)*(1-経費前提!$B$20)-経費前提!$B$24-MAX(0,(((売上前提!$C$20*$A25*売上前提!$E$20*売上前提!$H$20+売上前提!$C$22*$A25*売上前提!$E$22*売上前提!$H$22+売上前提!$C$24*$A25*B$21*売上前提!$H$24)+(売上前提!$J$21+売上前提!$J$23+売上前提!$J$25))*売上前提!$B$5/1000000)-経費前提!$B$26)*経費前提!$B$25-経費前提!$B$37)/(((売上前提!$C$20*$A25*売上前提!$E$20*売上前提!$H$20+売上前提!$C$22*$A25*売上前提!$E$22*売上前提!$H$22+売上前提!$C$24*$A25*B$21*売上前提!$H$24)+(売上前提!$J$21+売上前提!$J$23+売上前提!$J$25))*売上前提!$B$5/1000000))</f>
        <v>0.0793649480399667</v>
      </c>
      <c r="C25" s="19" t="n">
        <f aca="false">IF((((売上前提!$C$20*$A25*売上前提!$E$20*売上前提!$H$20+売上前提!$C$22*$A25*売上前提!$E$22*売上前提!$H$22+売上前提!$C$24*$A25*C$21*売上前提!$H$24)+(売上前提!$J$21+売上前提!$J$23+売上前提!$J$25))*売上前提!$B$5/1000000)=0,0,((((売上前提!$C$20*$A25*売上前提!$E$20*売上前提!$H$20+売上前提!$C$22*$A25*売上前提!$E$22*売上前提!$H$22+売上前提!$C$24*$A25*C$21*売上前提!$H$24)+(売上前提!$J$21+売上前提!$J$23+売上前提!$J$25))*売上前提!$B$5/1000000)*(1-経費前提!$B$20)-経費前提!$B$24-MAX(0,(((売上前提!$C$20*$A25*売上前提!$E$20*売上前提!$H$20+売上前提!$C$22*$A25*売上前提!$E$22*売上前提!$H$22+売上前提!$C$24*$A25*C$21*売上前提!$H$24)+(売上前提!$J$21+売上前提!$J$23+売上前提!$J$25))*売上前提!$B$5/1000000)-経費前提!$B$26)*経費前提!$B$25-経費前提!$B$37)/(((売上前提!$C$20*$A25*売上前提!$E$20*売上前提!$H$20+売上前提!$C$22*$A25*売上前提!$E$22*売上前提!$H$22+売上前提!$C$24*$A25*C$21*売上前提!$H$24)+(売上前提!$J$21+売上前提!$J$23+売上前提!$J$25))*売上前提!$B$5/1000000))</f>
        <v>0.0834789412666838</v>
      </c>
      <c r="D25" s="19" t="n">
        <f aca="false">IF((((売上前提!$C$20*$A25*売上前提!$E$20*売上前提!$H$20+売上前提!$C$22*$A25*売上前提!$E$22*売上前提!$H$22+売上前提!$C$24*$A25*D$21*売上前提!$H$24)+(売上前提!$J$21+売上前提!$J$23+売上前提!$J$25))*売上前提!$B$5/1000000)=0,0,((((売上前提!$C$20*$A25*売上前提!$E$20*売上前提!$H$20+売上前提!$C$22*$A25*売上前提!$E$22*売上前提!$H$22+売上前提!$C$24*$A25*D$21*売上前提!$H$24)+(売上前提!$J$21+売上前提!$J$23+売上前提!$J$25))*売上前提!$B$5/1000000)*(1-経費前提!$B$20)-経費前提!$B$24-MAX(0,(((売上前提!$C$20*$A25*売上前提!$E$20*売上前提!$H$20+売上前提!$C$22*$A25*売上前提!$E$22*売上前提!$H$22+売上前提!$C$24*$A25*D$21*売上前提!$H$24)+(売上前提!$J$21+売上前提!$J$23+売上前提!$J$25))*売上前提!$B$5/1000000)-経費前提!$B$26)*経費前提!$B$25-経費前提!$B$37)/(((売上前提!$C$20*$A25*売上前提!$E$20*売上前提!$H$20+売上前提!$C$22*$A25*売上前提!$E$22*売上前提!$H$22+売上前提!$C$24*$A25*D$21*売上前提!$H$24)+(売上前提!$J$21+売上前提!$J$23+売上前提!$J$25))*売上前提!$B$5/1000000))</f>
        <v>0.0870264002428009</v>
      </c>
      <c r="E25" s="19" t="n">
        <f aca="false">IF((((売上前提!$C$20*$A25*売上前提!$E$20*売上前提!$H$20+売上前提!$C$22*$A25*売上前提!$E$22*売上前提!$H$22+売上前提!$C$24*$A25*E$21*売上前提!$H$24)+(売上前提!$J$21+売上前提!$J$23+売上前提!$J$25))*売上前提!$B$5/1000000)=0,0,((((売上前提!$C$20*$A25*売上前提!$E$20*売上前提!$H$20+売上前提!$C$22*$A25*売上前提!$E$22*売上前提!$H$22+売上前提!$C$24*$A25*E$21*売上前提!$H$24)+(売上前提!$J$21+売上前提!$J$23+売上前提!$J$25))*売上前提!$B$5/1000000)*(1-経費前提!$B$20)-経費前提!$B$24-MAX(0,(((売上前提!$C$20*$A25*売上前提!$E$20*売上前提!$H$20+売上前提!$C$22*$A25*売上前提!$E$22*売上前提!$H$22+売上前提!$C$24*$A25*E$21*売上前提!$H$24)+(売上前提!$J$21+売上前提!$J$23+売上前提!$J$25))*売上前提!$B$5/1000000)-経費前提!$B$26)*経費前提!$B$25-経費前提!$B$37)/(((売上前提!$C$20*$A25*売上前提!$E$20*売上前提!$H$20+売上前提!$C$22*$A25*売上前提!$E$22*売上前提!$H$22+売上前提!$C$24*$A25*E$21*売上前提!$H$24)+(売上前提!$J$21+売上前提!$J$23+売上前提!$J$25))*売上前提!$B$5/1000000))</f>
        <v>0.0901168116821153</v>
      </c>
      <c r="F25" s="19" t="n">
        <f aca="false">IF((((売上前提!$C$20*$A25*売上前提!$E$20*売上前提!$H$20+売上前提!$C$22*$A25*売上前提!$E$22*売上前提!$H$22+売上前提!$C$24*$A25*F$21*売上前提!$H$24)+(売上前提!$J$21+売上前提!$J$23+売上前提!$J$25))*売上前提!$B$5/1000000)=0,0,((((売上前提!$C$20*$A25*売上前提!$E$20*売上前提!$H$20+売上前提!$C$22*$A25*売上前提!$E$22*売上前提!$H$22+売上前提!$C$24*$A25*F$21*売上前提!$H$24)+(売上前提!$J$21+売上前提!$J$23+売上前提!$J$25))*売上前提!$B$5/1000000)*(1-経費前提!$B$20)-経費前提!$B$24-MAX(0,(((売上前提!$C$20*$A25*売上前提!$E$20*売上前提!$H$20+売上前提!$C$22*$A25*売上前提!$E$22*売上前提!$H$22+売上前提!$C$24*$A25*F$21*売上前提!$H$24)+(売上前提!$J$21+売上前提!$J$23+売上前提!$J$25))*売上前提!$B$5/1000000)-経費前提!$B$26)*経費前提!$B$25-経費前提!$B$37)/(((売上前提!$C$20*$A25*売上前提!$E$20*売上前提!$H$20+売上前提!$C$22*$A25*売上前提!$E$22*売上前提!$H$22+売上前提!$C$24*$A25*F$21*売上前提!$H$24)+(売上前提!$J$21+売上前提!$J$23+売上前提!$J$25))*売上前提!$B$5/1000000))</f>
        <v>0.092833157604818</v>
      </c>
    </row>
    <row r="26" customFormat="false" ht="15" hidden="false" customHeight="false" outlineLevel="0" collapsed="false">
      <c r="A26" s="21" t="n">
        <v>1</v>
      </c>
      <c r="B26" s="19" t="n">
        <f aca="false">IF((((売上前提!$C$20*$A26*売上前提!$E$20*売上前提!$H$20+売上前提!$C$22*$A26*売上前提!$E$22*売上前提!$H$22+売上前提!$C$24*$A26*B$21*売上前提!$H$24)+(売上前提!$J$21+売上前提!$J$23+売上前提!$J$25))*売上前提!$B$5/1000000)=0,0,((((売上前提!$C$20*$A26*売上前提!$E$20*売上前提!$H$20+売上前提!$C$22*$A26*売上前提!$E$22*売上前提!$H$22+売上前提!$C$24*$A26*B$21*売上前提!$H$24)+(売上前提!$J$21+売上前提!$J$23+売上前提!$J$25))*売上前提!$B$5/1000000)*(1-経費前提!$B$20)-経費前提!$B$24-MAX(0,(((売上前提!$C$20*$A26*売上前提!$E$20*売上前提!$H$20+売上前提!$C$22*$A26*売上前提!$E$22*売上前提!$H$22+売上前提!$C$24*$A26*B$21*売上前提!$H$24)+(売上前提!$J$21+売上前提!$J$23+売上前提!$J$25))*売上前提!$B$5/1000000)-経費前提!$B$26)*経費前提!$B$25-経費前提!$B$37)/(((売上前提!$C$20*$A26*売上前提!$E$20*売上前提!$H$20+売上前提!$C$22*$A26*売上前提!$E$22*売上前提!$H$22+売上前提!$C$24*$A26*B$21*売上前提!$H$24)+(売上前提!$J$21+売上前提!$J$23+売上前提!$J$25))*売上前提!$B$5/1000000))</f>
        <v>0.0837177046296753</v>
      </c>
      <c r="C26" s="19" t="n">
        <f aca="false">IF((((売上前提!$C$20*$A26*売上前提!$E$20*売上前提!$H$20+売上前提!$C$22*$A26*売上前提!$E$22*売上前提!$H$22+売上前提!$C$24*$A26*C$21*売上前提!$H$24)+(売上前提!$J$21+売上前提!$J$23+売上前提!$J$25))*売上前提!$B$5/1000000)=0,0,((((売上前提!$C$20*$A26*売上前提!$E$20*売上前提!$H$20+売上前提!$C$22*$A26*売上前提!$E$22*売上前提!$H$22+売上前提!$C$24*$A26*C$21*売上前提!$H$24)+(売上前提!$J$21+売上前提!$J$23+売上前提!$J$25))*売上前提!$B$5/1000000)*(1-経費前提!$B$20)-経費前提!$B$24-MAX(0,(((売上前提!$C$20*$A26*売上前提!$E$20*売上前提!$H$20+売上前提!$C$22*$A26*売上前提!$E$22*売上前提!$H$22+売上前提!$C$24*$A26*C$21*売上前提!$H$24)+(売上前提!$J$21+売上前提!$J$23+売上前提!$J$25))*売上前提!$B$5/1000000)-経費前提!$B$26)*経費前提!$B$25-経費前提!$B$37)/(((売上前提!$C$20*$A26*売上前提!$E$20*売上前提!$H$20+売上前提!$C$22*$A26*売上前提!$E$22*売上前提!$H$22+売上前提!$C$24*$A26*C$21*売上前提!$H$24)+(売上前提!$J$21+売上前提!$J$23+売上前提!$J$25))*売上前提!$B$5/1000000))</f>
        <v>0.0875945915556306</v>
      </c>
      <c r="D26" s="19" t="n">
        <f aca="false">IF((((売上前提!$C$20*$A26*売上前提!$E$20*売上前提!$H$20+売上前提!$C$22*$A26*売上前提!$E$22*売上前提!$H$22+売上前提!$C$24*$A26*D$21*売上前提!$H$24)+(売上前提!$J$21+売上前提!$J$23+売上前提!$J$25))*売上前提!$B$5/1000000)=0,0,((((売上前提!$C$20*$A26*売上前提!$E$20*売上前提!$H$20+売上前提!$C$22*$A26*売上前提!$E$22*売上前提!$H$22+売上前提!$C$24*$A26*D$21*売上前提!$H$24)+(売上前提!$J$21+売上前提!$J$23+売上前提!$J$25))*売上前提!$B$5/1000000)*(1-経費前提!$B$20)-経費前提!$B$24-MAX(0,(((売上前提!$C$20*$A26*売上前提!$E$20*売上前提!$H$20+売上前提!$C$22*$A26*売上前提!$E$22*売上前提!$H$22+売上前提!$C$24*$A26*D$21*売上前提!$H$24)+(売上前提!$J$21+売上前提!$J$23+売上前提!$J$25))*売上前提!$B$5/1000000)-経費前提!$B$26)*経費前提!$B$25-経費前提!$B$37)/(((売上前提!$C$20*$A26*売上前提!$E$20*売上前提!$H$20+売上前提!$C$22*$A26*売上前提!$E$22*売上前提!$H$22+売上前提!$C$24*$A26*D$21*売上前提!$H$24)+(売上前提!$J$21+売上前提!$J$23+売上前提!$J$25))*売上前提!$B$5/1000000))</f>
        <v>0.0909265011410623</v>
      </c>
      <c r="E26" s="19" t="n">
        <f aca="false">IF((((売上前提!$C$20*$A26*売上前提!$E$20*売上前提!$H$20+売上前提!$C$22*$A26*売上前提!$E$22*売上前提!$H$22+売上前提!$C$24*$A26*E$21*売上前提!$H$24)+(売上前提!$J$21+売上前提!$J$23+売上前提!$J$25))*売上前提!$B$5/1000000)=0,0,((((売上前提!$C$20*$A26*売上前提!$E$20*売上前提!$H$20+売上前提!$C$22*$A26*売上前提!$E$22*売上前提!$H$22+売上前提!$C$24*$A26*E$21*売上前提!$H$24)+(売上前提!$J$21+売上前提!$J$23+売上前提!$J$25))*売上前提!$B$5/1000000)*(1-経費前提!$B$20)-経費前提!$B$24-MAX(0,(((売上前提!$C$20*$A26*売上前提!$E$20*売上前提!$H$20+売上前提!$C$22*$A26*売上前提!$E$22*売上前提!$H$22+売上前提!$C$24*$A26*E$21*売上前提!$H$24)+(売上前提!$J$21+売上前提!$J$23+売上前提!$J$25))*売上前提!$B$5/1000000)-経費前提!$B$26)*経費前提!$B$25-経費前提!$B$37)/(((売上前提!$C$20*$A26*売上前提!$E$20*売上前提!$H$20+売上前提!$C$22*$A26*売上前提!$E$22*売上前提!$H$22+売上前提!$C$24*$A26*E$21*売上前提!$H$24)+(売上前提!$J$21+売上前提!$J$23+売上前提!$J$25))*売上前提!$B$5/1000000))</f>
        <v>0.0938207990467055</v>
      </c>
      <c r="F26" s="19" t="n">
        <f aca="false">IF((((売上前提!$C$20*$A26*売上前提!$E$20*売上前提!$H$20+売上前提!$C$22*$A26*売上前提!$E$22*売上前提!$H$22+売上前提!$C$24*$A26*F$21*売上前提!$H$24)+(売上前提!$J$21+売上前提!$J$23+売上前提!$J$25))*売上前提!$B$5/1000000)=0,0,((((売上前提!$C$20*$A26*売上前提!$E$20*売上前提!$H$20+売上前提!$C$22*$A26*売上前提!$E$22*売上前提!$H$22+売上前提!$C$24*$A26*F$21*売上前提!$H$24)+(売上前提!$J$21+売上前提!$J$23+売上前提!$J$25))*売上前提!$B$5/1000000)*(1-経費前提!$B$20)-経費前提!$B$24-MAX(0,(((売上前提!$C$20*$A26*売上前提!$E$20*売上前提!$H$20+売上前提!$C$22*$A26*売上前提!$E$22*売上前提!$H$22+売上前提!$C$24*$A26*F$21*売上前提!$H$24)+(売上前提!$J$21+売上前提!$J$23+売上前提!$J$25))*売上前提!$B$5/1000000)-経費前提!$B$26)*経費前提!$B$25-経費前提!$B$37)/(((売上前提!$C$20*$A26*売上前提!$E$20*売上前提!$H$20+売上前提!$C$22*$A26*売上前提!$E$22*売上前提!$H$22+売上前提!$C$24*$A26*F$21*売上前提!$H$24)+(売上前提!$J$21+売上前提!$J$23+売上前提!$J$25))*売上前提!$B$5/1000000))</f>
        <v>0.0963583861443626</v>
      </c>
    </row>
    <row r="28" customFormat="false" ht="15" hidden="false" customHeight="false" outlineLevel="0" collapsed="false">
      <c r="A28" s="2" t="s">
        <v>190</v>
      </c>
    </row>
    <row r="29" customFormat="false" ht="15" hidden="false" customHeight="false" outlineLevel="0" collapsed="false">
      <c r="A29" s="2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2026-10-07T02:12:37Z</dcterms:created>
  <dc:creator>openpyxl</dc:creator>
  <dc:description/>
  <dc:language>en-US</dc:language>
  <cp:lastModifiedBy/>
  <dcterms:modified xsi:type="dcterms:W3CDTF">2026-10-07T02:12:37Z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