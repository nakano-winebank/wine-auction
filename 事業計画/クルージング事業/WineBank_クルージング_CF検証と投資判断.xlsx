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投資判断サマリー" sheetId="1" state="visible" r:id="rId1"/>
    <sheet name="01_CF再現検証" sheetId="2" state="visible" r:id="rId2"/>
    <sheet name="02_感応度" sheetId="3" state="visible" r:id="rId3"/>
    <sheet name="03_突合ずれ・指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-#,##0.0"/>
    <numFmt numFmtId="165" formatCode="0.000&quot;x&quot;"/>
    <numFmt numFmtId="166" formatCode="0.0%"/>
    <numFmt numFmtId="167" formatCode="#,##0&quot;回&quot;"/>
  </numFmts>
  <fonts count="11">
    <font>
      <name val="Calibri"/>
      <family val="2"/>
      <color theme="1"/>
      <sz val="11"/>
      <scheme val="minor"/>
    </font>
    <font>
      <name val="Yu Gothic"/>
      <b val="1"/>
      <color rgb="001F3864"/>
      <sz val="17"/>
    </font>
    <font>
      <name val="Yu Gothic"/>
      <color rgb="00555555"/>
      <sz val="9"/>
    </font>
    <font>
      <name val="Yu Gothic"/>
      <b val="1"/>
      <color rgb="00FFFFFF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2C5C4F"/>
      <sz val="12"/>
    </font>
    <font>
      <name val="Yu Gothic"/>
      <b val="1"/>
      <color rgb="00C00000"/>
      <sz val="10"/>
    </font>
    <font>
      <name val="Yu Gothic"/>
      <b val="1"/>
      <color rgb="007B2B3B"/>
      <sz val="12"/>
    </font>
    <font>
      <name val="Yu Gothic"/>
      <b val="1"/>
      <color rgb="008A6110"/>
      <sz val="12"/>
    </font>
    <font>
      <name val="Yu Gothic"/>
      <b val="1"/>
      <color rgb="001F3864"/>
      <sz val="1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DF0D5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pivotButton="0" quotePrefix="0" xfId="0"/>
    <xf numFmtId="164" fontId="5" fillId="0" borderId="1" pivotButton="0" quotePrefix="0" xfId="0"/>
    <xf numFmtId="165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4" fillId="0" borderId="1" pivotButton="0" quotePrefix="0" xfId="0"/>
    <xf numFmtId="165" fontId="4" fillId="5" borderId="1" pivotButton="0" quotePrefix="0" xfId="0"/>
    <xf numFmtId="0" fontId="4" fillId="5" borderId="1" applyAlignment="1" pivotButton="0" quotePrefix="0" xfId="0">
      <alignment vertical="top" wrapText="1"/>
    </xf>
    <xf numFmtId="0" fontId="5" fillId="0" borderId="1" pivotButton="0" quotePrefix="0" xfId="0"/>
    <xf numFmtId="166" fontId="5" fillId="0" borderId="1" pivotButton="0" quotePrefix="0" xfId="0"/>
    <xf numFmtId="0" fontId="2" fillId="0" borderId="1" applyAlignment="1" pivotButton="0" quotePrefix="0" xfId="0">
      <alignment vertical="top" wrapText="1"/>
    </xf>
    <xf numFmtId="164" fontId="4" fillId="4" borderId="1" pivotButton="0" quotePrefix="0" xfId="0"/>
    <xf numFmtId="166" fontId="4" fillId="4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4" fillId="3" borderId="1" pivotButton="0" quotePrefix="0" xfId="0"/>
    <xf numFmtId="165" fontId="5" fillId="0" borderId="1" pivotButton="0" quotePrefix="0" xfId="0"/>
    <xf numFmtId="0" fontId="2" fillId="0" borderId="1" pivotButton="0" quotePrefix="0" xfId="0"/>
    <xf numFmtId="164" fontId="7" fillId="6" borderId="1" pivotButton="0" quotePrefix="0" xfId="0"/>
    <xf numFmtId="0" fontId="7" fillId="0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7" fillId="0" borderId="1" applyAlignment="1" pivotButton="0" quotePrefix="0" xfId="0">
      <alignment vertical="top" wrapText="1"/>
    </xf>
    <xf numFmtId="164" fontId="5" fillId="6" borderId="1" pivotButton="0" quotePrefix="0" xfId="0"/>
    <xf numFmtId="166" fontId="4" fillId="6" borderId="1" pivotButton="0" quotePrefix="0" xfId="0"/>
    <xf numFmtId="0" fontId="4" fillId="6" borderId="1" pivotButton="0" quotePrefix="0" xfId="0"/>
    <xf numFmtId="167" fontId="4" fillId="3" borderId="1" pivotButton="0" quotePrefix="0" xfId="0"/>
    <xf numFmtId="164" fontId="4" fillId="5" borderId="1" pivotButton="0" quotePrefix="0" xfId="0"/>
    <xf numFmtId="0" fontId="4" fillId="0" borderId="1" applyAlignment="1" pivotButton="0" quotePrefix="0" xfId="0">
      <alignment vertical="top" wrapText="1"/>
    </xf>
    <xf numFmtId="1" fontId="4" fillId="0" borderId="1" pivotButton="0" quotePrefix="0" xfId="0"/>
    <xf numFmtId="0" fontId="4" fillId="6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62" customWidth="1" min="6" max="6"/>
  </cols>
  <sheetData>
    <row r="1">
      <c r="A1" s="1" t="inlineStr">
        <is>
          <t>クルージング事業　CF表の検証と投資判断</t>
        </is>
      </c>
    </row>
    <row r="2">
      <c r="A2" s="2" t="inlineStr">
        <is>
          <t>検証対象: 収益分配計算_0825_CF表.xlsx（16シート）／2026-08-26　単位: 百万円・税抜ベース</t>
        </is>
      </c>
    </row>
    <row r="4">
      <c r="A4" s="3" t="inlineStr">
        <is>
          <t>■ 1. 資料記載IRRの再現検証 — 全て一致</t>
        </is>
      </c>
      <c r="B4" s="4" t="n"/>
      <c r="C4" s="4" t="n"/>
      <c r="D4" s="4" t="n"/>
      <c r="E4" s="4" t="n"/>
      <c r="F4" s="4" t="n"/>
    </row>
    <row r="5">
      <c r="B5" s="5" t="inlineStr"/>
      <c r="C5" s="5" t="inlineStr">
        <is>
          <t>拠出</t>
        </is>
      </c>
      <c r="D5" s="5" t="inlineStr">
        <is>
          <t>分配</t>
        </is>
      </c>
      <c r="E5" s="5" t="inlineStr">
        <is>
          <t>Multiple</t>
        </is>
      </c>
      <c r="F5" s="6" t="inlineStr">
        <is>
          <t>IRR（資料／当方再計算）</t>
        </is>
      </c>
    </row>
    <row r="6">
      <c r="B6" s="7" t="inlineStr">
        <is>
          <t>GK① 造船TK</t>
        </is>
      </c>
      <c r="C6" s="8" t="n">
        <v>195</v>
      </c>
      <c r="D6" s="8" t="n">
        <v>353.2</v>
      </c>
      <c r="E6" s="9" t="n">
        <v>1.811</v>
      </c>
      <c r="F6" s="10" t="inlineStr">
        <is>
          <t>113.7% ／ 114.1%　消費税考慮版。中間CFが多いためXIRRの日数按分で0.4pt差</t>
        </is>
      </c>
    </row>
    <row r="7">
      <c r="B7" s="7" t="inlineStr">
        <is>
          <t>GK② 会員権TK（税前）</t>
        </is>
      </c>
      <c r="C7" s="8" t="n">
        <v>611</v>
      </c>
      <c r="D7" s="8" t="n">
        <v>722.2</v>
      </c>
      <c r="E7" s="9" t="n">
        <v>1.182</v>
      </c>
      <c r="F7" s="11" t="inlineStr">
        <is>
          <t xml:space="preserve">15.0% ／ 15.0%　</t>
        </is>
      </c>
    </row>
    <row r="8">
      <c r="B8" s="7" t="inlineStr">
        <is>
          <t>GK② 会員権TK（税効果込）</t>
        </is>
      </c>
      <c r="C8" s="8" t="n">
        <v>611</v>
      </c>
      <c r="D8" s="8" t="n">
        <v>722.2</v>
      </c>
      <c r="E8" s="9" t="n">
        <v>1.182</v>
      </c>
      <c r="F8" s="10" t="inlineStr">
        <is>
          <t>33.3% ／ 33.4%　法人実効35%・還付即時実現の前提</t>
        </is>
      </c>
    </row>
    <row r="9">
      <c r="B9" s="7" t="inlineStr">
        <is>
          <t>合算（GK①＋GK②）</t>
        </is>
      </c>
      <c r="C9" s="12" t="n">
        <v>806</v>
      </c>
      <c r="D9" s="12" t="n">
        <v>1075.4</v>
      </c>
      <c r="E9" s="13" t="n">
        <v>1.334</v>
      </c>
      <c r="F9" s="14" t="inlineStr">
        <is>
          <t>33.5%　← 事業全体の真の姿。GK①の113.7%は総資金8.06億のうち24%だけを見た数字</t>
        </is>
      </c>
    </row>
    <row r="11">
      <c r="A11" s="3" t="inlineStr">
        <is>
          <t>■ 2. 中野さん（WineBank）の枠 — GK①に配分済み</t>
        </is>
      </c>
      <c r="B11" s="4" t="n"/>
      <c r="C11" s="4" t="n"/>
      <c r="D11" s="4" t="n"/>
      <c r="E11" s="4" t="n"/>
      <c r="F11" s="4" t="n"/>
    </row>
    <row r="12">
      <c r="B12" s="15" t="inlineStr">
        <is>
          <t>当初持分比率</t>
        </is>
      </c>
      <c r="C12" s="16" t="n">
        <v>0.1</v>
      </c>
      <c r="F12" s="17" t="inlineStr">
        <is>
          <t>割り戻し後 13.33%（原田さん20%固定・残りを6名で按分）</t>
        </is>
      </c>
    </row>
    <row r="13">
      <c r="B13" s="15" t="inlineStr">
        <is>
          <t>キャピタルコール①</t>
        </is>
      </c>
      <c r="C13" s="8" t="n">
        <v>22</v>
      </c>
      <c r="F13" s="17" t="inlineStr">
        <is>
          <t>2026年9月</t>
        </is>
      </c>
    </row>
    <row r="14">
      <c r="B14" s="15" t="inlineStr">
        <is>
          <t>キャピタルコール②</t>
        </is>
      </c>
      <c r="C14" s="8" t="n">
        <v>4</v>
      </c>
      <c r="F14" s="17" t="inlineStr">
        <is>
          <t>2027年3月</t>
        </is>
      </c>
    </row>
    <row r="15">
      <c r="B15" s="7" t="inlineStr">
        <is>
          <t>出資合計</t>
        </is>
      </c>
      <c r="C15" s="18" t="n">
        <v>26</v>
      </c>
      <c r="F15" s="17" t="inlineStr"/>
    </row>
    <row r="16">
      <c r="B16" s="15" t="inlineStr">
        <is>
          <t>投資利益額</t>
        </is>
      </c>
      <c r="C16" s="8" t="n">
        <v>21.1</v>
      </c>
      <c r="F16" s="17" t="inlineStr">
        <is>
          <t>158.2百万 × 13.33%</t>
        </is>
      </c>
    </row>
    <row r="17">
      <c r="B17" s="7" t="inlineStr">
        <is>
          <t>回収額</t>
        </is>
      </c>
      <c r="C17" s="18" t="n">
        <v>47.1</v>
      </c>
      <c r="F17" s="17" t="inlineStr">
        <is>
          <t>2026年10月〜2028年9月の6回に分割</t>
        </is>
      </c>
    </row>
    <row r="18">
      <c r="B18" s="7" t="inlineStr">
        <is>
          <t>Multiple</t>
        </is>
      </c>
      <c r="C18" s="9" t="n">
        <v>1.811</v>
      </c>
      <c r="F18" s="17" t="inlineStr"/>
    </row>
    <row r="19">
      <c r="B19" s="7" t="inlineStr">
        <is>
          <t>IRR</t>
        </is>
      </c>
      <c r="C19" s="19" t="n">
        <v>1.137</v>
      </c>
      <c r="F19" s="17" t="inlineStr">
        <is>
          <t>按分後CFで再計算しても同率＝按分は正しい</t>
        </is>
      </c>
    </row>
    <row r="21">
      <c r="A21" s="3" t="inlineStr">
        <is>
          <t>■ 3. 投資判断</t>
        </is>
      </c>
      <c r="B21" s="4" t="n"/>
      <c r="C21" s="4" t="n"/>
      <c r="D21" s="4" t="n"/>
      <c r="E21" s="4" t="n"/>
      <c r="F21" s="4" t="n"/>
    </row>
    <row r="22">
      <c r="B22" s="20" t="inlineStr">
        <is>
          <t>【GK① 造船TK・2,600万円】条件付きで参加を推奨</t>
        </is>
      </c>
    </row>
    <row r="23">
      <c r="B23" s="21" t="inlineStr">
        <is>
          <t xml:space="preserve">　・算術は正しい。2年で1.811倍、IRR 113.7%。損失の上限は出資額2,600万円に限定される。</t>
        </is>
      </c>
    </row>
    <row r="24">
      <c r="B24" s="21" t="inlineStr">
        <is>
          <t xml:space="preserve">　・ただしIRRが高いのは利幅ではなく期間の短さによる。同じ1.811倍でも5年かければ年12.6%。</t>
        </is>
      </c>
    </row>
    <row r="25">
      <c r="B25" s="22" t="inlineStr">
        <is>
          <t xml:space="preserve">　・唯一かつ最大のリスクは移転価格。実原価1.445億の船を4.35億で関連者売却（3.01倍）。</t>
        </is>
      </c>
    </row>
    <row r="26">
      <c r="B26" s="22" t="inlineStr">
        <is>
          <t xml:space="preserve">　　売買価格が3.0億に否認されるとIRRは114%→11%、2.5億以下だと元本割れ。</t>
        </is>
      </c>
    </row>
    <row r="27">
      <c r="B27" s="23" t="inlineStr">
        <is>
          <t xml:space="preserve">　・条件：第三者の船舶鑑定評価書（収益還元法での4.35億の説明）を出資実行前に入手すること。</t>
        </is>
      </c>
    </row>
    <row r="28">
      <c r="B28" s="21" t="inlineStr"/>
    </row>
    <row r="29">
      <c r="B29" s="24" t="inlineStr">
        <is>
          <t>【GK② 会員権TK・6.11億円】現時点では見送りを推奨</t>
        </is>
      </c>
    </row>
    <row r="30">
      <c r="B30" s="21" t="inlineStr">
        <is>
          <t xml:space="preserve">　・税前IRRは15.0%。33.3%という数字は1.513億円の税還付を織り込んだ後の数値。</t>
        </is>
      </c>
    </row>
    <row r="31">
      <c r="B31" s="22" t="inlineStr">
        <is>
          <t xml:space="preserve">　・還付が得られなければ22年で△7,900万円の元本割れ。税効果ありきの設計。</t>
        </is>
      </c>
    </row>
    <row r="32">
      <c r="B32" s="22" t="inlineStr">
        <is>
          <t xml:space="preserve">　・還付には『同一年度に4.06億円の他の課税所得』が必要。WineBank単独では成立しない。</t>
        </is>
      </c>
    </row>
    <row r="33">
      <c r="B33" s="22" t="inlineStr">
        <is>
          <t xml:space="preserve">　・耐用年数がFRP船7年（中古簡便法5年）と判定されるとIRRは33.4%→2.7%。</t>
        </is>
      </c>
    </row>
    <row r="34">
      <c r="B34" s="21" t="inlineStr">
        <is>
          <t xml:space="preserve">　・会員権が80口を下回ると元本割れ。運航収益は一切計上されていない（＝収入は会員権のみ）。</t>
        </is>
      </c>
    </row>
    <row r="35">
      <c r="B35" s="21" t="inlineStr"/>
    </row>
    <row r="36">
      <c r="B36" s="25" t="inlineStr">
        <is>
          <t>【F&amp;B事業】参入方針は変わらないが、取り分の定義が前回資料と矛盾している</t>
        </is>
      </c>
    </row>
    <row r="37">
      <c r="B37" s="22" t="inlineStr">
        <is>
          <t xml:space="preserve">　・今回CF表では『F&amp;B売上の10%』が投資家へ、残る粗利はオペレーター利益とされ、</t>
        </is>
      </c>
    </row>
    <row r="38">
      <c r="B38" s="22" t="inlineStr">
        <is>
          <t xml:space="preserve">　　WineBankの取り分が表に存在しない。前回0824資料p28では同じ10%がWineBankの収益だった。</t>
        </is>
      </c>
    </row>
    <row r="39">
      <c r="B39" s="23" t="inlineStr">
        <is>
          <t xml:space="preserve">　・収益分配計算シートの図でもF&amp;B業務委託契約は『条件未定』と明記。最優先で確定させること。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6" t="inlineStr">
        <is>
          <t>CF再現検証 — 資料のキャッシュフローを転記し、XIRRを独立に再計算</t>
        </is>
      </c>
    </row>
    <row r="2"/>
    <row r="3">
      <c r="A3" s="3" t="inlineStr">
        <is>
          <t>■ GK① 造船匿名組合（消費税考慮版）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B4" s="5" t="inlineStr">
        <is>
          <t>時点</t>
        </is>
      </c>
      <c r="C4" s="5" t="inlineStr">
        <is>
          <t>2026-09</t>
        </is>
      </c>
      <c r="D4" s="5" t="inlineStr">
        <is>
          <t>2026-10</t>
        </is>
      </c>
      <c r="E4" s="5" t="inlineStr">
        <is>
          <t>2027-03</t>
        </is>
      </c>
      <c r="F4" s="5" t="inlineStr">
        <is>
          <t>2027-04</t>
        </is>
      </c>
      <c r="G4" s="5" t="inlineStr">
        <is>
          <t>2027-09</t>
        </is>
      </c>
      <c r="H4" s="5" t="inlineStr">
        <is>
          <t>2028-03</t>
        </is>
      </c>
      <c r="I4" s="5" t="inlineStr">
        <is>
          <t>2028-09</t>
        </is>
      </c>
      <c r="J4" s="5" t="inlineStr">
        <is>
          <t>合計</t>
        </is>
      </c>
    </row>
    <row r="5">
      <c r="B5" s="15" t="inlineStr">
        <is>
          <t>投資拠出</t>
        </is>
      </c>
      <c r="C5" s="8" t="n">
        <v>-165</v>
      </c>
      <c r="D5" s="8" t="n">
        <v>0</v>
      </c>
      <c r="E5" s="8" t="n">
        <v>-30</v>
      </c>
      <c r="F5" s="8" t="n">
        <v>0</v>
      </c>
      <c r="G5" s="8" t="n">
        <v>0</v>
      </c>
      <c r="H5" s="8" t="n">
        <v>0</v>
      </c>
      <c r="I5" s="8" t="n">
        <v>0</v>
      </c>
      <c r="J5" s="12">
        <f>SUM(C5:I5)</f>
        <v/>
      </c>
    </row>
    <row r="6">
      <c r="B6" s="15" t="inlineStr">
        <is>
          <t>分配金</t>
        </is>
      </c>
      <c r="C6" s="8" t="n">
        <v>0</v>
      </c>
      <c r="D6" s="8" t="n">
        <v>29</v>
      </c>
      <c r="E6" s="8" t="n">
        <v>121</v>
      </c>
      <c r="F6" s="8" t="n">
        <v>13</v>
      </c>
      <c r="G6" s="8" t="n">
        <v>96</v>
      </c>
      <c r="H6" s="8" t="n">
        <v>16.16</v>
      </c>
      <c r="I6" s="8" t="n">
        <v>78.04000000000001</v>
      </c>
      <c r="J6" s="12">
        <f>SUM(C6:I6)</f>
        <v/>
      </c>
    </row>
    <row r="7">
      <c r="B7" s="5" t="inlineStr">
        <is>
          <t>投資家CF 計</t>
        </is>
      </c>
      <c r="C7" s="27">
        <f>C5+C6</f>
        <v/>
      </c>
      <c r="D7" s="27">
        <f>D5+D6</f>
        <v/>
      </c>
      <c r="E7" s="27">
        <f>E5+E6</f>
        <v/>
      </c>
      <c r="F7" s="27">
        <f>F5+F6</f>
        <v/>
      </c>
      <c r="G7" s="27">
        <f>G5+G6</f>
        <v/>
      </c>
      <c r="H7" s="27">
        <f>H5+H6</f>
        <v/>
      </c>
      <c r="I7" s="27">
        <f>I5+I6</f>
        <v/>
      </c>
      <c r="J7" s="18">
        <f>SUM(C7:I7)</f>
        <v/>
      </c>
    </row>
    <row r="8"/>
    <row r="9">
      <c r="B9" s="7" t="inlineStr">
        <is>
          <t>Multiple</t>
        </is>
      </c>
      <c r="C9" s="9">
        <f>J6/-J5</f>
        <v/>
      </c>
      <c r="E9" s="15" t="inlineStr">
        <is>
          <t>資料記載</t>
        </is>
      </c>
      <c r="F9" s="28" t="n">
        <v>1.811</v>
      </c>
    </row>
    <row r="10">
      <c r="B10" s="7" t="inlineStr">
        <is>
          <t>XIRR</t>
        </is>
      </c>
      <c r="C10" s="19" t="n">
        <v>1.137</v>
      </c>
      <c r="E10" s="15" t="inlineStr">
        <is>
          <t>資料記載</t>
        </is>
      </c>
      <c r="F10" s="16" t="n">
        <v>1.137</v>
      </c>
      <c r="H10" s="29" t="inlineStr">
        <is>
          <t>※当方Python独立再計算 114.1%（日数按分差0.4pt）</t>
        </is>
      </c>
    </row>
    <row r="11">
      <c r="C11" t="n">
        <v>1.137</v>
      </c>
    </row>
    <row r="12"/>
    <row r="13">
      <c r="A13" s="3" t="inlineStr">
        <is>
          <t>■ GK② 会員権発行匿名組合（消費税考慮版）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B14" s="5" t="inlineStr">
        <is>
          <t>時点</t>
        </is>
      </c>
      <c r="C14" s="5" t="inlineStr">
        <is>
          <t>2026-09</t>
        </is>
      </c>
      <c r="D14" s="5" t="inlineStr">
        <is>
          <t>2027-03</t>
        </is>
      </c>
      <c r="E14" s="5" t="inlineStr">
        <is>
          <t>2028-03</t>
        </is>
      </c>
      <c r="F14" s="5" t="inlineStr">
        <is>
          <t>2029-03</t>
        </is>
      </c>
      <c r="G14" s="5" t="inlineStr">
        <is>
          <t>2030-03</t>
        </is>
      </c>
      <c r="H14" s="5" t="inlineStr">
        <is>
          <t>2031-03</t>
        </is>
      </c>
      <c r="I14" s="5" t="inlineStr">
        <is>
          <t>2032-03</t>
        </is>
      </c>
      <c r="J14" s="5" t="inlineStr">
        <is>
          <t>2033-47</t>
        </is>
      </c>
      <c r="K14" s="5" t="inlineStr">
        <is>
          <t>2048-03</t>
        </is>
      </c>
    </row>
    <row r="15">
      <c r="B15" s="15" t="inlineStr">
        <is>
          <t>投資拠出</t>
        </is>
      </c>
      <c r="C15" s="8" t="n">
        <v>-501</v>
      </c>
      <c r="D15" s="8" t="n">
        <v>-110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B16" s="15" t="inlineStr">
        <is>
          <t>分配金</t>
        </is>
      </c>
      <c r="C16" s="8" t="n">
        <v>0</v>
      </c>
      <c r="D16" s="8" t="n">
        <v>391.2</v>
      </c>
      <c r="E16" s="8" t="n">
        <v>219.8</v>
      </c>
      <c r="F16" s="8" t="n">
        <v>28.6</v>
      </c>
      <c r="G16" s="8" t="n">
        <v>28.6</v>
      </c>
      <c r="H16" s="8" t="n">
        <v>28.6</v>
      </c>
      <c r="I16" s="8" t="n">
        <v>15.4</v>
      </c>
      <c r="J16" s="8" t="n">
        <v>0</v>
      </c>
      <c r="K16" s="8" t="n">
        <v>10</v>
      </c>
    </row>
    <row r="17">
      <c r="B17" s="5" t="inlineStr">
        <is>
          <t>投資家CF 計（税前）</t>
        </is>
      </c>
      <c r="C17" s="27">
        <f>C15+C16</f>
        <v/>
      </c>
      <c r="D17" s="27">
        <f>D15+D16</f>
        <v/>
      </c>
      <c r="E17" s="27">
        <f>E15+E16</f>
        <v/>
      </c>
      <c r="F17" s="27">
        <f>F15+F16</f>
        <v/>
      </c>
      <c r="G17" s="27">
        <f>G15+G16</f>
        <v/>
      </c>
      <c r="H17" s="27">
        <f>H15+H16</f>
        <v/>
      </c>
      <c r="I17" s="27">
        <f>I15+I16</f>
        <v/>
      </c>
      <c r="J17" s="27">
        <f>J15+J16</f>
        <v/>
      </c>
      <c r="K17" s="27">
        <f>K15+K16</f>
        <v/>
      </c>
    </row>
    <row r="18">
      <c r="B18" s="15" t="inlineStr">
        <is>
          <t>支払税額</t>
        </is>
      </c>
      <c r="C18" s="8" t="n">
        <v>0</v>
      </c>
      <c r="D18" s="8" t="n">
        <v>0</v>
      </c>
      <c r="E18" s="8" t="n">
        <v>0</v>
      </c>
      <c r="F18" s="8" t="n">
        <v>-10</v>
      </c>
      <c r="G18" s="8" t="n">
        <v>-10</v>
      </c>
      <c r="H18" s="8" t="n">
        <v>-10</v>
      </c>
      <c r="I18" s="8" t="n">
        <v>-10</v>
      </c>
      <c r="J18" s="8" t="n">
        <v>-140</v>
      </c>
      <c r="K18" s="8" t="n">
        <v>0</v>
      </c>
      <c r="L18" s="29" t="inlineStr">
        <is>
          <t>2033-03〜2047-03の15年間は分配ゼロで納税のみ</t>
        </is>
      </c>
    </row>
    <row r="19">
      <c r="B19" s="15" t="inlineStr">
        <is>
          <t>還付税額</t>
        </is>
      </c>
      <c r="C19" s="30" t="n">
        <v>0</v>
      </c>
      <c r="D19" s="30" t="n">
        <v>7.3</v>
      </c>
      <c r="E19" s="30" t="n">
        <v>142.2</v>
      </c>
      <c r="F19" s="30" t="n">
        <v>0</v>
      </c>
      <c r="G19" s="30" t="n">
        <v>0</v>
      </c>
      <c r="H19" s="30" t="n">
        <v>0</v>
      </c>
      <c r="I19" s="30" t="n">
        <v>0</v>
      </c>
      <c r="J19" s="30" t="n">
        <v>0</v>
      </c>
      <c r="K19" s="30" t="n">
        <v>1.8</v>
      </c>
      <c r="L19" s="31" t="inlineStr">
        <is>
          <t>★ここが崩れるとGK②は元本割れ</t>
        </is>
      </c>
    </row>
    <row r="20">
      <c r="B20" s="5" t="inlineStr">
        <is>
          <t>投資家CF 計（税効果込）</t>
        </is>
      </c>
      <c r="C20" s="27">
        <f>C17+C18+C19</f>
        <v/>
      </c>
      <c r="D20" s="27">
        <f>D17+D18+D19</f>
        <v/>
      </c>
      <c r="E20" s="27">
        <f>E17+E18+E19</f>
        <v/>
      </c>
      <c r="F20" s="27">
        <f>F17+F18+F19</f>
        <v/>
      </c>
      <c r="G20" s="27">
        <f>G17+G18+G19</f>
        <v/>
      </c>
      <c r="H20" s="27">
        <f>H17+H18+H19</f>
        <v/>
      </c>
      <c r="I20" s="27">
        <f>I17+I18+I19</f>
        <v/>
      </c>
      <c r="J20" s="27">
        <f>J17+J18+J19</f>
        <v/>
      </c>
      <c r="K20" s="27">
        <f>K17+K18+K19</f>
        <v/>
      </c>
    </row>
    <row r="21"/>
    <row r="22">
      <c r="B22" s="7" t="inlineStr">
        <is>
          <t>Multiple</t>
        </is>
      </c>
      <c r="C22" s="9" t="n">
        <v>1.182</v>
      </c>
      <c r="E22" s="15" t="inlineStr">
        <is>
          <t>当方再計算</t>
        </is>
      </c>
      <c r="F22" s="15" t="inlineStr">
        <is>
          <t>—</t>
        </is>
      </c>
    </row>
    <row r="23">
      <c r="B23" s="7" t="inlineStr">
        <is>
          <t>XIRR（税前）</t>
        </is>
      </c>
      <c r="C23" s="19" t="n">
        <v>0.15</v>
      </c>
      <c r="E23" s="15" t="inlineStr">
        <is>
          <t>当方再計算</t>
        </is>
      </c>
      <c r="F23" s="15" t="inlineStr">
        <is>
          <t>15.0%</t>
        </is>
      </c>
    </row>
    <row r="24">
      <c r="B24" s="7" t="inlineStr">
        <is>
          <t>XIRR（税効果込）</t>
        </is>
      </c>
      <c r="C24" s="19" t="n">
        <v>0.333</v>
      </c>
      <c r="E24" s="15" t="inlineStr">
        <is>
          <t>当方再計算</t>
        </is>
      </c>
      <c r="F24" s="15" t="inlineStr">
        <is>
          <t>33.4%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54" customWidth="1" min="6" max="6"/>
  </cols>
  <sheetData>
    <row r="1">
      <c r="A1" s="26" t="inlineStr">
        <is>
          <t>感応度分析 — 何が113.7%と33.3%を壊すか</t>
        </is>
      </c>
    </row>
    <row r="3">
      <c r="A3" s="3" t="inlineStr">
        <is>
          <t>■ 1. 船舶売買価格の妥当性（GK①の唯一かつ最大のリスク）</t>
        </is>
      </c>
      <c r="B3" s="4" t="n"/>
      <c r="C3" s="4" t="n"/>
      <c r="D3" s="4" t="n"/>
      <c r="E3" s="4" t="n"/>
      <c r="F3" s="4" t="n"/>
    </row>
    <row r="4">
      <c r="B4" s="7" t="inlineStr">
        <is>
          <t>中古船取得価格</t>
        </is>
      </c>
      <c r="C4" s="12" t="n">
        <v>94.5</v>
      </c>
      <c r="F4" s="17" t="inlineStr">
        <is>
          <t>建造費シート。エルモ・奥設計・本橋発動機ほか実額</t>
        </is>
      </c>
    </row>
    <row r="5">
      <c r="B5" s="7" t="inlineStr">
        <is>
          <t>中古船改装費</t>
        </is>
      </c>
      <c r="C5" s="12" t="n">
        <v>50</v>
      </c>
      <c r="F5" s="17" t="inlineStr">
        <is>
          <t>三井デザインテック</t>
        </is>
      </c>
    </row>
    <row r="6">
      <c r="B6" s="5" t="inlineStr">
        <is>
          <t>実原価 計</t>
        </is>
      </c>
      <c r="C6" s="27">
        <f>C4+C5</f>
        <v/>
      </c>
    </row>
    <row r="7">
      <c r="B7" s="7" t="inlineStr">
        <is>
          <t>GK②への売却価格</t>
        </is>
      </c>
      <c r="C7" s="32" t="n">
        <v>435</v>
      </c>
    </row>
    <row r="8">
      <c r="B8" s="7" t="inlineStr">
        <is>
          <t>実原価に対する倍率</t>
        </is>
      </c>
      <c r="C8" s="33">
        <f>C7/C6</f>
        <v/>
      </c>
      <c r="F8" s="34" t="inlineStr">
        <is>
          <t>マークアップ201%。前回0824資料（原価2億→4億＝2.0倍）より悪化</t>
        </is>
      </c>
    </row>
    <row r="9">
      <c r="B9" s="15" t="inlineStr">
        <is>
          <t>GK①総費用（AM報酬1.0億込）に対する倍率</t>
        </is>
      </c>
      <c r="C9" s="28">
        <f>C7/276.8</f>
        <v/>
      </c>
    </row>
    <row r="11">
      <c r="B11" s="5" t="inlineStr">
        <is>
          <t>売買価格が否認された場合のGK① IRR</t>
        </is>
      </c>
    </row>
    <row r="12">
      <c r="B12" s="5" t="inlineStr">
        <is>
          <t>認定される売買価格</t>
        </is>
      </c>
      <c r="C12" s="27" t="n">
        <v>435</v>
      </c>
      <c r="D12" s="27" t="n">
        <v>350</v>
      </c>
      <c r="E12" s="27" t="n">
        <v>300</v>
      </c>
      <c r="F12" s="27" t="n">
        <v>250</v>
      </c>
    </row>
    <row r="13">
      <c r="B13" s="15" t="inlineStr">
        <is>
          <t>投資家ネット利益</t>
        </is>
      </c>
      <c r="C13" s="8" t="n">
        <v>158.2</v>
      </c>
      <c r="D13" s="8" t="n">
        <v>64.7</v>
      </c>
      <c r="E13" s="35" t="n">
        <v>9.699999999999999</v>
      </c>
      <c r="F13" s="35" t="n">
        <v>-45.3</v>
      </c>
    </row>
    <row r="14">
      <c r="B14" s="7" t="inlineStr">
        <is>
          <t>IRR</t>
        </is>
      </c>
      <c r="C14" s="19" t="n">
        <v>1.141</v>
      </c>
      <c r="D14" s="19" t="n">
        <v>0.6840000000000001</v>
      </c>
      <c r="E14" s="36" t="n">
        <v>0.11</v>
      </c>
      <c r="F14" s="37" t="inlineStr">
        <is>
          <t>元本割れ</t>
        </is>
      </c>
    </row>
    <row r="16">
      <c r="B16" s="22" t="inlineStr">
        <is>
          <t>★ 4.35億の説明は原価法では不可能（3.01倍）。会員権10億を生む資産としての収益還元法でしか成り立たない。</t>
        </is>
      </c>
    </row>
    <row r="17">
      <c r="B17" s="21" t="inlineStr">
        <is>
          <t xml:space="preserve">　 第三者鑑定評価書を出資実行の前提条件にすること。否認時はGK②の減価償却基礎額も同時に崩れる。</t>
        </is>
      </c>
    </row>
    <row r="19">
      <c r="A19" s="3" t="inlineStr">
        <is>
          <t>■ 2. GK②の税還付1.513億が実現するか（税効果込33.3%の全部がここに乗っている）</t>
        </is>
      </c>
      <c r="B19" s="4" t="n"/>
      <c r="C19" s="4" t="n"/>
      <c r="D19" s="4" t="n"/>
      <c r="E19" s="4" t="n"/>
      <c r="F19" s="4" t="n"/>
    </row>
    <row r="20">
      <c r="B20" s="5" t="inlineStr">
        <is>
          <t>ケース</t>
        </is>
      </c>
      <c r="C20" s="5" t="inlineStr">
        <is>
          <t>初年度還付</t>
        </is>
      </c>
      <c r="D20" s="5" t="inlineStr">
        <is>
          <t>IRR</t>
        </is>
      </c>
      <c r="F20" s="6" t="inlineStr">
        <is>
          <t>根拠</t>
        </is>
      </c>
    </row>
    <row r="21">
      <c r="B21" s="7" t="inlineStr">
        <is>
          <t>耐用2年・初年度100%償却（資料の前提）</t>
        </is>
      </c>
      <c r="C21" s="8" t="n">
        <v>142.2</v>
      </c>
      <c r="D21" s="19" t="n">
        <v>0.334</v>
      </c>
      <c r="F21" s="17" t="inlineStr">
        <is>
          <t>築2年中古の簡便法 (4-2)+2×20%=2.4→2年、償却率1.000</t>
        </is>
      </c>
    </row>
    <row r="22">
      <c r="B22" s="15" t="inlineStr">
        <is>
          <t>耐用5年・200%定率</t>
        </is>
      </c>
      <c r="C22" s="8" t="n">
        <v>50.9</v>
      </c>
      <c r="D22" s="36" t="n">
        <v>0.027</v>
      </c>
      <c r="F22" s="17" t="inlineStr">
        <is>
          <t>FRP船の法定耐用年数が7年なら簡便法で(7-2)+2×20%=5.4→5年</t>
        </is>
      </c>
    </row>
    <row r="23">
      <c r="B23" s="15" t="inlineStr">
        <is>
          <t>耐用2年だが月割（2026年9月取得・3月決算）</t>
        </is>
      </c>
      <c r="C23" s="8" t="n">
        <v>78.8</v>
      </c>
      <c r="D23" s="19" t="n">
        <v>0.214</v>
      </c>
      <c r="F23" s="17" t="inlineStr">
        <is>
          <t>定率法は月割償却。期首取得でなければ初年度100%は成立しない</t>
        </is>
      </c>
    </row>
    <row r="24">
      <c r="B24" s="15" t="inlineStr">
        <is>
          <t>売買価格が2.0億に否認された場合</t>
        </is>
      </c>
      <c r="C24" s="8" t="n">
        <v>60</v>
      </c>
      <c r="D24" s="36" t="n">
        <v>0.013</v>
      </c>
      <c r="F24" s="17" t="inlineStr">
        <is>
          <t>償却基礎額が4.35億→2.0億に縮小</t>
        </is>
      </c>
    </row>
    <row r="25">
      <c r="B25" s="15" t="inlineStr">
        <is>
          <t>投資家に相殺できる他の所得が無い場合</t>
        </is>
      </c>
      <c r="C25" s="8" t="n">
        <v>0</v>
      </c>
      <c r="D25" s="37" t="inlineStr">
        <is>
          <t>元本割れ</t>
        </is>
      </c>
      <c r="F25" s="17" t="inlineStr">
        <is>
          <t>22年累計CF △78.8百万円＝元本割れ</t>
        </is>
      </c>
    </row>
    <row r="27">
      <c r="B27" s="22" t="inlineStr">
        <is>
          <t>★ 還付1.422億を初年度に受けるには、投資家が同一年度に4.06億円の他の課税所得を持っている必要がある。</t>
        </is>
      </c>
    </row>
    <row r="28">
      <c r="B28" s="22" t="inlineStr">
        <is>
          <t>★ 個人組合員は匿名組合の分配損失を他の所得と通算できない（措法41条の4の2 特定組合員）→ 還付ゼロ。</t>
        </is>
      </c>
    </row>
    <row r="29">
      <c r="B29" s="21" t="inlineStr">
        <is>
          <t>★ 法人組合員でも損金算入は出資額が限度（措法67条の12）。出資6.11億＞損失4.06億なので枠自体は足りる。</t>
        </is>
      </c>
    </row>
    <row r="31">
      <c r="A31" s="3" t="inlineStr">
        <is>
          <t>■ 3. 会員権の販売口数（GK②の収入は会員権売上のみ）</t>
        </is>
      </c>
      <c r="B31" s="4" t="n"/>
      <c r="C31" s="4" t="n"/>
      <c r="D31" s="4" t="n"/>
      <c r="E31" s="4" t="n"/>
      <c r="F31" s="4" t="n"/>
    </row>
    <row r="32">
      <c r="B32" s="5" t="inlineStr">
        <is>
          <t>販売口数</t>
        </is>
      </c>
      <c r="C32" s="5" t="inlineStr">
        <is>
          <t>100口（前提）</t>
        </is>
      </c>
      <c r="D32" s="5" t="inlineStr">
        <is>
          <t>80口</t>
        </is>
      </c>
      <c r="E32" s="5" t="inlineStr">
        <is>
          <t>70口</t>
        </is>
      </c>
      <c r="F32" s="5" t="inlineStr">
        <is>
          <t>50口</t>
        </is>
      </c>
    </row>
    <row r="33">
      <c r="B33" s="15" t="inlineStr">
        <is>
          <t>会員権入金（税込）</t>
        </is>
      </c>
      <c r="C33" s="8" t="n">
        <v>739.2</v>
      </c>
      <c r="D33" s="8" t="n">
        <v>591.4</v>
      </c>
      <c r="E33" s="8" t="n">
        <v>517.4</v>
      </c>
      <c r="F33" s="8" t="n">
        <v>369.6</v>
      </c>
    </row>
    <row r="34">
      <c r="B34" s="7" t="inlineStr">
        <is>
          <t>22年累計CF</t>
        </is>
      </c>
      <c r="C34" s="18" t="n">
        <v>11.6</v>
      </c>
      <c r="D34" s="32" t="n">
        <v>-136.2</v>
      </c>
      <c r="E34" s="32" t="n">
        <v>-210.2</v>
      </c>
      <c r="F34" s="32" t="n">
        <v>-358</v>
      </c>
    </row>
    <row r="36">
      <c r="B36" s="21" t="inlineStr">
        <is>
          <t>※ 拠出6.11億・22年運営費1.166億は口数に関わらず固定。80口で概ね損益分岐（税効果を除くベース）。</t>
        </is>
      </c>
    </row>
    <row r="38">
      <c r="A38" s="3" t="inlineStr">
        <is>
          <t>■ 4. GK②CFに未計上の運航収益（アップサイド）</t>
        </is>
      </c>
      <c r="B38" s="4" t="n"/>
      <c r="C38" s="4" t="n"/>
      <c r="D38" s="4" t="n"/>
      <c r="E38" s="4" t="n"/>
      <c r="F38" s="4" t="n"/>
    </row>
    <row r="39">
      <c r="B39" s="5" t="inlineStr">
        <is>
          <t>年間運航回数</t>
        </is>
      </c>
      <c r="C39" s="38" t="n">
        <v>50</v>
      </c>
      <c r="D39" s="38" t="n">
        <v>100</v>
      </c>
      <c r="E39" s="38" t="n">
        <v>200</v>
      </c>
      <c r="F39" s="38" t="n">
        <v>300</v>
      </c>
    </row>
    <row r="40">
      <c r="B40" s="15" t="inlineStr">
        <is>
          <t>傭船料 @1万円（一般販売20万円時）</t>
        </is>
      </c>
      <c r="C40" s="8" t="n">
        <v>0.5</v>
      </c>
      <c r="D40" s="8" t="n">
        <v>1</v>
      </c>
      <c r="E40" s="8" t="n">
        <v>2</v>
      </c>
      <c r="F40" s="8" t="n">
        <v>3</v>
      </c>
    </row>
    <row r="41">
      <c r="B41" s="15" t="inlineStr">
        <is>
          <t>傭船料 @5万円（同25万円時）</t>
        </is>
      </c>
      <c r="C41" s="8" t="n">
        <v>2.5</v>
      </c>
      <c r="D41" s="8" t="n">
        <v>5</v>
      </c>
      <c r="E41" s="8" t="n">
        <v>10</v>
      </c>
      <c r="F41" s="8" t="n">
        <v>15</v>
      </c>
    </row>
    <row r="42">
      <c r="B42" s="15" t="inlineStr">
        <is>
          <t>傭船料 @9万円（同30万円時）</t>
        </is>
      </c>
      <c r="C42" s="8" t="n">
        <v>4.5</v>
      </c>
      <c r="D42" s="8" t="n">
        <v>9</v>
      </c>
      <c r="E42" s="8" t="n">
        <v>18</v>
      </c>
      <c r="F42" s="8" t="n">
        <v>27</v>
      </c>
    </row>
    <row r="43">
      <c r="B43" s="7" t="inlineStr">
        <is>
          <t>20年累計（300回×9万円）</t>
        </is>
      </c>
      <c r="C43" s="39" t="n">
        <v>540</v>
      </c>
      <c r="F43" s="40" t="inlineStr">
        <is>
          <t>現行GK②CFでは全額ゼロ計上</t>
        </is>
      </c>
    </row>
    <row r="45">
      <c r="B45" s="21" t="inlineStr">
        <is>
          <t>※ 一般販売チャーター価格シートは傭船料を『投資家の出資割合にて按分』と明記しているが、GK②CFの収入は会員権売上のみ。</t>
        </is>
      </c>
    </row>
    <row r="46">
      <c r="B46" s="21" t="inlineStr">
        <is>
          <t xml:space="preserve">　 モデルは保守的。逆に言えば「会員権が売れなければ何も入らない」構造でもある。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12" customWidth="1" min="4" max="4"/>
    <col width="44" customWidth="1" min="5" max="5"/>
    <col width="12" customWidth="1" min="6" max="6"/>
  </cols>
  <sheetData>
    <row r="1">
      <c r="A1" s="26" t="inlineStr">
        <is>
          <t>ブック内の突合ずれと指摘事項</t>
        </is>
      </c>
    </row>
    <row r="3">
      <c r="A3" s="3" t="inlineStr">
        <is>
          <t>■ 数値の突合ずれ（同一ブック内で数字が2通り以上ある箇所）</t>
        </is>
      </c>
      <c r="B3" s="4" t="n"/>
      <c r="C3" s="4" t="n"/>
      <c r="D3" s="4" t="n"/>
      <c r="E3" s="4" t="n"/>
      <c r="F3" s="4" t="n"/>
    </row>
    <row r="4">
      <c r="B4" s="6" t="inlineStr">
        <is>
          <t>No.</t>
        </is>
      </c>
      <c r="C4" s="6" t="inlineStr">
        <is>
          <t>項目A</t>
        </is>
      </c>
      <c r="D4" s="6" t="inlineStr">
        <is>
          <t>値A</t>
        </is>
      </c>
      <c r="E4" s="6" t="inlineStr">
        <is>
          <t>項目B</t>
        </is>
      </c>
      <c r="F4" s="6" t="inlineStr">
        <is>
          <t>値B</t>
        </is>
      </c>
    </row>
    <row r="5" ht="32" customHeight="1">
      <c r="B5" s="41" t="n">
        <v>1</v>
      </c>
      <c r="C5" s="10" t="inlineStr">
        <is>
          <t>GK①CF（税抜版）キャピタルコール</t>
        </is>
      </c>
      <c r="D5" s="32" t="n">
        <v>178</v>
      </c>
      <c r="E5" s="10" t="inlineStr">
        <is>
          <t>GK①CF（消費税考慮）・原田さんAM報酬計算シート</t>
        </is>
      </c>
      <c r="F5" s="32" t="n">
        <v>195</v>
      </c>
    </row>
    <row r="6" ht="32" customHeight="1">
      <c r="B6" s="41" t="n">
        <v>2</v>
      </c>
      <c r="C6" s="10" t="inlineStr">
        <is>
          <t>GK①CF（税抜版）費目合計 D26</t>
        </is>
      </c>
      <c r="D6" s="32" t="n">
        <v>176.8</v>
      </c>
      <c r="E6" s="10" t="inlineStr">
        <is>
          <t>同シート 月次合計 E列＋K列</t>
        </is>
      </c>
      <c r="F6" s="32" t="n">
        <v>178</v>
      </c>
    </row>
    <row r="7" ht="32" customHeight="1">
      <c r="B7" s="41" t="n">
        <v>3</v>
      </c>
      <c r="C7" s="10" t="inlineStr">
        <is>
          <t>GK①CF（税抜版）Multiple</t>
        </is>
      </c>
      <c r="D7" s="32" t="n">
        <v>1.889</v>
      </c>
      <c r="E7" s="10" t="inlineStr">
        <is>
          <t>GK①CF（消費税考慮）Multiple</t>
        </is>
      </c>
      <c r="F7" s="32" t="n">
        <v>1.811</v>
      </c>
    </row>
    <row r="8" ht="32" customHeight="1">
      <c r="B8" s="41" t="n">
        <v>4</v>
      </c>
      <c r="C8" s="10" t="inlineStr">
        <is>
          <t>GK②CF（税抜版）キャピタルコール</t>
        </is>
      </c>
      <c r="D8" s="32" t="n">
        <v>561</v>
      </c>
      <c r="E8" s="10" t="inlineStr">
        <is>
          <t>GK②CF（消費税考慮）キャピタルコール</t>
        </is>
      </c>
      <c r="F8" s="32" t="n">
        <v>611</v>
      </c>
    </row>
    <row r="9" ht="32" customHeight="1">
      <c r="B9" s="41" t="n">
        <v>5</v>
      </c>
      <c r="C9" s="10" t="inlineStr">
        <is>
          <t>収益分配計算 r50 会員権TK出資額</t>
        </is>
      </c>
      <c r="D9" s="32" t="n">
        <v>560</v>
      </c>
      <c r="E9" s="10" t="inlineStr">
        <is>
          <t>GK②CF（消費税考慮）キャピタルコール</t>
        </is>
      </c>
      <c r="F9" s="32" t="n">
        <v>611</v>
      </c>
    </row>
    <row r="10" ht="32" customHeight="1">
      <c r="B10" s="41" t="n">
        <v>6</v>
      </c>
      <c r="C10" s="10" t="inlineStr">
        <is>
          <t>建造費シート 明細合計 C14</t>
        </is>
      </c>
      <c r="D10" s="32" t="n">
        <v>92.21599999999999</v>
      </c>
      <c r="E10" s="10" t="inlineStr">
        <is>
          <t>同シート 建造費合計 F3</t>
        </is>
      </c>
      <c r="F10" s="32" t="n">
        <v>94.43600000000001</v>
      </c>
    </row>
    <row r="11" ht="32" customHeight="1">
      <c r="B11" s="41" t="n">
        <v>7</v>
      </c>
      <c r="C11" s="10" t="inlineStr">
        <is>
          <t>収益分配 r45 投資家G分配利益（50%）</t>
        </is>
      </c>
      <c r="D11" s="32" t="n">
        <v>267.8</v>
      </c>
      <c r="E11" s="10" t="inlineStr">
        <is>
          <t>収益分配 r82 ネット投資家G利益配分額</t>
        </is>
      </c>
      <c r="F11" s="32" t="n">
        <v>268.2</v>
      </c>
    </row>
    <row r="12" ht="32" customHeight="1">
      <c r="B12" s="41" t="n">
        <v>8</v>
      </c>
      <c r="C12" s="10" t="inlineStr">
        <is>
          <t>r80 造船TK 158.2 ＋ r51 会員権TK 112.2</t>
        </is>
      </c>
      <c r="D12" s="32" t="n">
        <v>270.4</v>
      </c>
      <c r="E12" s="10" t="inlineStr">
        <is>
          <t>収益分配 r82 ネット投資家G利益配分額</t>
        </is>
      </c>
      <c r="F12" s="32" t="n">
        <v>268.2</v>
      </c>
    </row>
    <row r="13" ht="32" customHeight="1">
      <c r="B13" s="41" t="n">
        <v>9</v>
      </c>
      <c r="C13" s="10" t="inlineStr">
        <is>
          <t>船舶売買代金検証シート 旧案 C3</t>
        </is>
      </c>
      <c r="D13" s="32" t="n">
        <v>435</v>
      </c>
      <c r="E13" s="10" t="inlineStr">
        <is>
          <t>同シート 調整後 C4</t>
        </is>
      </c>
      <c r="F13" s="32" t="n">
        <v>420.967</v>
      </c>
    </row>
    <row r="15">
      <c r="B15" s="21" t="inlineStr">
        <is>
          <t>※ No.1〜4は「税抜版」と「消費税考慮版」の世代差と思われる。消費税考慮版がMultiple 1.811で原田さんシートと整合するため、</t>
        </is>
      </c>
    </row>
    <row r="16">
      <c r="B16" s="21" t="inlineStr">
        <is>
          <t xml:space="preserve">　 消費税考慮版が最新と判断して本検証のベースとした。ただし配布前にどちらが正か確定させること。</t>
        </is>
      </c>
    </row>
    <row r="18">
      <c r="A18" s="3" t="inlineStr">
        <is>
          <t>■ 構造上の指摘</t>
        </is>
      </c>
      <c r="B18" s="4" t="n"/>
      <c r="C18" s="4" t="n"/>
      <c r="D18" s="4" t="n"/>
      <c r="E18" s="4" t="n"/>
      <c r="F18" s="4" t="n"/>
    </row>
    <row r="19">
      <c r="B19" s="6" t="inlineStr">
        <is>
          <t>重要度</t>
        </is>
      </c>
      <c r="C19" s="6" t="inlineStr">
        <is>
          <t>論点</t>
        </is>
      </c>
      <c r="E19" s="6" t="inlineStr">
        <is>
          <t>内容</t>
        </is>
      </c>
    </row>
    <row r="20" ht="96" customHeight="1">
      <c r="B20" s="42" t="inlineStr">
        <is>
          <t>高</t>
        </is>
      </c>
      <c r="C20" s="40" t="inlineStr">
        <is>
          <t>船舶代金の授受タイミングが両シートで噛み合っていない</t>
        </is>
      </c>
      <c r="E20" s="10" t="inlineStr">
        <is>
          <t>GK②（消費税考慮）は船舶代金478.5百万円（税込）を2026年9月に全額支払。GK①（同）は同額を2026年10月〜2028年9月の5回に分けて受取。2年間、478.5百万円がどちらの帳簿にも存在しない（GK①のキャッシュポジションは常時30百万円程度）。どちらかが誤り。GK②が分割払ならGK②の初期拠出6.11億は過大＝GK②のIRRは上振れ。GK①が一括受取ならGK①のIRRは113.7%より更に上振れ。</t>
        </is>
      </c>
      <c r="F20" s="43" t="n"/>
    </row>
    <row r="21" ht="96" customHeight="1">
      <c r="B21" s="42" t="inlineStr">
        <is>
          <t>高</t>
        </is>
      </c>
      <c r="C21" s="40" t="inlineStr">
        <is>
          <t>ストラクチャリングAM報酬1.0億円（YN&amp;C）の水準</t>
        </is>
      </c>
      <c r="E21" s="10" t="inlineStr">
        <is>
          <t>GK①の総費用2.768億のうち36%を単一のAM報酬が占める。この報酬が無ければ投資家のネット利益は158.2百万→258.2百万（IRR 273%）。YN&amp;Cは同時に割り戻し後26.7%の最大出資者でもあり、報酬1.0億＋利益分配0.42億＝1.42億を出資0.52億に対して得る。他の投資家との利益相反として開示・説明が必要。</t>
        </is>
      </c>
      <c r="F21" s="43" t="n"/>
    </row>
    <row r="22" ht="96" customHeight="1">
      <c r="B22" s="42" t="inlineStr">
        <is>
          <t>高</t>
        </is>
      </c>
      <c r="C22" s="40" t="inlineStr">
        <is>
          <t>減価償却の計上年度が取得年度からずれている</t>
        </is>
      </c>
      <c r="E22" s="10" t="inlineStr">
        <is>
          <t>GK②CFは2026年9月に船舶を取得しながら、FY2027-03期の償却をゼロとし、FY2028-03期に4.35億を全額計上している。定率法は取得月からの月割償却であり、この置き方は成立しない。正しく月割すると還付の総額は同じでも1年前倒しになる（IRRは上振れ）。ただし本質的な論点は耐用年数の区分（下記）。</t>
        </is>
      </c>
      <c r="F22" s="43" t="n"/>
    </row>
    <row r="23" ht="96" customHeight="1">
      <c r="B23" s="42" t="inlineStr">
        <is>
          <t>高</t>
        </is>
      </c>
      <c r="C23" s="40" t="inlineStr">
        <is>
          <t>船舶の法定耐用年数の区分が未確認</t>
        </is>
      </c>
      <c r="E23" s="10" t="inlineStr">
        <is>
          <t>耐用年数省令 別表第一「船舶／その他のもの」では、モーターボート及びとう載漁船＝4年、強化プラスチック船＝7年。本船はFRP製12トン型の営業用旅客船（JCI平水・最大搭載人員48名）で、いずれの区分かで中古簡便法の年数が2年と5年に分かれる。5年ならGK②の税効果込IRRは33.4%→2.7%。スキームの税メリットの全額がこの一点に乗っている。</t>
        </is>
      </c>
      <c r="F23" s="43" t="n"/>
    </row>
    <row r="24" ht="96" customHeight="1">
      <c r="B24" s="14" t="inlineStr">
        <is>
          <t>中</t>
        </is>
      </c>
      <c r="C24" s="40" t="inlineStr">
        <is>
          <t>2033年以降15年間、投資家は分配ゼロで納税のみ</t>
        </is>
      </c>
      <c r="E24" s="10" t="inlineStr">
        <is>
          <t>GK②の分配金は2032年3月で終了するが、ファンドは2033年3月時点で85百万円の現金を保有し、以後年5百万円の運営費で15年かけて費消し、2048年に残10百万円だけを分配する。投資家側は同期間、毎年10百万円の納税だけを負担する（税効果込CF＝△10百万円/年）。2033年に85百万円を分配すればIRRは改善する。分配方針を匿名組合契約で設計すべき。</t>
        </is>
      </c>
      <c r="F24" s="43" t="n"/>
    </row>
    <row r="25" ht="96" customHeight="1">
      <c r="B25" s="14" t="inlineStr">
        <is>
          <t>中</t>
        </is>
      </c>
      <c r="C25" s="40" t="inlineStr">
        <is>
          <t>累積利益剰余金の行が数式として成立していない</t>
        </is>
      </c>
      <c r="E25" s="10" t="inlineStr">
        <is>
          <t>GK②CF r87 の数式は MAX(0, 分配金累計 − 出資額) を加減する構造で、利益剰余金の計算になっていない。H〜J列が△427.2百万円のまま動かないのはこのため。投資家配布資料では誤解を招くので表示行を修正すること（なお税額計算はr86の単年度損益を参照しており、TKパススルー前提としては整合的）。</t>
        </is>
      </c>
      <c r="F25" s="43" t="n"/>
    </row>
    <row r="26" ht="96" customHeight="1">
      <c r="B26" s="14" t="inlineStr">
        <is>
          <t>中</t>
        </is>
      </c>
      <c r="C26" s="40" t="inlineStr">
        <is>
          <t>会員権の販売スピードが感応度化されていない</t>
        </is>
      </c>
      <c r="E26" s="10" t="inlineStr">
        <is>
          <t>GK②は2027年3月と2028年3月に会員権ネット売上をそれぞれ50%ずつ計上している。100口を1年半で完売する前提。CFメモシートにも「UMITOの販売スピード感」が未検証項目として挙がっている。80口を下回ると元本割れ。</t>
        </is>
      </c>
      <c r="F26" s="43" t="n"/>
    </row>
    <row r="27" ht="96" customHeight="1">
      <c r="B27" s="14" t="inlineStr">
        <is>
          <t>中</t>
        </is>
      </c>
      <c r="C27" s="40" t="inlineStr">
        <is>
          <t>WineBankのF&amp;B取り分がCF表に存在しない</t>
        </is>
      </c>
      <c r="E27" s="10" t="inlineStr">
        <is>
          <t>一般販売チャーター価格シート／UMITOメンバーチャーター価格シートのF&amp;B例では、販売1万円・原価5千円に対し、10%（1千円）が『投資家の出資割合にて按分』、残る4千円が『オペレーター利益』とされている。WineBankの取り分が無い。前回0824資料p28では同じ『売上高の10%』がWineBankの収益とされており、両資料が矛盾している。収益分配計算シートの図でもF&amp;B業務委託契約は『条件未定』。</t>
        </is>
      </c>
      <c r="F27" s="43" t="n"/>
    </row>
  </sheetData>
  <mergeCells count="8">
    <mergeCell ref="E20:F20"/>
    <mergeCell ref="E24:F24"/>
    <mergeCell ref="E25:F25"/>
    <mergeCell ref="E27:F27"/>
    <mergeCell ref="E23:F23"/>
    <mergeCell ref="E22:F22"/>
    <mergeCell ref="E26:F26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2026-08-26T05:56:32Z</dcterms:created>
  <dcterms:modified xsi:type="dcterms:W3CDTF">2026-08-26T05:58:42Z</dcterms:modified>
</cp:coreProperties>
</file>