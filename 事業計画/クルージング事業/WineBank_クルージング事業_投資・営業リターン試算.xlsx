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サマリー" sheetId="1" state="visible" r:id="rId1"/>
    <sheet name="01_前提条件" sheetId="2" state="visible" r:id="rId2"/>
    <sheet name="02_投資リターン_造船TK" sheetId="3" state="visible" r:id="rId3"/>
    <sheet name="03_投資リターン_会員権TK" sheetId="4" state="visible" r:id="rId4"/>
    <sheet name="04_営業リターン_FB" sheetId="5" state="visible" r:id="rId5"/>
    <sheet name="05_キャパシティ検証" sheetId="6" state="visible" r:id="rId6"/>
    <sheet name="06_ダブルチェック指摘" sheetId="7" state="visible" r:id="rId7"/>
  </sheets>
  <definedNames/>
  <calcPr calcId="124519" fullCalcOnLoad="1"/>
</workbook>
</file>

<file path=xl/styles.xml><?xml version="1.0" encoding="utf-8"?>
<styleSheet xmlns="http://schemas.openxmlformats.org/spreadsheetml/2006/main">
  <numFmts count="7">
    <numFmt numFmtId="164" formatCode="#,##0;[Red]-#,##0"/>
    <numFmt numFmtId="165" formatCode="0.0%"/>
    <numFmt numFmtId="166" formatCode="#,##0.0"/>
    <numFmt numFmtId="167" formatCode="0.00&quot;x&quot;"/>
    <numFmt numFmtId="168" formatCode="#,##0.0;[Red]-#,##0.0"/>
    <numFmt numFmtId="169" formatCode="0.0&quot;倍&quot;"/>
    <numFmt numFmtId="170" formatCode="0&quot;年&quot;"/>
  </numFmts>
  <fonts count="13">
    <font>
      <name val="Calibri"/>
      <family val="2"/>
      <color theme="1"/>
      <sz val="11"/>
      <scheme val="minor"/>
    </font>
    <font>
      <name val="Yu Gothic"/>
      <b val="1"/>
      <color rgb="001F3864"/>
      <sz val="16"/>
    </font>
    <font>
      <name val="Yu Gothic"/>
      <color rgb="00666666"/>
      <sz val="9"/>
    </font>
    <font>
      <name val="Yu Gothic"/>
      <b val="1"/>
      <sz val="10"/>
    </font>
    <font>
      <name val="Yu Gothic"/>
      <b val="1"/>
      <color rgb="000000CC"/>
      <sz val="10"/>
    </font>
    <font>
      <name val="Yu Gothic"/>
      <sz val="10"/>
    </font>
    <font>
      <name val="Yu Gothic"/>
      <b val="1"/>
      <color rgb="00FFFFFF"/>
      <sz val="14"/>
    </font>
    <font>
      <name val="Yu Gothic"/>
      <color rgb="00555555"/>
      <sz val="9"/>
    </font>
    <font>
      <name val="Yu Gothic"/>
      <b val="1"/>
      <color rgb="00C00000"/>
      <sz val="10"/>
    </font>
    <font>
      <name val="Yu Gothic"/>
      <b val="1"/>
      <color rgb="001F3864"/>
      <sz val="15"/>
    </font>
    <font>
      <name val="Yu Gothic"/>
      <b val="1"/>
      <color rgb="001F3864"/>
      <sz val="11"/>
    </font>
    <font>
      <name val="Yu Gothic"/>
      <color rgb="00C00000"/>
      <sz val="9"/>
    </font>
    <font>
      <name val="Yu Gothic"/>
      <b val="1"/>
      <color rgb="001F3864"/>
      <sz val="17"/>
    </font>
  </fonts>
  <fills count="7">
    <fill>
      <patternFill/>
    </fill>
    <fill>
      <patternFill patternType="gray125"/>
    </fill>
    <fill>
      <patternFill patternType="solid">
        <fgColor rgb="00FFF2CC"/>
      </patternFill>
    </fill>
    <fill>
      <patternFill patternType="solid">
        <fgColor rgb="00E2EFDA"/>
      </patternFill>
    </fill>
    <fill>
      <patternFill patternType="solid">
        <fgColor rgb="001F3864"/>
      </patternFill>
    </fill>
    <fill>
      <patternFill patternType="solid">
        <fgColor rgb="00D9E2F3"/>
      </patternFill>
    </fill>
    <fill>
      <patternFill patternType="solid">
        <fgColor rgb="00FCE4E4"/>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5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3" borderId="1" pivotButton="0" quotePrefix="0" xfId="0"/>
    <xf numFmtId="0" fontId="5" fillId="0" borderId="0" pivotButton="0" quotePrefix="0" xfId="0"/>
    <xf numFmtId="0" fontId="6" fillId="4" borderId="0" pivotButton="0" quotePrefix="0" xfId="0"/>
    <xf numFmtId="0" fontId="0" fillId="4" borderId="0" pivotButton="0" quotePrefix="0" xfId="0"/>
    <xf numFmtId="0" fontId="3" fillId="5" borderId="1" pivotButton="0" quotePrefix="0" xfId="0"/>
    <xf numFmtId="0" fontId="5" fillId="0" borderId="1" pivotButton="0" quotePrefix="0" xfId="0"/>
    <xf numFmtId="164" fontId="4" fillId="2" borderId="1" pivotButton="0" quotePrefix="0" xfId="0"/>
    <xf numFmtId="0" fontId="7" fillId="0" borderId="1" pivotButton="0" quotePrefix="0" xfId="0"/>
    <xf numFmtId="165" fontId="4" fillId="2" borderId="1" pivotButton="0" quotePrefix="0" xfId="0"/>
    <xf numFmtId="166" fontId="4" fillId="2" borderId="1" pivotButton="0" quotePrefix="0" xfId="0"/>
    <xf numFmtId="164" fontId="8" fillId="6" borderId="1" pivotButton="0" quotePrefix="0" xfId="0"/>
    <xf numFmtId="165" fontId="8" fillId="6" borderId="1" pivotButton="0" quotePrefix="0" xfId="0"/>
    <xf numFmtId="166" fontId="8" fillId="6" borderId="1" pivotButton="0" quotePrefix="0" xfId="0"/>
    <xf numFmtId="0" fontId="9" fillId="0" borderId="0" pivotButton="0" quotePrefix="0" xfId="0"/>
    <xf numFmtId="164" fontId="5" fillId="0" borderId="1" pivotButton="0" quotePrefix="0" xfId="0"/>
    <xf numFmtId="0" fontId="3" fillId="0" borderId="1" pivotButton="0" quotePrefix="0" xfId="0"/>
    <xf numFmtId="164" fontId="3" fillId="0" borderId="1" pivotButton="0" quotePrefix="0" xfId="0"/>
    <xf numFmtId="164" fontId="3" fillId="3" borderId="1" pivotButton="0" quotePrefix="0" xfId="0"/>
    <xf numFmtId="165" fontId="5" fillId="0" borderId="1" pivotButton="0" quotePrefix="0" xfId="0"/>
    <xf numFmtId="167" fontId="3" fillId="0" borderId="1" pivotButton="0" quotePrefix="0" xfId="0"/>
    <xf numFmtId="165" fontId="3" fillId="3" borderId="1" pivotButton="0" quotePrefix="0" xfId="0"/>
    <xf numFmtId="0" fontId="10" fillId="0" borderId="0" pivotButton="0" quotePrefix="0" xfId="0"/>
    <xf numFmtId="1" fontId="3" fillId="5" borderId="1" pivotButton="0" quotePrefix="0" xfId="0"/>
    <xf numFmtId="0" fontId="8" fillId="6" borderId="1" pivotButton="0" quotePrefix="0" xfId="0"/>
    <xf numFmtId="164" fontId="3" fillId="5" borderId="1" pivotButton="0" quotePrefix="0" xfId="0"/>
    <xf numFmtId="167" fontId="3" fillId="3" borderId="1" pivotButton="0" quotePrefix="0" xfId="0"/>
    <xf numFmtId="0" fontId="8" fillId="0" borderId="0" pivotButton="0" quotePrefix="0" xfId="0"/>
    <xf numFmtId="1" fontId="4" fillId="2" borderId="1" pivotButton="0" quotePrefix="0" xfId="0"/>
    <xf numFmtId="168" fontId="4" fillId="2" borderId="1" pivotButton="0" quotePrefix="0" xfId="0"/>
    <xf numFmtId="168" fontId="3" fillId="0" borderId="1" pivotButton="0" quotePrefix="0" xfId="0"/>
    <xf numFmtId="165" fontId="3" fillId="0" borderId="1" pivotButton="0" quotePrefix="0" xfId="0"/>
    <xf numFmtId="168" fontId="5" fillId="0" borderId="1" pivotButton="0" quotePrefix="0" xfId="0"/>
    <xf numFmtId="0" fontId="11" fillId="0" borderId="1" pivotButton="0" quotePrefix="0" xfId="0"/>
    <xf numFmtId="168" fontId="3" fillId="3" borderId="1" pivotButton="0" quotePrefix="0" xfId="0"/>
    <xf numFmtId="168" fontId="3" fillId="6" borderId="1" pivotButton="0" quotePrefix="0" xfId="0"/>
    <xf numFmtId="164" fontId="3" fillId="6" borderId="1" pivotButton="0" quotePrefix="0" xfId="0"/>
    <xf numFmtId="165" fontId="3" fillId="6" borderId="1" pivotButton="0" quotePrefix="0" xfId="0"/>
    <xf numFmtId="166" fontId="5" fillId="0" borderId="1" pivotButton="0" quotePrefix="0" xfId="0"/>
    <xf numFmtId="166" fontId="3" fillId="3" borderId="1" pivotButton="0" quotePrefix="0" xfId="0"/>
    <xf numFmtId="169" fontId="3" fillId="6" borderId="1" pivotButton="0" quotePrefix="0" xfId="0"/>
    <xf numFmtId="0" fontId="3" fillId="5" borderId="1" applyAlignment="1" pivotButton="0" quotePrefix="0" xfId="0">
      <alignment vertical="top" wrapText="1"/>
    </xf>
    <xf numFmtId="1" fontId="3" fillId="0" borderId="1" applyAlignment="1" pivotButton="0" quotePrefix="0" xfId="0">
      <alignment vertical="top" wrapText="1"/>
    </xf>
    <xf numFmtId="0" fontId="3" fillId="6" borderId="1" applyAlignment="1" pivotButton="0" quotePrefix="0" xfId="0">
      <alignment vertical="top" wrapText="1"/>
    </xf>
    <xf numFmtId="0" fontId="3" fillId="0" borderId="1" applyAlignment="1" pivotButton="0" quotePrefix="0" xfId="0">
      <alignment vertical="top" wrapText="1"/>
    </xf>
    <xf numFmtId="0" fontId="5" fillId="0" borderId="1" applyAlignment="1" pivotButton="0" quotePrefix="0" xfId="0">
      <alignment vertical="top" wrapText="1"/>
    </xf>
    <xf numFmtId="0" fontId="3" fillId="2" borderId="1" applyAlignment="1" pivotButton="0" quotePrefix="0" xfId="0">
      <alignment vertical="top" wrapText="1"/>
    </xf>
    <xf numFmtId="0" fontId="3" fillId="3" borderId="1" applyAlignment="1" pivotButton="0" quotePrefix="0" xfId="0">
      <alignment vertical="top" wrapText="1"/>
    </xf>
    <xf numFmtId="0" fontId="12" fillId="0" borderId="0" pivotButton="0" quotePrefix="0" xfId="0"/>
    <xf numFmtId="0" fontId="7" fillId="0" borderId="1" applyAlignment="1" pivotButton="0" quotePrefix="0" xfId="0">
      <alignment vertical="top" wrapText="1"/>
    </xf>
    <xf numFmtId="170" fontId="5" fillId="0" borderId="1" pivotButton="0" quotePrefix="0" xfId="0"/>
    <xf numFmtId="0" fontId="11" fillId="0" borderId="1" applyAlignment="1" pivotButton="0" quotePrefix="0" xfId="0">
      <alignment vertical="top" wrapText="1"/>
    </xf>
    <xf numFmtId="0" fontId="3" fillId="3" borderId="1" pivotButton="0" quotePrefix="0" xfId="0"/>
    <xf numFmtId="164" fontId="5" fillId="6" borderId="1" pivotButton="0" quotePrefix="0" xfId="0"/>
  </cellXfs>
  <cellStyles count="1">
    <cellStyle name="Normal" xfId="0" builtinId="0" hidden="0"/>
  </cellStyles>
  <dxfs count="2">
    <dxf>
      <font>
        <name val="Yu Gothic"/>
        <color rgb="00C00000"/>
        <sz val="10"/>
      </font>
      <fill>
        <patternFill patternType="solid">
          <bgColor rgb="00FCE4E4"/>
        </patternFill>
      </fill>
    </dxf>
    <dxf>
      <fill>
        <patternFill patternType="solid">
          <b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showGridLines="0" workbookViewId="0">
      <pane ySplit="3" topLeftCell="A4" activePane="bottomLeft" state="frozen"/>
      <selection pane="bottomLeft" activeCell="A1" sqref="A1"/>
    </sheetView>
  </sheetViews>
  <sheetFormatPr baseColWidth="8" defaultRowHeight="15"/>
  <cols>
    <col width="3" customWidth="1" min="1" max="1"/>
    <col width="32" customWidth="1" min="2" max="2"/>
    <col width="16" customWidth="1" min="3" max="3"/>
    <col width="16" customWidth="1" min="4" max="4"/>
    <col width="16" customWidth="1" min="5" max="5"/>
    <col width="54" customWidth="1" min="6" max="6"/>
  </cols>
  <sheetData>
    <row r="1">
      <c r="A1" s="52" t="inlineStr">
        <is>
          <t>WineBank クルージング事業参入　投資リターン／営業リターン　サマリー</t>
        </is>
      </c>
    </row>
    <row r="2">
      <c r="A2" s="2" t="inlineStr">
        <is>
          <t>2026-08-24　出典: 0824事業計画PDF(43p)／クルーザーデザインPJ図面／V2_0810契約進行表　単位: 万円</t>
        </is>
      </c>
    </row>
    <row r="4">
      <c r="A4" s="7" t="inlineStr">
        <is>
          <t>■ 投資リターン（TKへの出資）</t>
        </is>
      </c>
      <c r="B4" s="8" t="n"/>
      <c r="C4" s="8" t="n"/>
      <c r="D4" s="8" t="n"/>
      <c r="E4" s="8" t="n"/>
      <c r="F4" s="8" t="n"/>
    </row>
    <row r="5">
      <c r="B5" s="9" t="inlineStr"/>
      <c r="C5" s="9" t="inlineStr">
        <is>
          <t>TK① 造船</t>
        </is>
      </c>
      <c r="D5" s="9" t="inlineStr">
        <is>
          <t>TK② 会員権</t>
        </is>
      </c>
      <c r="E5" s="9" t="inlineStr"/>
      <c r="F5" s="45" t="inlineStr">
        <is>
          <t>前提</t>
        </is>
      </c>
    </row>
    <row r="6">
      <c r="B6" s="20" t="inlineStr">
        <is>
          <t>出資額</t>
        </is>
      </c>
      <c r="C6" s="19">
        <f>'02_投資リターン_造船TK'!C16</f>
        <v/>
      </c>
      <c r="D6" s="19">
        <f>'01_前提条件'!C9</f>
        <v/>
      </c>
      <c r="F6" s="53" t="inlineStr">
        <is>
          <t>TK①=造船原価2億円／TK②=船舶取得4億円</t>
        </is>
      </c>
    </row>
    <row r="7">
      <c r="B7" s="20" t="inlineStr">
        <is>
          <t>投資期間（年）</t>
        </is>
      </c>
      <c r="C7" s="54">
        <f>'01_前提条件'!C35</f>
        <v/>
      </c>
      <c r="D7" s="54">
        <f>'01_前提条件'!C13</f>
        <v/>
      </c>
      <c r="F7" s="53" t="inlineStr">
        <is>
          <t>TK①=造船24か月／TK②=会員権20年</t>
        </is>
      </c>
    </row>
    <row r="8">
      <c r="B8" s="20" t="inlineStr">
        <is>
          <t>倍率（税前 MOIC）</t>
        </is>
      </c>
      <c r="C8" s="30">
        <f>'02_投資リターン_造船TK'!C18</f>
        <v/>
      </c>
      <c r="D8" s="30">
        <f>'03_投資リターン_会員権TK'!F18</f>
        <v/>
      </c>
      <c r="F8" s="53" t="inlineStr">
        <is>
          <t>TK①=按分なし／TK②=完売2年</t>
        </is>
      </c>
    </row>
    <row r="9">
      <c r="B9" s="20" t="inlineStr">
        <is>
          <t>IRR（税前）</t>
        </is>
      </c>
      <c r="C9" s="25">
        <f>'02_投資リターン_造船TK'!C19</f>
        <v/>
      </c>
      <c r="D9" s="25">
        <f>'03_投資リターン_会員権TK'!C19</f>
        <v/>
      </c>
      <c r="F9" s="53" t="inlineStr"/>
    </row>
    <row r="10">
      <c r="B10" s="20" t="inlineStr">
        <is>
          <t>IRR（税前・50:50按分時）</t>
        </is>
      </c>
      <c r="C10" s="25">
        <f>'02_投資リターン_造船TK'!D19</f>
        <v/>
      </c>
      <c r="D10" s="56" t="inlineStr">
        <is>
          <t>—</t>
        </is>
      </c>
      <c r="F10" s="53" t="inlineStr">
        <is>
          <t>p16の按分がTK①譲渡益に及ぶ場合</t>
        </is>
      </c>
    </row>
    <row r="11">
      <c r="B11" s="20" t="inlineStr">
        <is>
          <t>IRR（税後・実効34%）</t>
        </is>
      </c>
      <c r="C11" s="25">
        <f>'02_投資リターン_造船TK'!C23</f>
        <v/>
      </c>
      <c r="D11" s="56" t="inlineStr">
        <is>
          <t>—</t>
        </is>
      </c>
      <c r="F11" s="53" t="inlineStr">
        <is>
          <t>TK②は償却スキームのため別途</t>
        </is>
      </c>
    </row>
    <row r="12">
      <c r="B12" s="20" t="inlineStr">
        <is>
          <t>20年累計CF</t>
        </is>
      </c>
      <c r="C12" s="56" t="inlineStr">
        <is>
          <t>—</t>
        </is>
      </c>
      <c r="D12" s="22">
        <f>'03_投資リターン_会員権TK'!C18</f>
        <v/>
      </c>
      <c r="F12" s="53" t="inlineStr">
        <is>
          <t>TK②のみ。単純年平均利回り2.0%</t>
        </is>
      </c>
    </row>
    <row r="13">
      <c r="B13" s="20" t="inlineStr">
        <is>
          <t>下振れ：50口止まり</t>
        </is>
      </c>
      <c r="C13" s="10" t="inlineStr">
        <is>
          <t>—</t>
        </is>
      </c>
      <c r="D13" s="57" t="n">
        <v>-14000</v>
      </c>
      <c r="F13" s="53" t="inlineStr">
        <is>
          <t>20年累計CF △1.4億円／未回収</t>
        </is>
      </c>
    </row>
    <row r="14">
      <c r="B14" s="20" t="inlineStr">
        <is>
          <t>下振れ：維持費2,000万/年</t>
        </is>
      </c>
      <c r="C14" s="10" t="inlineStr">
        <is>
          <t>—</t>
        </is>
      </c>
      <c r="D14" s="19">
        <f>'03_投資リターン_会員権TK'!H23</f>
        <v/>
      </c>
      <c r="F14" s="53" t="inlineStr">
        <is>
          <t>20年累計CF △8,000万円</t>
        </is>
      </c>
    </row>
    <row r="15">
      <c r="A15" s="7" t="inlineStr">
        <is>
          <t>■ 営業リターン（WineBank F&amp;B事業・グループ4）</t>
        </is>
      </c>
      <c r="B15" s="8" t="n"/>
      <c r="C15" s="8" t="n"/>
      <c r="D15" s="8" t="n"/>
      <c r="E15" s="8" t="n"/>
      <c r="F15" s="8" t="n"/>
    </row>
    <row r="16">
      <c r="B16" s="9" t="inlineStr"/>
      <c r="C16" s="9" t="inlineStr">
        <is>
          <t>保守</t>
        </is>
      </c>
      <c r="D16" s="9" t="inlineStr">
        <is>
          <t>基本</t>
        </is>
      </c>
      <c r="E16" s="9" t="inlineStr">
        <is>
          <t>強気</t>
        </is>
      </c>
      <c r="F16" s="45" t="inlineStr">
        <is>
          <t>前提</t>
        </is>
      </c>
    </row>
    <row r="17">
      <c r="B17" s="10" t="inlineStr">
        <is>
          <t>F&amp;B実施運航回数</t>
        </is>
      </c>
      <c r="C17" s="19">
        <f>'04_営業リターン_FB'!C24</f>
        <v/>
      </c>
      <c r="D17" s="19">
        <f>'04_営業リターン_FB'!D24</f>
        <v/>
      </c>
      <c r="E17" s="19">
        <f>'04_営業リターン_FB'!E24</f>
        <v/>
      </c>
      <c r="F17" s="53" t="inlineStr">
        <is>
          <t>稼働300日×1.2/2.0/3.0枠 × F&amp;B実施率70/80/90%</t>
        </is>
      </c>
    </row>
    <row r="18">
      <c r="B18" s="10" t="inlineStr">
        <is>
          <t>F&amp;B売上</t>
        </is>
      </c>
      <c r="C18" s="19">
        <f>'04_営業リターン_FB'!C25</f>
        <v/>
      </c>
      <c r="D18" s="19">
        <f>'04_営業リターン_FB'!D25</f>
        <v/>
      </c>
      <c r="E18" s="19">
        <f>'04_営業リターン_FB'!E25</f>
        <v/>
      </c>
      <c r="F18" s="53" t="inlineStr">
        <is>
          <t>回数 × 乗船8/10/12名 × 客単価2.0/3.0/4.0万円</t>
        </is>
      </c>
    </row>
    <row r="19">
      <c r="B19" s="10" t="inlineStr">
        <is>
          <t>限界利益</t>
        </is>
      </c>
      <c r="C19" s="19">
        <f>'04_営業リターン_FB'!C29</f>
        <v/>
      </c>
      <c r="D19" s="19">
        <f>'04_営業リターン_FB'!D29</f>
        <v/>
      </c>
      <c r="E19" s="19">
        <f>'04_営業リターン_FB'!E29</f>
        <v/>
      </c>
      <c r="F19" s="53" t="inlineStr">
        <is>
          <t>F&amp;B売上 −原価33% −人件費8万/運航 −物流1.5万/運航</t>
        </is>
      </c>
    </row>
    <row r="20">
      <c r="B20" s="10" t="inlineStr">
        <is>
          <t>コーディネーションフィー</t>
        </is>
      </c>
      <c r="C20" s="19">
        <f>'04_営業リターン_FB'!C31</f>
        <v/>
      </c>
      <c r="D20" s="19">
        <f>'04_営業リターン_FB'!D31</f>
        <v/>
      </c>
      <c r="E20" s="19">
        <f>'04_営業リターン_FB'!E31</f>
        <v/>
      </c>
      <c r="F20" s="53" t="inlineStr">
        <is>
          <t>F&amp;B売上×10%（p28）</t>
        </is>
      </c>
    </row>
    <row r="21">
      <c r="B21" s="10" t="inlineStr">
        <is>
          <t>固定費</t>
        </is>
      </c>
      <c r="C21" s="19">
        <f>'04_営業リターン_FB'!C33</f>
        <v/>
      </c>
      <c r="D21" s="19">
        <f>'04_営業リターン_FB'!D33</f>
        <v/>
      </c>
      <c r="E21" s="19">
        <f>'04_営業リターン_FB'!E33</f>
        <v/>
      </c>
      <c r="F21" s="53" t="inlineStr">
        <is>
          <t>統括MGR900＋事務300＋什器償却300＋在庫金利100＋保険等200＋本部按分300</t>
        </is>
      </c>
    </row>
    <row r="22">
      <c r="B22" s="20" t="inlineStr">
        <is>
          <t>営業利益</t>
        </is>
      </c>
      <c r="C22" s="22">
        <f>'04_営業リターン_FB'!C34</f>
        <v/>
      </c>
      <c r="D22" s="22">
        <f>'04_営業リターン_FB'!D34</f>
        <v/>
      </c>
      <c r="E22" s="22">
        <f>'04_営業リターン_FB'!E34</f>
        <v/>
      </c>
      <c r="F22" s="53" t="inlineStr"/>
    </row>
    <row r="23">
      <c r="B23" s="20" t="inlineStr">
        <is>
          <t>営業利益率</t>
        </is>
      </c>
      <c r="C23" s="25">
        <f>'04_営業リターン_FB'!C36</f>
        <v/>
      </c>
      <c r="D23" s="25">
        <f>'04_営業リターン_FB'!D36</f>
        <v/>
      </c>
      <c r="E23" s="25">
        <f>'04_営業リターン_FB'!E36</f>
        <v/>
      </c>
      <c r="F23" s="53" t="inlineStr">
        <is>
          <t>対 総収益（F&amp;B売上＋フィー）</t>
        </is>
      </c>
    </row>
    <row r="24">
      <c r="B24" s="20" t="inlineStr">
        <is>
          <t>税後利益</t>
        </is>
      </c>
      <c r="C24" s="22">
        <f>'04_営業リターン_FB'!C37</f>
        <v/>
      </c>
      <c r="D24" s="22">
        <f>'04_営業リターン_FB'!D37</f>
        <v/>
      </c>
      <c r="E24" s="22">
        <f>'04_営業リターン_FB'!E37</f>
        <v/>
      </c>
      <c r="F24" s="53" t="inlineStr">
        <is>
          <t>実効税率34%</t>
        </is>
      </c>
    </row>
    <row r="25">
      <c r="B25" s="20" t="inlineStr">
        <is>
          <t>初期投資ROI</t>
        </is>
      </c>
      <c r="C25" s="25">
        <f>'04_営業リターン_FB'!C38</f>
        <v/>
      </c>
      <c r="D25" s="25">
        <f>'04_営業リターン_FB'!D38</f>
        <v/>
      </c>
      <c r="E25" s="25">
        <f>'04_営業リターン_FB'!E38</f>
        <v/>
      </c>
      <c r="F25" s="53" t="inlineStr">
        <is>
          <t>初期投資1,500万円（什器・食器・グラス・初期ワイン在庫）に対して</t>
        </is>
      </c>
    </row>
    <row r="26">
      <c r="B26" s="20" t="inlineStr">
        <is>
          <t>損益分岐F&amp;B運航回数</t>
        </is>
      </c>
      <c r="C26" s="22">
        <f>'04_営業リターン_FB'!C39</f>
        <v/>
      </c>
      <c r="D26" s="22">
        <f>'04_営業リターン_FB'!D39</f>
        <v/>
      </c>
      <c r="E26" s="22">
        <f>'04_営業リターン_FB'!E39</f>
        <v/>
      </c>
      <c r="F26" s="53" t="inlineStr">
        <is>
          <t>固定費 ÷ 1運航あたり貢献利益</t>
        </is>
      </c>
    </row>
    <row r="27">
      <c r="C27">
        <f>'04_営業リターン_FB'!C39</f>
        <v/>
      </c>
      <c r="D27">
        <f>'04_営業リターン_FB'!D39</f>
        <v/>
      </c>
      <c r="E27">
        <f>'04_営業リターン_FB'!E39</f>
        <v/>
      </c>
    </row>
    <row r="28">
      <c r="A28" s="7" t="inlineStr">
        <is>
          <t>■ 結論</t>
        </is>
      </c>
      <c r="B28" s="8" t="n"/>
      <c r="C28" s="8" t="n"/>
      <c r="D28" s="8" t="n"/>
      <c r="E28" s="8" t="n"/>
      <c r="F28" s="8" t="n"/>
    </row>
    <row r="29">
      <c r="B29" s="3" t="inlineStr">
        <is>
          <t>① 営業リターン（F&amp;B）は入るべき。基本ケースで営業利益4,428万円・税後2,922万円、初期投資1,500万円に対しROI 295%（回収4.1か月）。</t>
        </is>
      </c>
    </row>
    <row r="30">
      <c r="B30" s="6" t="inlineStr">
        <is>
          <t xml:space="preserve">　 船舶リスク・造船リスク・会員権販売リスクをいずれも負わないアセットライト構造で、WineBankの既存仕入力とシェフ網がそのまま効く。</t>
        </is>
      </c>
    </row>
    <row r="31">
      <c r="B31" s="6" t="inlineStr">
        <is>
          <t xml:space="preserve">　 損益分岐は「1運航あたりF&amp;B売上12.3万円 かつ 年154回」。稼働300日で1日0.51枠なので、ハードルは低い。</t>
        </is>
      </c>
    </row>
    <row r="32">
      <c r="B32" s="6" t="inlineStr"/>
    </row>
    <row r="33">
      <c r="B33" s="31" t="inlineStr">
        <is>
          <t>② ただし1運航あたり売上が15万円を下回ると年750回運航しても赤字。招聘シェフ人件費8万円/運航が回数比例でかかるため。</t>
        </is>
      </c>
    </row>
    <row r="34">
      <c r="B34" s="6" t="inlineStr">
        <is>
          <t xml:space="preserve">　 → 契約交渉では「最低乗船人数」または「1運航あたり最低保証額」を必ず取ること。ここが営業リターンの生命線。</t>
        </is>
      </c>
    </row>
    <row r="35">
      <c r="B35" s="6" t="inlineStr"/>
    </row>
    <row r="36">
      <c r="B36" s="31" t="inlineStr">
        <is>
          <t>③ 投資リターン（TK出資）は現時点では判断不能。TK①は税後IRR 14.2〜26.9%だが按分定義とAM報酬が未開示で、上記はすべて上限値。</t>
        </is>
      </c>
    </row>
    <row r="37">
      <c r="B37" s="6" t="inlineStr">
        <is>
          <t xml:space="preserve">　 TK②はIRR 30.4%に見えるが20年通算では1.40倍（年率2.0%）に過ぎず、未計上の年間維持費が1,600万円を超えるとゼロになる。</t>
        </is>
      </c>
    </row>
    <row r="38">
      <c r="B38" s="3" t="inlineStr">
        <is>
          <t xml:space="preserve">　 → 高重要度の指摘7件（移転価格／償却前提の二重記載／リース区分／消費税／維持費／年会費帰属／発行口数）が解消されるまで出資は保留を推奨。</t>
        </is>
      </c>
    </row>
    <row r="39">
      <c r="B39" s="6" t="inlineStr"/>
    </row>
    <row r="40">
      <c r="B40" s="3" t="inlineStr">
        <is>
          <t>④ 最優先で確認すべき3点：(a) 年会費 年1.5億円の帰属　(b) 船舶4億円の第三者鑑定　(c) AM報酬・組成費用のフィーテーブル</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4" customWidth="1" min="1" max="1"/>
    <col width="42" customWidth="1" min="2" max="2"/>
    <col width="14" customWidth="1" min="3" max="3"/>
    <col width="10" customWidth="1" min="4" max="4"/>
    <col width="60" customWidth="1" min="5" max="5"/>
  </cols>
  <sheetData>
    <row r="1">
      <c r="A1" s="1" t="inlineStr">
        <is>
          <t>WineBank クルージング事業  投資リターン／営業リターン試算モデル</t>
        </is>
      </c>
    </row>
    <row r="2">
      <c r="A2" s="2" t="inlineStr">
        <is>
          <t>作成日 2026-08-24 ／ 出典: 0824事業計画PDF(43p)・クルーザーデザインPJ図面・V2_0810契約進行表</t>
        </is>
      </c>
    </row>
    <row r="4">
      <c r="B4" s="3" t="inlineStr">
        <is>
          <t>凡例</t>
        </is>
      </c>
      <c r="C4" s="4" t="inlineStr">
        <is>
          <t>入力値</t>
        </is>
      </c>
      <c r="D4" s="5" t="inlineStr"/>
      <c r="E4" s="6" t="inlineStr">
        <is>
          <t>黄=入力セル（変更可） ／ 赤字=資料に記載がなく推計した項目（要確認）</t>
        </is>
      </c>
    </row>
    <row r="6">
      <c r="A6" s="7" t="inlineStr">
        <is>
          <t>■ A. 資料から確定している数値（0824事業計画PDF）</t>
        </is>
      </c>
      <c r="B6" s="8" t="n"/>
      <c r="C6" s="8" t="n"/>
      <c r="D6" s="8" t="n"/>
      <c r="E6" s="8" t="n"/>
    </row>
    <row r="7">
      <c r="B7" s="9" t="inlineStr">
        <is>
          <t>項目</t>
        </is>
      </c>
      <c r="C7" s="9" t="inlineStr">
        <is>
          <t>単位/値</t>
        </is>
      </c>
      <c r="D7" s="9" t="inlineStr"/>
      <c r="E7" s="9" t="inlineStr">
        <is>
          <t>出典・備考</t>
        </is>
      </c>
    </row>
    <row r="8">
      <c r="B8" s="10" t="inlineStr">
        <is>
          <t>船舶取得原価（造船TKが負担）</t>
        </is>
      </c>
      <c r="C8" s="11" t="n">
        <v>20000</v>
      </c>
      <c r="D8" s="10" t="inlineStr">
        <is>
          <t>万円</t>
        </is>
      </c>
      <c r="E8" s="12" t="inlineStr">
        <is>
          <t>p21/p34「2億円で造船し、4億円で売却」</t>
        </is>
      </c>
    </row>
    <row r="9">
      <c r="B9" s="10" t="inlineStr">
        <is>
          <t>TK②への船舶売却価格</t>
        </is>
      </c>
      <c r="C9" s="11" t="n">
        <v>40000</v>
      </c>
      <c r="D9" s="10" t="inlineStr">
        <is>
          <t>万円</t>
        </is>
      </c>
      <c r="E9" s="12" t="inlineStr">
        <is>
          <t>p21/p26/p34。TK②の減価償却基礎額</t>
        </is>
      </c>
    </row>
    <row r="10">
      <c r="B10" s="10" t="inlineStr">
        <is>
          <t>会員権 販売口数</t>
        </is>
      </c>
      <c r="C10" s="11" t="n">
        <v>100</v>
      </c>
      <c r="D10" s="10" t="inlineStr">
        <is>
          <t>口</t>
        </is>
      </c>
      <c r="E10" s="12" t="inlineStr">
        <is>
          <t>p21/p27/p29</t>
        </is>
      </c>
    </row>
    <row r="11">
      <c r="B11" s="10" t="inlineStr">
        <is>
          <t>会員権 1口あたり販売価格</t>
        </is>
      </c>
      <c r="C11" s="11" t="n">
        <v>1000</v>
      </c>
      <c r="D11" s="10" t="inlineStr">
        <is>
          <t>万円</t>
        </is>
      </c>
      <c r="E11" s="12" t="inlineStr">
        <is>
          <t>p21/p27。20年権利・年10回利用</t>
        </is>
      </c>
    </row>
    <row r="12">
      <c r="B12" s="10" t="inlineStr">
        <is>
          <t>UMITO 販売受託手数料率</t>
        </is>
      </c>
      <c r="C12" s="13" t="n">
        <v>0.4</v>
      </c>
      <c r="D12" s="10" t="inlineStr">
        <is>
          <t>%</t>
        </is>
      </c>
      <c r="E12" s="12" t="inlineStr">
        <is>
          <t>p36「40%（400万円）の手数料を受領」</t>
        </is>
      </c>
    </row>
    <row r="13">
      <c r="B13" s="10" t="inlineStr">
        <is>
          <t>会員権 権利期間</t>
        </is>
      </c>
      <c r="C13" s="14" t="n">
        <v>20</v>
      </c>
      <c r="D13" s="10" t="inlineStr">
        <is>
          <t>年</t>
        </is>
      </c>
      <c r="E13" s="12" t="inlineStr">
        <is>
          <t>p21/p39</t>
        </is>
      </c>
    </row>
    <row r="14">
      <c r="B14" s="10" t="inlineStr">
        <is>
          <t>会員 年間利用回数</t>
        </is>
      </c>
      <c r="C14" s="14" t="n">
        <v>10</v>
      </c>
      <c r="D14" s="10" t="inlineStr">
        <is>
          <t>回</t>
        </is>
      </c>
      <c r="E14" s="12" t="inlineStr">
        <is>
          <t>p21/p39</t>
        </is>
      </c>
    </row>
    <row r="15">
      <c r="B15" s="10" t="inlineStr">
        <is>
          <t>会員 都度利用料（90分）</t>
        </is>
      </c>
      <c r="C15" s="14" t="n">
        <v>13</v>
      </c>
      <c r="D15" s="10" t="inlineStr">
        <is>
          <t>万円</t>
        </is>
      </c>
      <c r="E15" s="12" t="inlineStr">
        <is>
          <t>p36/p37。原価10万＋TWW利益3万</t>
        </is>
      </c>
    </row>
    <row r="16">
      <c r="B16" s="10" t="inlineStr">
        <is>
          <t xml:space="preserve">　うち 人件費（船長）10,000円/h×5h</t>
        </is>
      </c>
      <c r="C16" s="14" t="n">
        <v>5</v>
      </c>
      <c r="D16" s="10" t="inlineStr">
        <is>
          <t>万円</t>
        </is>
      </c>
      <c r="E16" s="12" t="inlineStr">
        <is>
          <t>p17</t>
        </is>
      </c>
    </row>
    <row r="17">
      <c r="B17" s="10" t="inlineStr">
        <is>
          <t xml:space="preserve">　うち 人件費（船員）6,000円/h×5h</t>
        </is>
      </c>
      <c r="C17" s="14" t="n">
        <v>3</v>
      </c>
      <c r="D17" s="10" t="inlineStr">
        <is>
          <t>万円</t>
        </is>
      </c>
      <c r="E17" s="12" t="inlineStr">
        <is>
          <t>p17</t>
        </is>
      </c>
    </row>
    <row r="18">
      <c r="B18" s="10" t="inlineStr">
        <is>
          <t xml:space="preserve">　うち 桟橋使用料（往復）</t>
        </is>
      </c>
      <c r="C18" s="14" t="n">
        <v>0.3</v>
      </c>
      <c r="D18" s="10" t="inlineStr">
        <is>
          <t>万円</t>
        </is>
      </c>
      <c r="E18" s="12" t="inlineStr">
        <is>
          <t>p17</t>
        </is>
      </c>
    </row>
    <row r="19">
      <c r="B19" s="10" t="inlineStr">
        <is>
          <t xml:space="preserve">　うち 燃料費（230円/ℓ）</t>
        </is>
      </c>
      <c r="C19" s="14" t="n">
        <v>1.7</v>
      </c>
      <c r="D19" s="10" t="inlineStr">
        <is>
          <t>万円</t>
        </is>
      </c>
      <c r="E19" s="12" t="inlineStr">
        <is>
          <t>p17。15ℓ/h×5h×230円=17,250円との丸め差△250円</t>
        </is>
      </c>
    </row>
    <row r="20">
      <c r="B20" s="10" t="inlineStr">
        <is>
          <t xml:space="preserve">　うち 東京ウォータウェイズ利益</t>
        </is>
      </c>
      <c r="C20" s="14" t="n">
        <v>3</v>
      </c>
      <c r="D20" s="10" t="inlineStr">
        <is>
          <t>万円</t>
        </is>
      </c>
      <c r="E20" s="12" t="inlineStr">
        <is>
          <t>p17脚注</t>
        </is>
      </c>
    </row>
    <row r="21">
      <c r="B21" s="10" t="inlineStr">
        <is>
          <t>一般売り 販売単価</t>
        </is>
      </c>
      <c r="C21" s="14" t="n">
        <v>30</v>
      </c>
      <c r="D21" s="10" t="inlineStr">
        <is>
          <t>万円</t>
        </is>
      </c>
      <c r="E21" s="12" t="inlineStr">
        <is>
          <t>p37「例：定価30万円で販売」</t>
        </is>
      </c>
    </row>
    <row r="22">
      <c r="B22" s="10" t="inlineStr">
        <is>
          <t>一般売り時のTK②への修繕積立</t>
        </is>
      </c>
      <c r="C22" s="14" t="n">
        <v>2</v>
      </c>
      <c r="D22" s="10" t="inlineStr">
        <is>
          <t>万円</t>
        </is>
      </c>
      <c r="E22" s="12" t="inlineStr">
        <is>
          <t>p37</t>
        </is>
      </c>
    </row>
    <row r="23">
      <c r="B23" s="10" t="inlineStr">
        <is>
          <t>運航ダイヤ 枠数</t>
        </is>
      </c>
      <c r="C23" s="14" t="n">
        <v>5</v>
      </c>
      <c r="D23" s="10" t="inlineStr">
        <is>
          <t>枠/日</t>
        </is>
      </c>
      <c r="E23" s="12" t="inlineStr">
        <is>
          <t>p18。12/14/16/18/20時 各90分</t>
        </is>
      </c>
    </row>
    <row r="24">
      <c r="B24" s="10" t="inlineStr">
        <is>
          <t>延長料金（30分）</t>
        </is>
      </c>
      <c r="C24" s="14" t="n">
        <v>2</v>
      </c>
      <c r="D24" s="10" t="inlineStr">
        <is>
          <t>万円</t>
        </is>
      </c>
      <c r="E24" s="12" t="inlineStr">
        <is>
          <t>p18</t>
        </is>
      </c>
    </row>
    <row r="25">
      <c r="B25" s="10" t="inlineStr">
        <is>
          <t>収益按分（1号船）UMITO:投資家</t>
        </is>
      </c>
      <c r="C25" s="4" t="inlineStr">
        <is>
          <t>50:50</t>
        </is>
      </c>
      <c r="D25" s="10" t="inlineStr">
        <is>
          <t>-</t>
        </is>
      </c>
      <c r="E25" s="12" t="inlineStr">
        <is>
          <t>p16</t>
        </is>
      </c>
    </row>
    <row r="26">
      <c r="B26" s="10" t="inlineStr">
        <is>
          <t>船舶 法定耐用年数（新造）</t>
        </is>
      </c>
      <c r="C26" s="14" t="n">
        <v>4</v>
      </c>
      <c r="D26" s="10" t="inlineStr">
        <is>
          <t>年</t>
        </is>
      </c>
      <c r="E26" s="12" t="inlineStr">
        <is>
          <t>p12。200%定率法 50/25/12.5/12.5%</t>
        </is>
      </c>
    </row>
    <row r="27">
      <c r="B27" s="10" t="inlineStr">
        <is>
          <t>船舶 耐用年数（築2年中古・簡便法）</t>
        </is>
      </c>
      <c r="C27" s="14" t="n">
        <v>2</v>
      </c>
      <c r="D27" s="10" t="inlineStr">
        <is>
          <t>年</t>
        </is>
      </c>
      <c r="E27" s="12" t="inlineStr">
        <is>
          <t>p13。(4-2)+2×20%=2.4→2年、初年度100%</t>
        </is>
      </c>
    </row>
    <row r="28">
      <c r="B28" s="10" t="inlineStr">
        <is>
          <t>年会費相当額（1口1,000万円の場合）</t>
        </is>
      </c>
      <c r="C28" s="11" t="n">
        <v>150</v>
      </c>
      <c r="D28" s="10" t="inlineStr">
        <is>
          <t>万円</t>
        </is>
      </c>
      <c r="E28" s="12" t="inlineStr">
        <is>
          <t>p39。100口なら年1.5億円だが帰属先が図に無い</t>
        </is>
      </c>
    </row>
    <row r="29">
      <c r="B29" s="10" t="inlineStr">
        <is>
          <t>船内席＋テラス席（Plan A〜D）</t>
        </is>
      </c>
      <c r="C29" s="4" t="inlineStr">
        <is>
          <t>12〜18</t>
        </is>
      </c>
      <c r="D29" s="10" t="inlineStr">
        <is>
          <t>席</t>
        </is>
      </c>
      <c r="E29" s="12" t="inlineStr">
        <is>
          <t>設計図面 A02/A03。最大搭載人員44名(旅客44名)</t>
        </is>
      </c>
    </row>
    <row r="31">
      <c r="A31" s="7" t="inlineStr">
        <is>
          <t>■ B. 資料に記載がなく、本試算で置いた前提（★要確認）</t>
        </is>
      </c>
      <c r="B31" s="8" t="n"/>
      <c r="C31" s="8" t="n"/>
      <c r="D31" s="8" t="n"/>
      <c r="E31" s="8" t="n"/>
    </row>
    <row r="32">
      <c r="B32" s="9" t="inlineStr">
        <is>
          <t>項目</t>
        </is>
      </c>
      <c r="C32" s="9" t="inlineStr">
        <is>
          <t>値</t>
        </is>
      </c>
      <c r="D32" s="9" t="inlineStr">
        <is>
          <t>単位</t>
        </is>
      </c>
      <c r="E32" s="9" t="inlineStr">
        <is>
          <t>根拠・確認先</t>
        </is>
      </c>
    </row>
    <row r="33">
      <c r="B33" s="10" t="inlineStr">
        <is>
          <t>TK① AM報酬・組成費用 合計</t>
        </is>
      </c>
      <c r="C33" s="15" t="n">
        <v>1500</v>
      </c>
      <c r="D33" s="10" t="inlineStr">
        <is>
          <t>万円</t>
        </is>
      </c>
      <c r="E33" s="12" t="inlineStr">
        <is>
          <t>YN&amp;C/東京WW/れいわ/TMI/三井デザインテック等。金額未開示→出資額の7.5%と仮置き</t>
        </is>
      </c>
    </row>
    <row r="34">
      <c r="B34" s="10" t="inlineStr">
        <is>
          <t>法人実効税率</t>
        </is>
      </c>
      <c r="C34" s="16" t="n">
        <v>0.34</v>
      </c>
      <c r="D34" s="10" t="inlineStr">
        <is>
          <t>%</t>
        </is>
      </c>
      <c r="E34" s="12" t="inlineStr">
        <is>
          <t>資本金1億円超の東京都所在法人を想定</t>
        </is>
      </c>
    </row>
    <row r="35">
      <c r="B35" s="10" t="inlineStr">
        <is>
          <t>造船期間（＝TK①の投資期間）</t>
        </is>
      </c>
      <c r="C35" s="17" t="n">
        <v>2</v>
      </c>
      <c r="D35" s="10" t="inlineStr">
        <is>
          <t>年</t>
        </is>
      </c>
      <c r="E35" s="12" t="inlineStr">
        <is>
          <t>p8「新築造船期間：24か月想定」</t>
        </is>
      </c>
    </row>
    <row r="36">
      <c r="B36" s="10" t="inlineStr">
        <is>
          <t>TK② 年間維持費（係留/保険/JCI船検/整備/GK維持）</t>
        </is>
      </c>
      <c r="C36" s="15" t="n">
        <v>800</v>
      </c>
      <c r="D36" s="10" t="inlineStr">
        <is>
          <t>万円</t>
        </is>
      </c>
      <c r="E36" s="12" t="inlineStr">
        <is>
          <t>資料に一切記載なし。12t旅客船の実勢から推計</t>
        </is>
      </c>
    </row>
    <row r="37">
      <c r="B37" s="10" t="inlineStr">
        <is>
          <t>一般売り 想定回数</t>
        </is>
      </c>
      <c r="C37" s="15" t="n">
        <v>300</v>
      </c>
      <c r="D37" s="10" t="inlineStr">
        <is>
          <t>回/年</t>
        </is>
      </c>
      <c r="E37" s="12" t="inlineStr">
        <is>
          <t>修繕積立(2万/回)の原資</t>
        </is>
      </c>
    </row>
    <row r="38">
      <c r="B38" s="10" t="inlineStr">
        <is>
          <t>年間稼働可能日数</t>
        </is>
      </c>
      <c r="C38" s="15" t="n">
        <v>300</v>
      </c>
      <c r="D38" s="10" t="inlineStr">
        <is>
          <t>日</t>
        </is>
      </c>
      <c r="E38" s="12" t="inlineStr">
        <is>
          <t>荒天・強風・整備・年末年始で65日停止を想定</t>
        </is>
      </c>
    </row>
    <row r="39">
      <c r="B39" s="10" t="inlineStr">
        <is>
          <t>F&amp;B 食材・飲料 原価率</t>
        </is>
      </c>
      <c r="C39" s="16" t="n">
        <v>0.33</v>
      </c>
      <c r="D39" s="10" t="inlineStr">
        <is>
          <t>%</t>
        </is>
      </c>
      <c r="E39" s="12" t="inlineStr">
        <is>
          <t>料理30%・ワイン40%の加重。WineBankの仕入力を反映</t>
        </is>
      </c>
    </row>
    <row r="40">
      <c r="B40" s="10" t="inlineStr">
        <is>
          <t>F&amp;B 1運航あたり調理・サービス人件費</t>
        </is>
      </c>
      <c r="C40" s="17" t="n">
        <v>8</v>
      </c>
      <c r="D40" s="10" t="inlineStr">
        <is>
          <t>万円</t>
        </is>
      </c>
      <c r="E40" s="12" t="inlineStr">
        <is>
          <t>招聘シェフ5万＋サービス2名×1.5万</t>
        </is>
      </c>
    </row>
    <row r="41">
      <c r="B41" s="10" t="inlineStr">
        <is>
          <t>F&amp;B 1運航あたり物流・消耗品</t>
        </is>
      </c>
      <c r="C41" s="17" t="n">
        <v>1.5</v>
      </c>
      <c r="D41" s="10" t="inlineStr">
        <is>
          <t>万円</t>
        </is>
      </c>
      <c r="E41" s="12" t="inlineStr">
        <is>
          <t>食材輸送・リネン・消耗品</t>
        </is>
      </c>
    </row>
    <row r="42">
      <c r="B42" s="10" t="inlineStr">
        <is>
          <t>コーディネーションフィー率</t>
        </is>
      </c>
      <c r="C42" s="16" t="n">
        <v>0.1</v>
      </c>
      <c r="D42" s="10" t="inlineStr">
        <is>
          <t>%</t>
        </is>
      </c>
      <c r="E42" s="12" t="inlineStr">
        <is>
          <t>p28「コーディネーションフィー（売上高の10%)」。母数の定義が曖昧→F&amp;B売上に対して適用</t>
        </is>
      </c>
    </row>
    <row r="43">
      <c r="B43" s="10" t="inlineStr">
        <is>
          <t>F&amp;B 年間固定費</t>
        </is>
      </c>
      <c r="C43" s="15" t="n">
        <v>2100</v>
      </c>
      <c r="D43" s="10" t="inlineStr">
        <is>
          <t>万円</t>
        </is>
      </c>
      <c r="E43" s="12" t="inlineStr">
        <is>
          <t>統括MGR900+事務按分300+什器償却300+在庫金利100+保険許認可200+本部按分300</t>
        </is>
      </c>
    </row>
    <row r="44">
      <c r="B44" s="10" t="inlineStr">
        <is>
          <t>WineBank 初期投資</t>
        </is>
      </c>
      <c r="C44" s="15" t="n">
        <v>1500</v>
      </c>
      <c r="D44" s="10" t="inlineStr">
        <is>
          <t>万円</t>
        </is>
      </c>
      <c r="E44" s="12" t="inlineStr">
        <is>
          <t>什器・食器・グラス・初期ワイン在庫</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showGridLines="0" workbookViewId="0">
      <selection activeCell="A1" sqref="A1"/>
    </sheetView>
  </sheetViews>
  <sheetFormatPr baseColWidth="8" defaultRowHeight="15"/>
  <cols>
    <col width="3" customWidth="1" min="1" max="1"/>
    <col width="40" customWidth="1" min="2" max="2"/>
    <col width="15" customWidth="1" min="3" max="3"/>
    <col width="15" customWidth="1" min="4" max="4"/>
    <col width="15" customWidth="1" min="5" max="5"/>
    <col width="4" customWidth="1" min="6" max="6"/>
    <col width="58" customWidth="1" min="7" max="7"/>
    <col width="10" customWidth="1" min="8" max="8"/>
  </cols>
  <sheetData>
    <row r="1">
      <c r="A1" s="18" t="inlineStr">
        <is>
          <t>【投資リターン ①】造船匿名組合（GK①/TK①）への出資</t>
        </is>
      </c>
    </row>
    <row r="2">
      <c r="A2" s="2" t="inlineStr">
        <is>
          <t>役割：船の企画＋造船 → TK②へ引渡し。メリット：引渡によるキャピタルゲイン（p26）。投資期間＝造船24か月（p8）</t>
        </is>
      </c>
    </row>
    <row r="4">
      <c r="A4" s="7" t="inlineStr">
        <is>
          <t>■ 1. 損益の構成</t>
        </is>
      </c>
      <c r="B4" s="8" t="n"/>
      <c r="C4" s="8" t="n"/>
      <c r="D4" s="8" t="n"/>
      <c r="E4" s="8" t="n"/>
      <c r="F4" s="8" t="n"/>
      <c r="G4" s="8" t="n"/>
    </row>
    <row r="5">
      <c r="B5" s="9" t="inlineStr">
        <is>
          <t>項目</t>
        </is>
      </c>
      <c r="C5" s="9" t="inlineStr">
        <is>
          <t>金額(万円)</t>
        </is>
      </c>
      <c r="D5" s="9" t="inlineStr"/>
      <c r="E5" s="9" t="inlineStr"/>
      <c r="G5" s="9" t="inlineStr">
        <is>
          <t>算式・出典</t>
        </is>
      </c>
    </row>
    <row r="6">
      <c r="B6" s="10" t="inlineStr">
        <is>
          <t>船舶取得・改装原価</t>
        </is>
      </c>
      <c r="C6" s="19">
        <f>'01_前提条件'!$C$8</f>
        <v/>
      </c>
      <c r="G6" s="12" t="inlineStr">
        <is>
          <t>p34 ①建設仮勘定 200,000,000</t>
        </is>
      </c>
    </row>
    <row r="7">
      <c r="B7" s="10" t="inlineStr">
        <is>
          <t>TK②への売却価格</t>
        </is>
      </c>
      <c r="C7" s="19">
        <f>'01_前提条件'!$C$9</f>
        <v/>
      </c>
      <c r="G7" s="12" t="inlineStr">
        <is>
          <t>p34 ②売却時 現預金 400,000,000</t>
        </is>
      </c>
    </row>
    <row r="8">
      <c r="B8" s="20" t="inlineStr">
        <is>
          <t>船舶譲渡益</t>
        </is>
      </c>
      <c r="C8" s="21">
        <f>C7-C6</f>
        <v/>
      </c>
      <c r="G8" s="12" t="inlineStr">
        <is>
          <t>p34「（貸）船舶譲渡益 200,000,000」</t>
        </is>
      </c>
    </row>
    <row r="9">
      <c r="B9" s="10" t="inlineStr">
        <is>
          <t>AM報酬・組成費用（★推計）</t>
        </is>
      </c>
      <c r="C9" s="19">
        <f>-'01_前提条件'!$C$33</f>
        <v/>
      </c>
      <c r="G9" s="12" t="inlineStr">
        <is>
          <t>YN&amp;C/東京WW/れいわ/TMI/三井DT。★資料に金額記載なし</t>
        </is>
      </c>
    </row>
    <row r="10">
      <c r="B10" s="20" t="inlineStr">
        <is>
          <t>分配可能利益</t>
        </is>
      </c>
      <c r="C10" s="22">
        <f>C8+C9</f>
        <v/>
      </c>
      <c r="G10" s="12" t="inlineStr">
        <is>
          <t>譲渡益 − 組成費用</t>
        </is>
      </c>
    </row>
    <row r="12">
      <c r="A12" s="7" t="inlineStr">
        <is>
          <t>■ 2. 投資家リターン（出資額＝造船原価2億円をTK①投資家が全額拠出する前提）</t>
        </is>
      </c>
      <c r="B12" s="8" t="n"/>
      <c r="C12" s="8" t="n"/>
      <c r="D12" s="8" t="n"/>
      <c r="E12" s="8" t="n"/>
      <c r="F12" s="8" t="n"/>
      <c r="G12" s="8" t="n"/>
    </row>
    <row r="13">
      <c r="B13" s="9" t="inlineStr"/>
      <c r="C13" s="9" t="inlineStr">
        <is>
          <t>ケースA：按分なし</t>
        </is>
      </c>
      <c r="D13" s="9" t="inlineStr">
        <is>
          <t>ケースB：50:50按分</t>
        </is>
      </c>
      <c r="G13" s="9" t="inlineStr">
        <is>
          <t>備考</t>
        </is>
      </c>
    </row>
    <row r="14">
      <c r="B14" s="10" t="inlineStr">
        <is>
          <t>投資家への分配率</t>
        </is>
      </c>
      <c r="C14" s="23">
        <f>1</f>
        <v/>
      </c>
      <c r="D14" s="23">
        <f>0.5</f>
        <v/>
      </c>
      <c r="G14" s="12" t="inlineStr">
        <is>
          <t>p16「1号船は収益を50%(UMITO):50%(投資家)で按分」。按分対象がTK①の譲渡益を含むか要確認</t>
        </is>
      </c>
    </row>
    <row r="15">
      <c r="B15" s="10" t="inlineStr">
        <is>
          <t>投資家取分（税前）</t>
        </is>
      </c>
      <c r="C15" s="19">
        <f>$C$10*C14</f>
        <v/>
      </c>
      <c r="D15" s="19">
        <f>$C$10*D14</f>
        <v/>
      </c>
    </row>
    <row r="16">
      <c r="B16" s="10" t="inlineStr">
        <is>
          <t>出資額</t>
        </is>
      </c>
      <c r="C16" s="19">
        <f>'01_前提条件'!$C$8</f>
        <v/>
      </c>
      <c r="D16" s="19">
        <f>'01_前提条件'!$C$8</f>
        <v/>
      </c>
    </row>
    <row r="17">
      <c r="B17" s="10" t="inlineStr">
        <is>
          <t>回収額（税前）</t>
        </is>
      </c>
      <c r="C17" s="19">
        <f>C16+C15</f>
        <v/>
      </c>
      <c r="D17" s="19">
        <f>D16+D15</f>
        <v/>
      </c>
      <c r="G17" s="12" t="inlineStr">
        <is>
          <t>元本＋分配</t>
        </is>
      </c>
    </row>
    <row r="18">
      <c r="B18" s="20" t="inlineStr">
        <is>
          <t>倍率（税前 MOIC）</t>
        </is>
      </c>
      <c r="C18" s="24">
        <f>C17/C16</f>
        <v/>
      </c>
      <c r="D18" s="24">
        <f>D17/D16</f>
        <v/>
      </c>
    </row>
    <row r="19">
      <c r="B19" s="20" t="inlineStr">
        <is>
          <t>IRR（税前・2年）</t>
        </is>
      </c>
      <c r="C19" s="25">
        <f>(C18)^(1/'01_前提条件'!$C$35)-1</f>
        <v/>
      </c>
      <c r="D19" s="25">
        <f>(D18)^(1/'01_前提条件'!$C$35)-1</f>
        <v/>
      </c>
      <c r="G19" s="12" t="inlineStr">
        <is>
          <t>中間CFなし → MOIC^(1/年数)-1</t>
        </is>
      </c>
    </row>
    <row r="20">
      <c r="B20" s="10" t="inlineStr">
        <is>
          <t>投資家取分（税後）</t>
        </is>
      </c>
      <c r="C20" s="19">
        <f>C15*(1-'01_前提条件'!$C$34)</f>
        <v/>
      </c>
      <c r="D20" s="19">
        <f>D15*(1-'01_前提条件'!$C$34)</f>
        <v/>
      </c>
      <c r="G20" s="12" t="inlineStr">
        <is>
          <t>匿名組合分配は出資者(法人)側で益金</t>
        </is>
      </c>
    </row>
    <row r="21">
      <c r="B21" s="10" t="inlineStr">
        <is>
          <t>回収額（税後）</t>
        </is>
      </c>
      <c r="C21" s="19">
        <f>C16+C20</f>
        <v/>
      </c>
      <c r="D21" s="19">
        <f>D16+D20</f>
        <v/>
      </c>
    </row>
    <row r="22">
      <c r="B22" s="20" t="inlineStr">
        <is>
          <t>倍率（税後 MOIC）</t>
        </is>
      </c>
      <c r="C22" s="24">
        <f>C21/C16</f>
        <v/>
      </c>
      <c r="D22" s="24">
        <f>D21/D16</f>
        <v/>
      </c>
    </row>
    <row r="23">
      <c r="B23" s="20" t="inlineStr">
        <is>
          <t>IRR（税後・2年）</t>
        </is>
      </c>
      <c r="C23" s="25">
        <f>(C22)^(1/'01_前提条件'!$C$35)-1</f>
        <v/>
      </c>
      <c r="D23" s="25">
        <f>(D22)^(1/'01_前提条件'!$C$35)-1</f>
        <v/>
      </c>
    </row>
    <row r="25">
      <c r="B25" s="26" t="inlineStr">
        <is>
          <t>▼ 結論</t>
        </is>
      </c>
    </row>
    <row r="26">
      <c r="B26" s="6" t="inlineStr">
        <is>
          <t>・按分が譲渡益に及ばない場合：税前IRR 38.7%／税後IRR 26.9%（2年）。</t>
        </is>
      </c>
    </row>
    <row r="27">
      <c r="B27" s="6" t="inlineStr">
        <is>
          <t>・p16の50:50按分が譲渡益にも及ぶ場合：税前IRR 20.9%／税後IRR 14.2%（2年）。倍半分違う。</t>
        </is>
      </c>
    </row>
    <row r="28">
      <c r="B28" s="6" t="inlineStr">
        <is>
          <t>・ただしAM報酬・組成費用の実額が未開示のため、上記はいずれも『上限値』。契約23本(V2_0810)の報酬総額の開示が必須。</t>
        </is>
      </c>
    </row>
    <row r="29">
      <c r="B29" s="6" t="inlineStr">
        <is>
          <t>・最大リスクは「原価2億の船を4億で関連者へ売却」＝100%マークアップの移転価格。第三者船舶鑑定なしでは寄附金認定リスク。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0"/>
  <sheetViews>
    <sheetView showGridLines="0" workbookViewId="0">
      <selection activeCell="A1" sqref="A1"/>
    </sheetView>
  </sheetViews>
  <sheetFormatPr baseColWidth="8" defaultRowHeight="15"/>
  <cols>
    <col width="3" customWidth="1" min="1" max="1"/>
    <col width="34"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s>
  <sheetData>
    <row r="1">
      <c r="A1" s="18" t="inlineStr">
        <is>
          <t>【投資リターン ②】会員権発行匿名組合（GK②/TK②・船主）への出資</t>
        </is>
      </c>
    </row>
    <row r="2">
      <c r="A2" s="2" t="inlineStr">
        <is>
          <t>役割：船舶の所有＋会員権発行。メリット：減価償却の計上／会員権の発行利益。責任：会員への20年間の役務提供義務（p26/p30）</t>
        </is>
      </c>
    </row>
    <row r="4">
      <c r="A4" s="7" t="inlineStr">
        <is>
          <t>■ 1. 会員権の設計（p21/p27/p29）</t>
        </is>
      </c>
      <c r="B4" s="8" t="n"/>
      <c r="C4" s="8" t="n"/>
      <c r="D4" s="8" t="n"/>
      <c r="E4" s="8" t="n"/>
      <c r="F4" s="8" t="n"/>
      <c r="G4" s="8" t="n"/>
      <c r="H4" s="8" t="n"/>
    </row>
    <row r="5">
      <c r="B5" s="10" t="inlineStr">
        <is>
          <t>販売口数（口）</t>
        </is>
      </c>
      <c r="C5" s="11">
        <f>'01_前提条件'!$C$10</f>
        <v/>
      </c>
      <c r="E5" s="10" t="inlineStr">
        <is>
          <t>1口価格（万円）</t>
        </is>
      </c>
      <c r="F5" s="11">
        <f>'01_前提条件'!$C$11</f>
        <v/>
      </c>
    </row>
    <row r="6">
      <c r="B6" s="20" t="inlineStr">
        <is>
          <t>販売総額（万円）</t>
        </is>
      </c>
      <c r="C6" s="21">
        <f>C5*F5</f>
        <v/>
      </c>
      <c r="E6" s="10" t="inlineStr">
        <is>
          <t>UMITO手数料</t>
        </is>
      </c>
      <c r="F6" s="19">
        <f>C6*'01_前提条件'!$C$12</f>
        <v/>
      </c>
    </row>
    <row r="7">
      <c r="B7" s="20" t="inlineStr">
        <is>
          <t>TK②ネット入金（万円）</t>
        </is>
      </c>
      <c r="C7" s="22">
        <f>C6-F6</f>
        <v/>
      </c>
      <c r="E7" s="10" t="inlineStr">
        <is>
          <t>年間売上振替（万円）</t>
        </is>
      </c>
      <c r="F7" s="19">
        <f>C7/'01_前提条件'!$C$13</f>
        <v/>
      </c>
    </row>
    <row r="9">
      <c r="A9" s="7" t="inlineStr">
        <is>
          <t>■ 2. 20年キャッシュフロー（完売まで2年ケース）</t>
        </is>
      </c>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row>
    <row r="10">
      <c r="B10" s="9" t="inlineStr">
        <is>
          <t>年度</t>
        </is>
      </c>
      <c r="C10" s="27" t="n">
        <v>0</v>
      </c>
      <c r="D10" s="27" t="n">
        <v>1</v>
      </c>
      <c r="E10" s="27" t="n">
        <v>2</v>
      </c>
      <c r="F10" s="27" t="n">
        <v>3</v>
      </c>
      <c r="G10" s="27" t="n">
        <v>4</v>
      </c>
      <c r="H10" s="27" t="n">
        <v>5</v>
      </c>
      <c r="I10" s="27" t="n">
        <v>6</v>
      </c>
      <c r="J10" s="27" t="n">
        <v>7</v>
      </c>
      <c r="K10" s="27" t="n">
        <v>8</v>
      </c>
      <c r="L10" s="27" t="n">
        <v>9</v>
      </c>
      <c r="M10" s="27" t="n">
        <v>10</v>
      </c>
      <c r="N10" s="27" t="n">
        <v>11</v>
      </c>
      <c r="O10" s="27" t="n">
        <v>12</v>
      </c>
      <c r="P10" s="27" t="n">
        <v>13</v>
      </c>
      <c r="Q10" s="27" t="n">
        <v>14</v>
      </c>
      <c r="R10" s="27" t="n">
        <v>15</v>
      </c>
      <c r="S10" s="27" t="n">
        <v>16</v>
      </c>
      <c r="T10" s="27" t="n">
        <v>17</v>
      </c>
      <c r="U10" s="27" t="n">
        <v>18</v>
      </c>
      <c r="V10" s="27" t="n">
        <v>19</v>
      </c>
      <c r="W10" s="27" t="n">
        <v>20</v>
      </c>
    </row>
    <row r="11">
      <c r="B11" s="10" t="inlineStr">
        <is>
          <t>船舶取得（△4億）</t>
        </is>
      </c>
      <c r="C11" s="19">
        <f>-'01_前提条件'!$C$9</f>
        <v/>
      </c>
      <c r="D11" s="19" t="n">
        <v>0</v>
      </c>
      <c r="E11" s="19" t="n">
        <v>0</v>
      </c>
      <c r="F11" s="19" t="n">
        <v>0</v>
      </c>
      <c r="G11" s="19" t="n">
        <v>0</v>
      </c>
      <c r="H11" s="19" t="n">
        <v>0</v>
      </c>
      <c r="I11" s="19" t="n">
        <v>0</v>
      </c>
      <c r="J11" s="19" t="n">
        <v>0</v>
      </c>
      <c r="K11" s="19" t="n">
        <v>0</v>
      </c>
      <c r="L11" s="19" t="n">
        <v>0</v>
      </c>
      <c r="M11" s="19" t="n">
        <v>0</v>
      </c>
      <c r="N11" s="19" t="n">
        <v>0</v>
      </c>
      <c r="O11" s="19" t="n">
        <v>0</v>
      </c>
      <c r="P11" s="19" t="n">
        <v>0</v>
      </c>
      <c r="Q11" s="19" t="n">
        <v>0</v>
      </c>
      <c r="R11" s="19" t="n">
        <v>0</v>
      </c>
      <c r="S11" s="19" t="n">
        <v>0</v>
      </c>
      <c r="T11" s="19" t="n">
        <v>0</v>
      </c>
      <c r="U11" s="19" t="n">
        <v>0</v>
      </c>
      <c r="V11" s="19" t="n">
        <v>0</v>
      </c>
      <c r="W11" s="19" t="n">
        <v>0</v>
      </c>
    </row>
    <row r="12">
      <c r="B12" s="10" t="inlineStr">
        <is>
          <t>会員権ネット入金</t>
        </is>
      </c>
      <c r="C12" s="19" t="n">
        <v>0</v>
      </c>
      <c r="D12" s="19">
        <f>$C$7/2</f>
        <v/>
      </c>
      <c r="E12" s="19">
        <f>$C$7/2</f>
        <v/>
      </c>
      <c r="F12" s="19" t="n">
        <v>0</v>
      </c>
      <c r="G12" s="19" t="n">
        <v>0</v>
      </c>
      <c r="H12" s="19" t="n">
        <v>0</v>
      </c>
      <c r="I12" s="19" t="n">
        <v>0</v>
      </c>
      <c r="J12" s="19" t="n">
        <v>0</v>
      </c>
      <c r="K12" s="19" t="n">
        <v>0</v>
      </c>
      <c r="L12" s="19" t="n">
        <v>0</v>
      </c>
      <c r="M12" s="19" t="n">
        <v>0</v>
      </c>
      <c r="N12" s="19" t="n">
        <v>0</v>
      </c>
      <c r="O12" s="19" t="n">
        <v>0</v>
      </c>
      <c r="P12" s="19" t="n">
        <v>0</v>
      </c>
      <c r="Q12" s="19" t="n">
        <v>0</v>
      </c>
      <c r="R12" s="19" t="n">
        <v>0</v>
      </c>
      <c r="S12" s="19" t="n">
        <v>0</v>
      </c>
      <c r="T12" s="19" t="n">
        <v>0</v>
      </c>
      <c r="U12" s="19" t="n">
        <v>0</v>
      </c>
      <c r="V12" s="19" t="n">
        <v>0</v>
      </c>
      <c r="W12" s="19" t="n">
        <v>0</v>
      </c>
    </row>
    <row r="13">
      <c r="B13" s="10" t="inlineStr">
        <is>
          <t>一般売り修繕積立(+)</t>
        </is>
      </c>
      <c r="C13" s="19" t="n">
        <v>0</v>
      </c>
      <c r="D13" s="19">
        <f>'01_前提条件'!$C$22*'01_前提条件'!$C$37</f>
        <v/>
      </c>
      <c r="E13" s="19">
        <f>'01_前提条件'!$C$22*'01_前提条件'!$C$37</f>
        <v/>
      </c>
      <c r="F13" s="19">
        <f>'01_前提条件'!$C$22*'01_前提条件'!$C$37</f>
        <v/>
      </c>
      <c r="G13" s="19">
        <f>'01_前提条件'!$C$22*'01_前提条件'!$C$37</f>
        <v/>
      </c>
      <c r="H13" s="19">
        <f>'01_前提条件'!$C$22*'01_前提条件'!$C$37</f>
        <v/>
      </c>
      <c r="I13" s="19">
        <f>'01_前提条件'!$C$22*'01_前提条件'!$C$37</f>
        <v/>
      </c>
      <c r="J13" s="19">
        <f>'01_前提条件'!$C$22*'01_前提条件'!$C$37</f>
        <v/>
      </c>
      <c r="K13" s="19">
        <f>'01_前提条件'!$C$22*'01_前提条件'!$C$37</f>
        <v/>
      </c>
      <c r="L13" s="19">
        <f>'01_前提条件'!$C$22*'01_前提条件'!$C$37</f>
        <v/>
      </c>
      <c r="M13" s="19">
        <f>'01_前提条件'!$C$22*'01_前提条件'!$C$37</f>
        <v/>
      </c>
      <c r="N13" s="19">
        <f>'01_前提条件'!$C$22*'01_前提条件'!$C$37</f>
        <v/>
      </c>
      <c r="O13" s="19">
        <f>'01_前提条件'!$C$22*'01_前提条件'!$C$37</f>
        <v/>
      </c>
      <c r="P13" s="19">
        <f>'01_前提条件'!$C$22*'01_前提条件'!$C$37</f>
        <v/>
      </c>
      <c r="Q13" s="19">
        <f>'01_前提条件'!$C$22*'01_前提条件'!$C$37</f>
        <v/>
      </c>
      <c r="R13" s="19">
        <f>'01_前提条件'!$C$22*'01_前提条件'!$C$37</f>
        <v/>
      </c>
      <c r="S13" s="19">
        <f>'01_前提条件'!$C$22*'01_前提条件'!$C$37</f>
        <v/>
      </c>
      <c r="T13" s="19">
        <f>'01_前提条件'!$C$22*'01_前提条件'!$C$37</f>
        <v/>
      </c>
      <c r="U13" s="19">
        <f>'01_前提条件'!$C$22*'01_前提条件'!$C$37</f>
        <v/>
      </c>
      <c r="V13" s="19">
        <f>'01_前提条件'!$C$22*'01_前提条件'!$C$37</f>
        <v/>
      </c>
      <c r="W13" s="19">
        <f>'01_前提条件'!$C$22*'01_前提条件'!$C$37</f>
        <v/>
      </c>
    </row>
    <row r="14">
      <c r="B14" s="28" t="inlineStr">
        <is>
          <t>維持費（★推計・資料記載なし）</t>
        </is>
      </c>
      <c r="C14" s="19" t="n">
        <v>0</v>
      </c>
      <c r="D14" s="19">
        <f>-'01_前提条件'!$C$36</f>
        <v/>
      </c>
      <c r="E14" s="19">
        <f>-'01_前提条件'!$C$36</f>
        <v/>
      </c>
      <c r="F14" s="19">
        <f>-'01_前提条件'!$C$36</f>
        <v/>
      </c>
      <c r="G14" s="19">
        <f>-'01_前提条件'!$C$36</f>
        <v/>
      </c>
      <c r="H14" s="19">
        <f>-'01_前提条件'!$C$36</f>
        <v/>
      </c>
      <c r="I14" s="19">
        <f>-'01_前提条件'!$C$36</f>
        <v/>
      </c>
      <c r="J14" s="19">
        <f>-'01_前提条件'!$C$36</f>
        <v/>
      </c>
      <c r="K14" s="19">
        <f>-'01_前提条件'!$C$36</f>
        <v/>
      </c>
      <c r="L14" s="19">
        <f>-'01_前提条件'!$C$36</f>
        <v/>
      </c>
      <c r="M14" s="19">
        <f>-'01_前提条件'!$C$36</f>
        <v/>
      </c>
      <c r="N14" s="19">
        <f>-'01_前提条件'!$C$36</f>
        <v/>
      </c>
      <c r="O14" s="19">
        <f>-'01_前提条件'!$C$36</f>
        <v/>
      </c>
      <c r="P14" s="19">
        <f>-'01_前提条件'!$C$36</f>
        <v/>
      </c>
      <c r="Q14" s="19">
        <f>-'01_前提条件'!$C$36</f>
        <v/>
      </c>
      <c r="R14" s="19">
        <f>-'01_前提条件'!$C$36</f>
        <v/>
      </c>
      <c r="S14" s="19">
        <f>-'01_前提条件'!$C$36</f>
        <v/>
      </c>
      <c r="T14" s="19">
        <f>-'01_前提条件'!$C$36</f>
        <v/>
      </c>
      <c r="U14" s="19">
        <f>-'01_前提条件'!$C$36</f>
        <v/>
      </c>
      <c r="V14" s="19">
        <f>-'01_前提条件'!$C$36</f>
        <v/>
      </c>
      <c r="W14" s="19">
        <f>-'01_前提条件'!$C$36</f>
        <v/>
      </c>
    </row>
    <row r="15">
      <c r="B15" s="9" t="inlineStr">
        <is>
          <t>年次ネットCF</t>
        </is>
      </c>
      <c r="C15" s="29">
        <f>SUM(C11:C14)</f>
        <v/>
      </c>
      <c r="D15" s="29">
        <f>SUM(D11:D14)</f>
        <v/>
      </c>
      <c r="E15" s="29">
        <f>SUM(E11:E14)</f>
        <v/>
      </c>
      <c r="F15" s="29">
        <f>SUM(F11:F14)</f>
        <v/>
      </c>
      <c r="G15" s="29">
        <f>SUM(G11:G14)</f>
        <v/>
      </c>
      <c r="H15" s="29">
        <f>SUM(H11:H14)</f>
        <v/>
      </c>
      <c r="I15" s="29">
        <f>SUM(I11:I14)</f>
        <v/>
      </c>
      <c r="J15" s="29">
        <f>SUM(J11:J14)</f>
        <v/>
      </c>
      <c r="K15" s="29">
        <f>SUM(K11:K14)</f>
        <v/>
      </c>
      <c r="L15" s="29">
        <f>SUM(L11:L14)</f>
        <v/>
      </c>
      <c r="M15" s="29">
        <f>SUM(M11:M14)</f>
        <v/>
      </c>
      <c r="N15" s="29">
        <f>SUM(N11:N14)</f>
        <v/>
      </c>
      <c r="O15" s="29">
        <f>SUM(O11:O14)</f>
        <v/>
      </c>
      <c r="P15" s="29">
        <f>SUM(P11:P14)</f>
        <v/>
      </c>
      <c r="Q15" s="29">
        <f>SUM(Q11:Q14)</f>
        <v/>
      </c>
      <c r="R15" s="29">
        <f>SUM(R11:R14)</f>
        <v/>
      </c>
      <c r="S15" s="29">
        <f>SUM(S11:S14)</f>
        <v/>
      </c>
      <c r="T15" s="29">
        <f>SUM(T11:T14)</f>
        <v/>
      </c>
      <c r="U15" s="29">
        <f>SUM(U11:U14)</f>
        <v/>
      </c>
      <c r="V15" s="29">
        <f>SUM(V11:V14)</f>
        <v/>
      </c>
      <c r="W15" s="29">
        <f>SUM(W11:W14)</f>
        <v/>
      </c>
    </row>
    <row r="16">
      <c r="B16" s="20" t="inlineStr">
        <is>
          <t>累計CF</t>
        </is>
      </c>
      <c r="C16" s="21">
        <f>C15</f>
        <v/>
      </c>
      <c r="D16" s="21">
        <f>C16+D15</f>
        <v/>
      </c>
      <c r="E16" s="21">
        <f>D16+E15</f>
        <v/>
      </c>
      <c r="F16" s="21">
        <f>E16+F15</f>
        <v/>
      </c>
      <c r="G16" s="21">
        <f>F16+G15</f>
        <v/>
      </c>
      <c r="H16" s="21">
        <f>G16+H15</f>
        <v/>
      </c>
      <c r="I16" s="21">
        <f>H16+I15</f>
        <v/>
      </c>
      <c r="J16" s="21">
        <f>I16+J15</f>
        <v/>
      </c>
      <c r="K16" s="21">
        <f>J16+K15</f>
        <v/>
      </c>
      <c r="L16" s="21">
        <f>K16+L15</f>
        <v/>
      </c>
      <c r="M16" s="21">
        <f>L16+M15</f>
        <v/>
      </c>
      <c r="N16" s="21">
        <f>M16+N15</f>
        <v/>
      </c>
      <c r="O16" s="21">
        <f>N16+O15</f>
        <v/>
      </c>
      <c r="P16" s="21">
        <f>O16+P15</f>
        <v/>
      </c>
      <c r="Q16" s="21">
        <f>P16+Q15</f>
        <v/>
      </c>
      <c r="R16" s="21">
        <f>Q16+R15</f>
        <v/>
      </c>
      <c r="S16" s="21">
        <f>R16+S15</f>
        <v/>
      </c>
      <c r="T16" s="21">
        <f>S16+T15</f>
        <v/>
      </c>
      <c r="U16" s="21">
        <f>T16+U15</f>
        <v/>
      </c>
      <c r="V16" s="21">
        <f>U16+V15</f>
        <v/>
      </c>
      <c r="W16" s="21">
        <f>V16+W15</f>
        <v/>
      </c>
    </row>
    <row r="18">
      <c r="B18" s="20" t="inlineStr">
        <is>
          <t>20年累計CF（万円）</t>
        </is>
      </c>
      <c r="C18" s="22">
        <f>W16</f>
        <v/>
      </c>
      <c r="E18" s="20" t="inlineStr">
        <is>
          <t>出資倍率</t>
        </is>
      </c>
      <c r="F18" s="30">
        <f>(C18+'01_前提条件'!$C$9)/'01_前提条件'!$C$9</f>
        <v/>
      </c>
    </row>
    <row r="19">
      <c r="B19" s="20" t="inlineStr">
        <is>
          <t>IRR</t>
        </is>
      </c>
      <c r="C19" s="25">
        <f>IRR(C15:W15)</f>
        <v/>
      </c>
      <c r="E19" s="10" t="inlineStr">
        <is>
          <t>単純年平均利回り</t>
        </is>
      </c>
      <c r="F19" s="23">
        <f>C18/'01_前提条件'!$C$9/20</f>
        <v/>
      </c>
    </row>
    <row r="21">
      <c r="A21" s="7" t="inlineStr">
        <is>
          <t>■ 3. 感応度：年間維持費（資料に一切記載がない最重要の未定項目）</t>
        </is>
      </c>
      <c r="B21" s="8" t="n"/>
      <c r="C21" s="8" t="n"/>
      <c r="D21" s="8" t="n"/>
      <c r="E21" s="8" t="n"/>
      <c r="F21" s="8" t="n"/>
      <c r="G21" s="8" t="n"/>
      <c r="H21" s="8" t="n"/>
    </row>
    <row r="22">
      <c r="B22" s="9" t="inlineStr">
        <is>
          <t>年間維持費(万円)</t>
        </is>
      </c>
      <c r="C22" s="29" t="n">
        <v>0</v>
      </c>
      <c r="D22" s="29" t="n">
        <v>400</v>
      </c>
      <c r="E22" s="29" t="n">
        <v>800</v>
      </c>
      <c r="F22" s="29" t="n">
        <v>1200</v>
      </c>
      <c r="G22" s="29" t="n">
        <v>1600</v>
      </c>
      <c r="H22" s="29" t="n">
        <v>2000</v>
      </c>
    </row>
    <row r="23">
      <c r="B23" s="10" t="inlineStr">
        <is>
          <t>20年累計CF(万円)</t>
        </is>
      </c>
      <c r="C23" s="19">
        <f>$C$7-'01_前提条件'!$C$9+('01_前提条件'!$C$22*'01_前提条件'!$C$37-C22)*20</f>
        <v/>
      </c>
      <c r="D23" s="19">
        <f>$C$7-'01_前提条件'!$C$9+('01_前提条件'!$C$22*'01_前提条件'!$C$37-D22)*20</f>
        <v/>
      </c>
      <c r="E23" s="19">
        <f>$C$7-'01_前提条件'!$C$9+('01_前提条件'!$C$22*'01_前提条件'!$C$37-E22)*20</f>
        <v/>
      </c>
      <c r="F23" s="19">
        <f>$C$7-'01_前提条件'!$C$9+('01_前提条件'!$C$22*'01_前提条件'!$C$37-F22)*20</f>
        <v/>
      </c>
      <c r="G23" s="19">
        <f>$C$7-'01_前提条件'!$C$9+('01_前提条件'!$C$22*'01_前提条件'!$C$37-G22)*20</f>
        <v/>
      </c>
      <c r="H23" s="19">
        <f>$C$7-'01_前提条件'!$C$9+('01_前提条件'!$C$22*'01_前提条件'!$C$37-H22)*20</f>
        <v/>
      </c>
    </row>
    <row r="24">
      <c r="B24" s="10" t="inlineStr">
        <is>
          <t>IRR（実測値）</t>
        </is>
      </c>
      <c r="C24" s="23" t="n">
        <v>0.359</v>
      </c>
      <c r="D24" s="23" t="n">
        <v>0.333</v>
      </c>
      <c r="E24" s="23" t="n">
        <v>0.304</v>
      </c>
      <c r="F24" s="23" t="n">
        <v>0.27</v>
      </c>
      <c r="G24" s="23" t="n">
        <v>0.228</v>
      </c>
      <c r="H24" s="23" t="n">
        <v>0.09</v>
      </c>
    </row>
    <row r="26">
      <c r="B26" s="26" t="inlineStr">
        <is>
          <t>▼ 結論</t>
        </is>
      </c>
    </row>
    <row r="27">
      <c r="B27" s="6" t="inlineStr">
        <is>
          <t>・完売2年なら IRR 30.4%／20年累計CF +1.6億／出資倍率1.40倍。IRRが高いのは『4億払って2年で6億回収』の前倒し構造による見かけ。</t>
        </is>
      </c>
    </row>
    <row r="28">
      <c r="B28" s="6" t="inlineStr">
        <is>
          <t>・20年通算の絶対リターンは1.40倍＝単純年率2.0%に過ぎない。維持費が年1,600万を超えると20年累計CFはゼロになる。IRRではなく累計CFで判断すべき。</t>
        </is>
      </c>
    </row>
    <row r="29">
      <c r="B29" s="6" t="inlineStr">
        <is>
          <t>・70口止まりで20年累計CFは△2,000万、50口止まりで△1.4億。リターンは『会員権が売れるか』の一点に集約される。</t>
        </is>
      </c>
    </row>
    <row r="30">
      <c r="B30" s="6" t="inlineStr">
        <is>
          <t>・p26の「減価償却費の計上」は永久節税ではなく課税の繰延。20年通算の課税所得は6億−4億−維持費＋積立＝約1.6億で変わらない。</t>
        </is>
      </c>
    </row>
    <row r="32">
      <c r="A32" s="7" t="inlineStr">
        <is>
          <t>■ 4. 減価償却スケジュール（資料の2案）</t>
        </is>
      </c>
      <c r="B32" s="8" t="n"/>
      <c r="C32" s="8" t="n"/>
      <c r="D32" s="8" t="n"/>
      <c r="E32" s="8" t="n"/>
      <c r="F32" s="8" t="n"/>
      <c r="G32" s="8" t="n"/>
      <c r="H32" s="8" t="n"/>
    </row>
    <row r="33">
      <c r="B33" s="9" t="inlineStr">
        <is>
          <t>年度</t>
        </is>
      </c>
      <c r="C33" s="27" t="n">
        <v>1</v>
      </c>
      <c r="D33" s="27" t="n">
        <v>2</v>
      </c>
      <c r="E33" s="27" t="n">
        <v>3</v>
      </c>
      <c r="F33" s="27" t="n">
        <v>4</v>
      </c>
      <c r="G33" s="27" t="n">
        <v>5</v>
      </c>
      <c r="H33" s="9" t="inlineStr">
        <is>
          <t>出典</t>
        </is>
      </c>
    </row>
    <row r="34">
      <c r="B34" s="10" t="inlineStr">
        <is>
          <t>案A 新造・耐用4年・200%定率</t>
        </is>
      </c>
      <c r="C34" s="19">
        <f>'01_前提条件'!$C$9*0.5</f>
        <v/>
      </c>
      <c r="D34" s="19">
        <f>'01_前提条件'!$C$9*0.25</f>
        <v/>
      </c>
      <c r="E34" s="19">
        <f>'01_前提条件'!$C$9*0.125</f>
        <v/>
      </c>
      <c r="F34" s="19">
        <f>'01_前提条件'!$C$9*0.125</f>
        <v/>
      </c>
      <c r="G34" s="19">
        <f>'01_前提条件'!$C$9*0</f>
        <v/>
      </c>
      <c r="H34" s="12" t="inlineStr">
        <is>
          <t>p12。償却率0.500/保証率0.12499で検算済＝資料どおり</t>
        </is>
      </c>
    </row>
    <row r="35">
      <c r="B35" s="10" t="inlineStr">
        <is>
          <t>案B 築2年中古・耐用2年・簡便法</t>
        </is>
      </c>
      <c r="C35" s="19">
        <f>'01_前提条件'!$C$9*1.0</f>
        <v/>
      </c>
      <c r="D35" s="19">
        <f>'01_前提条件'!$C$9*0</f>
        <v/>
      </c>
      <c r="E35" s="19">
        <f>'01_前提条件'!$C$9*0</f>
        <v/>
      </c>
      <c r="F35" s="19">
        <f>'01_前提条件'!$C$9*0</f>
        <v/>
      </c>
      <c r="G35" s="19">
        <f>'01_前提条件'!$C$9*0</f>
        <v/>
      </c>
      <c r="H35" s="12" t="inlineStr">
        <is>
          <t>p13。(4-2)+2×20%=2.4→2年、償却率1.000＝資料どおり</t>
        </is>
      </c>
    </row>
    <row r="36">
      <c r="B36" s="10" t="inlineStr">
        <is>
          <t>年間売上振替（前受金取崩）</t>
        </is>
      </c>
      <c r="C36" s="19">
        <f>$C$7/'01_前提条件'!$C$13</f>
        <v/>
      </c>
      <c r="D36" s="19">
        <f>$C$7/'01_前提条件'!$C$13</f>
        <v/>
      </c>
      <c r="E36" s="19">
        <f>$C$7/'01_前提条件'!$C$13</f>
        <v/>
      </c>
      <c r="F36" s="19">
        <f>$C$7/'01_前提条件'!$C$13</f>
        <v/>
      </c>
      <c r="G36" s="19">
        <f>$C$7/'01_前提条件'!$C$13</f>
        <v/>
      </c>
      <c r="H36" s="12" t="inlineStr">
        <is>
          <t>p32/p35</t>
        </is>
      </c>
    </row>
    <row r="38">
      <c r="B38" s="31" t="inlineStr">
        <is>
          <t>★ 案A（新造・4億・24か月）と案B（築2年中古）が同一資料に併記され、どちらが本件の前提か未確定。償却スピードが2倍違う。</t>
        </is>
      </c>
    </row>
    <row r="39">
      <c r="B39" s="31" t="inlineStr">
        <is>
          <t>★ 定率法は月割償却。期首取得でなければ案Bの初年度100%償却は成立しない（例：12月決算8月取得なら5/12＝41.7%）。</t>
        </is>
      </c>
    </row>
    <row r="40">
      <c r="B40" s="31" t="inlineStr">
        <is>
          <t>★ p13の「事業開始日：2024年7月31日」は本件（2026年）と不整合。他案件の記載が残存している可能性。</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8"/>
  <sheetViews>
    <sheetView showGridLines="0" workbookViewId="0">
      <selection activeCell="A1" sqref="A1"/>
    </sheetView>
  </sheetViews>
  <sheetFormatPr baseColWidth="8" defaultRowHeight="15"/>
  <cols>
    <col width="3" customWidth="1" min="1" max="1"/>
    <col width="36" customWidth="1" min="2" max="2"/>
    <col width="13" customWidth="1" min="3" max="3"/>
    <col width="13" customWidth="1" min="4" max="4"/>
    <col width="13" customWidth="1" min="5" max="5"/>
    <col width="4" customWidth="1" min="6" max="6"/>
    <col width="4" customWidth="1" min="7" max="7"/>
    <col width="4" customWidth="1" min="8" max="8"/>
    <col width="4" customWidth="1" min="9" max="9"/>
  </cols>
  <sheetData>
    <row r="1">
      <c r="A1" s="18" t="inlineStr">
        <is>
          <t>【営業リターン】WineBank の F&amp;B 事業（グループ4）</t>
        </is>
      </c>
    </row>
    <row r="2">
      <c r="A2" s="2" t="inlineStr">
        <is>
          <t>役割：F&amp;B業務（飲食物提供・シェフ手配）／食品衛生管理　収益：F&amp;Bの売上高＋コーディネーションフィー（売上高の10%）　責任：食中毒リスク・品質管理・顧客満足度の維持（p28）</t>
        </is>
      </c>
    </row>
    <row r="4">
      <c r="A4" s="7" t="inlineStr">
        <is>
          <t>■ 1. 1運航あたりユニットエコノミクス（基本ケース：10名 × 客単価3.0万円）</t>
        </is>
      </c>
      <c r="B4" s="8" t="n"/>
      <c r="C4" s="8" t="n"/>
      <c r="D4" s="8" t="n"/>
      <c r="E4" s="8" t="n"/>
      <c r="F4" s="8" t="n"/>
    </row>
    <row r="5">
      <c r="B5" s="9" t="inlineStr">
        <is>
          <t>項目</t>
        </is>
      </c>
      <c r="C5" s="9" t="inlineStr">
        <is>
          <t>金額(万円)</t>
        </is>
      </c>
      <c r="D5" s="9" t="inlineStr">
        <is>
          <t>構成比</t>
        </is>
      </c>
      <c r="E5" s="9" t="inlineStr">
        <is>
          <t>算式</t>
        </is>
      </c>
    </row>
    <row r="6">
      <c r="B6" s="10" t="inlineStr">
        <is>
          <t>乗船人数（名）</t>
        </is>
      </c>
      <c r="C6" s="32" t="n">
        <v>10</v>
      </c>
      <c r="E6" s="12" t="inlineStr">
        <is>
          <t>設計図面: 船内4〜8席＋テラス8〜10席</t>
        </is>
      </c>
    </row>
    <row r="7">
      <c r="B7" s="10" t="inlineStr">
        <is>
          <t>F&amp;B客単価（万円/名）</t>
        </is>
      </c>
      <c r="C7" s="33" t="n">
        <v>3</v>
      </c>
      <c r="E7" s="12" t="inlineStr">
        <is>
          <t>料理1.8万＋ワイン1.2万を想定</t>
        </is>
      </c>
    </row>
    <row r="8">
      <c r="B8" s="20" t="inlineStr">
        <is>
          <t>F&amp;B売上</t>
        </is>
      </c>
      <c r="C8" s="34">
        <f>C6*C7</f>
        <v/>
      </c>
      <c r="D8" s="35" t="n">
        <v>1</v>
      </c>
    </row>
    <row r="9">
      <c r="B9" s="10" t="inlineStr">
        <is>
          <t>食材・飲料原価</t>
        </is>
      </c>
      <c r="C9" s="36">
        <f>-C8*'01_前提条件'!$C$39</f>
        <v/>
      </c>
      <c r="D9" s="23">
        <f>C9/C8</f>
        <v/>
      </c>
    </row>
    <row r="10">
      <c r="B10" s="10" t="inlineStr">
        <is>
          <t>調理・サービス人件費</t>
        </is>
      </c>
      <c r="C10" s="36">
        <f>-'01_前提条件'!$C$40</f>
        <v/>
      </c>
      <c r="D10" s="23">
        <f>C10/C8</f>
        <v/>
      </c>
      <c r="E10" s="37" t="inlineStr">
        <is>
          <t>★招聘シェフ5万＋サービス2名×1.5万（推計）</t>
        </is>
      </c>
    </row>
    <row r="11">
      <c r="B11" s="10" t="inlineStr">
        <is>
          <t>物流・消耗品</t>
        </is>
      </c>
      <c r="C11" s="36">
        <f>-'01_前提条件'!$C$41</f>
        <v/>
      </c>
      <c r="D11" s="23">
        <f>C11/C8</f>
        <v/>
      </c>
    </row>
    <row r="12">
      <c r="B12" s="20" t="inlineStr">
        <is>
          <t>限界利益</t>
        </is>
      </c>
      <c r="C12" s="34">
        <f>SUM(C8:C11)</f>
        <v/>
      </c>
      <c r="D12" s="35">
        <f>C12/C8</f>
        <v/>
      </c>
    </row>
    <row r="13">
      <c r="B13" s="10" t="inlineStr">
        <is>
          <t>コーディネーションフィー(10%)</t>
        </is>
      </c>
      <c r="C13" s="36">
        <f>C8*'01_前提条件'!$C$42</f>
        <v/>
      </c>
      <c r="D13" s="23">
        <f>C13/C8</f>
        <v/>
      </c>
      <c r="E13" s="37" t="inlineStr">
        <is>
          <t>★母数の定義（F&amp;B売上か運航売上か）要確認</t>
        </is>
      </c>
    </row>
    <row r="14">
      <c r="B14" s="20" t="inlineStr">
        <is>
          <t>1運航あたり貢献利益</t>
        </is>
      </c>
      <c r="C14" s="38">
        <f>C12+C13</f>
        <v/>
      </c>
      <c r="D14" s="25">
        <f>C14/C8</f>
        <v/>
      </c>
    </row>
    <row r="16">
      <c r="B16" s="20" t="inlineStr">
        <is>
          <t>1運航あたり損益分岐売上</t>
        </is>
      </c>
      <c r="C16" s="39">
        <f>('01_前提条件'!$C$40+'01_前提条件'!$C$41)/(1-'01_前提条件'!$C$39+'01_前提条件'!$C$42)</f>
        <v/>
      </c>
      <c r="E16" s="12" t="inlineStr">
        <is>
          <t>＝(人件費+物流)÷(1−原価率+フィー率)。10名なら客単価12,338円が損益分岐</t>
        </is>
      </c>
    </row>
    <row r="18">
      <c r="A18" s="7" t="inlineStr">
        <is>
          <t>■ 2. シナリオ別 年間P/L</t>
        </is>
      </c>
      <c r="B18" s="8" t="n"/>
      <c r="C18" s="8" t="n"/>
      <c r="D18" s="8" t="n"/>
      <c r="E18" s="8" t="n"/>
      <c r="F18" s="8" t="n"/>
    </row>
    <row r="19">
      <c r="B19" s="9" t="inlineStr">
        <is>
          <t>項目</t>
        </is>
      </c>
      <c r="C19" s="9" t="inlineStr">
        <is>
          <t>保守</t>
        </is>
      </c>
      <c r="D19" s="9" t="inlineStr">
        <is>
          <t>基本</t>
        </is>
      </c>
      <c r="E19" s="9" t="inlineStr">
        <is>
          <t>強気</t>
        </is>
      </c>
      <c r="F19" s="9" t="inlineStr"/>
    </row>
    <row r="20">
      <c r="B20" s="10" t="inlineStr">
        <is>
          <t>年間総運航回数</t>
        </is>
      </c>
      <c r="C20" s="11" t="n">
        <v>360</v>
      </c>
      <c r="D20" s="11" t="n">
        <v>600</v>
      </c>
      <c r="E20" s="11" t="n">
        <v>900</v>
      </c>
      <c r="F20" s="12" t="inlineStr">
        <is>
          <t>稼働300日 × 1.2 / 2.0 / 3.0 枠/日</t>
        </is>
      </c>
    </row>
    <row r="21">
      <c r="B21" s="10" t="inlineStr">
        <is>
          <t>F&amp;B実施率</t>
        </is>
      </c>
      <c r="C21" s="13" t="n">
        <v>0.7</v>
      </c>
      <c r="D21" s="13" t="n">
        <v>0.8</v>
      </c>
      <c r="E21" s="13" t="n">
        <v>0.9</v>
      </c>
      <c r="F21" s="12" t="inlineStr">
        <is>
          <t>一般売り枠の一部はF&amp;Bなし</t>
        </is>
      </c>
    </row>
    <row r="22">
      <c r="B22" s="10" t="inlineStr">
        <is>
          <t>乗船人数（名）</t>
        </is>
      </c>
      <c r="C22" s="32" t="n">
        <v>8</v>
      </c>
      <c r="D22" s="32" t="n">
        <v>10</v>
      </c>
      <c r="E22" s="32" t="n">
        <v>12</v>
      </c>
    </row>
    <row r="23">
      <c r="B23" s="10" t="inlineStr">
        <is>
          <t>F&amp;B客単価（万円）</t>
        </is>
      </c>
      <c r="C23" s="33" t="n">
        <v>2</v>
      </c>
      <c r="D23" s="33" t="n">
        <v>3</v>
      </c>
      <c r="E23" s="33" t="n">
        <v>4</v>
      </c>
    </row>
    <row r="24">
      <c r="B24" s="10" t="inlineStr">
        <is>
          <t>F&amp;B実施運航回数</t>
        </is>
      </c>
      <c r="C24" s="19">
        <f>C20*C21</f>
        <v/>
      </c>
      <c r="D24" s="19">
        <f>D20*D21</f>
        <v/>
      </c>
      <c r="E24" s="19">
        <f>E20*E21</f>
        <v/>
      </c>
    </row>
    <row r="25">
      <c r="B25" s="10" t="inlineStr">
        <is>
          <t>F&amp;B売上</t>
        </is>
      </c>
      <c r="C25" s="19">
        <f>C24*C22*C23</f>
        <v/>
      </c>
      <c r="D25" s="19">
        <f>D24*D22*D23</f>
        <v/>
      </c>
      <c r="E25" s="19">
        <f>E24*E22*E23</f>
        <v/>
      </c>
    </row>
    <row r="26">
      <c r="B26" s="10" t="inlineStr">
        <is>
          <t>食材・飲料原価</t>
        </is>
      </c>
      <c r="C26" s="19">
        <f>-C25*'01_前提条件'!$C$39</f>
        <v/>
      </c>
      <c r="D26" s="19">
        <f>-D25*'01_前提条件'!$C$39</f>
        <v/>
      </c>
      <c r="E26" s="19">
        <f>-E25*'01_前提条件'!$C$39</f>
        <v/>
      </c>
    </row>
    <row r="27">
      <c r="B27" s="10" t="inlineStr">
        <is>
          <t>調理・サービス人件費</t>
        </is>
      </c>
      <c r="C27" s="19">
        <f>-C24*'01_前提条件'!$C$40</f>
        <v/>
      </c>
      <c r="D27" s="19">
        <f>-D24*'01_前提条件'!$C$40</f>
        <v/>
      </c>
      <c r="E27" s="19">
        <f>-E24*'01_前提条件'!$C$40</f>
        <v/>
      </c>
    </row>
    <row r="28">
      <c r="B28" s="10" t="inlineStr">
        <is>
          <t>物流・消耗品</t>
        </is>
      </c>
      <c r="C28" s="19">
        <f>-C24*'01_前提条件'!$C$41</f>
        <v/>
      </c>
      <c r="D28" s="19">
        <f>-D24*'01_前提条件'!$C$41</f>
        <v/>
      </c>
      <c r="E28" s="19">
        <f>-E24*'01_前提条件'!$C$41</f>
        <v/>
      </c>
    </row>
    <row r="29">
      <c r="B29" s="20" t="inlineStr">
        <is>
          <t>限界利益</t>
        </is>
      </c>
      <c r="C29" s="19">
        <f>SUM(C25:C28)</f>
        <v/>
      </c>
      <c r="D29" s="19">
        <f>SUM(D25:D28)</f>
        <v/>
      </c>
      <c r="E29" s="19">
        <f>SUM(E25:E28)</f>
        <v/>
      </c>
    </row>
    <row r="30">
      <c r="B30" s="10" t="inlineStr">
        <is>
          <t>限界利益率</t>
        </is>
      </c>
      <c r="C30" s="23">
        <f>C29/C25</f>
        <v/>
      </c>
      <c r="D30" s="23">
        <f>D29/D25</f>
        <v/>
      </c>
      <c r="E30" s="23">
        <f>E29/E25</f>
        <v/>
      </c>
    </row>
    <row r="31">
      <c r="B31" s="10" t="inlineStr">
        <is>
          <t>コーディネーションフィー</t>
        </is>
      </c>
      <c r="C31" s="19">
        <f>C25*'01_前提条件'!$C$42</f>
        <v/>
      </c>
      <c r="D31" s="19">
        <f>D25*'01_前提条件'!$C$42</f>
        <v/>
      </c>
      <c r="E31" s="19">
        <f>E25*'01_前提条件'!$C$42</f>
        <v/>
      </c>
    </row>
    <row r="32">
      <c r="B32" s="20" t="inlineStr">
        <is>
          <t>貢献利益</t>
        </is>
      </c>
      <c r="C32" s="19">
        <f>C29+C31</f>
        <v/>
      </c>
      <c r="D32" s="19">
        <f>D29+D31</f>
        <v/>
      </c>
      <c r="E32" s="19">
        <f>E29+E31</f>
        <v/>
      </c>
    </row>
    <row r="33">
      <c r="B33" s="10" t="inlineStr">
        <is>
          <t>固定費</t>
        </is>
      </c>
      <c r="C33" s="19">
        <f>-'01_前提条件'!$C$43</f>
        <v/>
      </c>
      <c r="D33" s="19">
        <f>-'01_前提条件'!$C$43</f>
        <v/>
      </c>
      <c r="E33" s="19">
        <f>-'01_前提条件'!$C$43</f>
        <v/>
      </c>
    </row>
    <row r="34">
      <c r="B34" s="20" t="inlineStr">
        <is>
          <t>営業利益</t>
        </is>
      </c>
      <c r="C34" s="22">
        <f>C32+C33</f>
        <v/>
      </c>
      <c r="D34" s="22">
        <f>D32+D33</f>
        <v/>
      </c>
      <c r="E34" s="22">
        <f>E32+E33</f>
        <v/>
      </c>
    </row>
    <row r="35">
      <c r="B35" s="10" t="inlineStr">
        <is>
          <t>総収益（F&amp;B売上＋フィー）</t>
        </is>
      </c>
      <c r="C35" s="19">
        <f>C25+C31</f>
        <v/>
      </c>
      <c r="D35" s="19">
        <f>D25+D31</f>
        <v/>
      </c>
      <c r="E35" s="19">
        <f>E25+E31</f>
        <v/>
      </c>
    </row>
    <row r="36">
      <c r="B36" s="20" t="inlineStr">
        <is>
          <t>営業利益率</t>
        </is>
      </c>
      <c r="C36" s="25">
        <f>C34/C35</f>
        <v/>
      </c>
      <c r="D36" s="25">
        <f>D34/D35</f>
        <v/>
      </c>
      <c r="E36" s="25">
        <f>E34/E35</f>
        <v/>
      </c>
    </row>
    <row r="37">
      <c r="B37" s="20" t="inlineStr">
        <is>
          <t>税後利益</t>
        </is>
      </c>
      <c r="C37" s="22">
        <f>C34*(1-'01_前提条件'!$C$34)</f>
        <v/>
      </c>
      <c r="D37" s="22">
        <f>D34*(1-'01_前提条件'!$C$34)</f>
        <v/>
      </c>
      <c r="E37" s="22">
        <f>E34*(1-'01_前提条件'!$C$34)</f>
        <v/>
      </c>
    </row>
    <row r="38">
      <c r="B38" s="20" t="inlineStr">
        <is>
          <t>初期投資に対するROI</t>
        </is>
      </c>
      <c r="C38" s="25">
        <f>C34/'01_前提条件'!$C$44</f>
        <v/>
      </c>
      <c r="D38" s="25">
        <f>D34/'01_前提条件'!$C$44</f>
        <v/>
      </c>
      <c r="E38" s="25">
        <f>E34/'01_前提条件'!$C$44</f>
        <v/>
      </c>
    </row>
    <row r="39">
      <c r="B39" s="20" t="inlineStr">
        <is>
          <t>損益分岐 F&amp;B運航回数</t>
        </is>
      </c>
      <c r="C39" s="22">
        <f>'01_前提条件'!$C$43/(C22*C23*(1-'01_前提条件'!$C$39+'01_前提条件'!$C$42)-'01_前提条件'!$C$40-'01_前提条件'!$C$41)</f>
        <v/>
      </c>
      <c r="D39" s="22">
        <f>'01_前提条件'!$C$43/(D22*D23*(1-'01_前提条件'!$C$39+'01_前提条件'!$C$42)-'01_前提条件'!$C$40-'01_前提条件'!$C$41)</f>
        <v/>
      </c>
      <c r="E39" s="22">
        <f>'01_前提条件'!$C$43/(E22*E23*(1-'01_前提条件'!$C$39+'01_前提条件'!$C$42)-'01_前提条件'!$C$40-'01_前提条件'!$C$41)</f>
        <v/>
      </c>
    </row>
    <row r="41">
      <c r="B41" s="31" t="inlineStr">
        <is>
          <t>★ 保守ケースが赤字になる理由：招聘シェフ体制の人件費8万円/運航は運航回数に比例するため、</t>
        </is>
      </c>
    </row>
    <row r="42">
      <c r="B42" s="6" t="inlineStr">
        <is>
          <t xml:space="preserve">　 8名×2万円＝16万円/運航では貢献利益が2.8万円/運航しか出ず、固定費2,100万円を賄えない（黒字化に年745回必要＝供給上限1,500枠に対し非現実的）。</t>
        </is>
      </c>
    </row>
    <row r="43">
      <c r="B43" s="6" t="inlineStr">
        <is>
          <t xml:space="preserve">　 → 低単価帯に落ちる場合は「招聘シェフ都度手配」ではなく「常駐1名＋陸上仕込み集中」へ体制を切り替える必要がある。</t>
        </is>
      </c>
    </row>
    <row r="45">
      <c r="A45" s="7" t="inlineStr">
        <is>
          <t>■ 3. 損益分岐マトリクス：年間営業利益（万円）　縦＝F&amp;B実施運航回数／横＝1運航あたりF&amp;B売上（万円）</t>
        </is>
      </c>
      <c r="B45" s="8" t="n"/>
      <c r="C45" s="8" t="n"/>
      <c r="D45" s="8" t="n"/>
      <c r="E45" s="8" t="n"/>
      <c r="F45" s="8" t="n"/>
      <c r="G45" s="8" t="n"/>
      <c r="H45" s="8" t="n"/>
      <c r="I45" s="8" t="n"/>
      <c r="J45" s="8" t="n"/>
    </row>
    <row r="46">
      <c r="B46" s="9" t="inlineStr">
        <is>
          <t>回数＼売上</t>
        </is>
      </c>
      <c r="C46" s="29" t="n">
        <v>10</v>
      </c>
      <c r="D46" s="29" t="n">
        <v>15</v>
      </c>
      <c r="E46" s="29" t="n">
        <v>20</v>
      </c>
      <c r="F46" s="29" t="n">
        <v>25</v>
      </c>
      <c r="G46" s="29" t="n">
        <v>30</v>
      </c>
      <c r="H46" s="29" t="n">
        <v>35</v>
      </c>
      <c r="I46" s="29" t="n">
        <v>40</v>
      </c>
      <c r="J46" s="29" t="n">
        <v>45</v>
      </c>
    </row>
    <row r="47">
      <c r="B47" s="29" t="n">
        <v>150</v>
      </c>
      <c r="C47" s="19">
        <f>$B47*(C$46*(1-'01_前提条件'!$C$39+'01_前提条件'!$C$42)-'01_前提条件'!$C$40-'01_前提条件'!$C$41)-'01_前提条件'!$C$43</f>
        <v/>
      </c>
      <c r="D47" s="19">
        <f>$B47*(D$46*(1-'01_前提条件'!$C$39+'01_前提条件'!$C$42)-'01_前提条件'!$C$40-'01_前提条件'!$C$41)-'01_前提条件'!$C$43</f>
        <v/>
      </c>
      <c r="E47" s="19">
        <f>$B47*(E$46*(1-'01_前提条件'!$C$39+'01_前提条件'!$C$42)-'01_前提条件'!$C$40-'01_前提条件'!$C$41)-'01_前提条件'!$C$43</f>
        <v/>
      </c>
      <c r="F47" s="19">
        <f>$B47*(F$46*(1-'01_前提条件'!$C$39+'01_前提条件'!$C$42)-'01_前提条件'!$C$40-'01_前提条件'!$C$41)-'01_前提条件'!$C$43</f>
        <v/>
      </c>
      <c r="G47" s="19">
        <f>$B47*(G$46*(1-'01_前提条件'!$C$39+'01_前提条件'!$C$42)-'01_前提条件'!$C$40-'01_前提条件'!$C$41)-'01_前提条件'!$C$43</f>
        <v/>
      </c>
      <c r="H47" s="19">
        <f>$B47*(H$46*(1-'01_前提条件'!$C$39+'01_前提条件'!$C$42)-'01_前提条件'!$C$40-'01_前提条件'!$C$41)-'01_前提条件'!$C$43</f>
        <v/>
      </c>
      <c r="I47" s="19">
        <f>$B47*(I$46*(1-'01_前提条件'!$C$39+'01_前提条件'!$C$42)-'01_前提条件'!$C$40-'01_前提条件'!$C$41)-'01_前提条件'!$C$43</f>
        <v/>
      </c>
      <c r="J47" s="19">
        <f>$B47*(J$46*(1-'01_前提条件'!$C$39+'01_前提条件'!$C$42)-'01_前提条件'!$C$40-'01_前提条件'!$C$41)-'01_前提条件'!$C$43</f>
        <v/>
      </c>
    </row>
    <row r="48">
      <c r="B48" s="29" t="n">
        <v>250</v>
      </c>
      <c r="C48" s="19">
        <f>$B48*(C$46*(1-'01_前提条件'!$C$39+'01_前提条件'!$C$42)-'01_前提条件'!$C$40-'01_前提条件'!$C$41)-'01_前提条件'!$C$43</f>
        <v/>
      </c>
      <c r="D48" s="19">
        <f>$B48*(D$46*(1-'01_前提条件'!$C$39+'01_前提条件'!$C$42)-'01_前提条件'!$C$40-'01_前提条件'!$C$41)-'01_前提条件'!$C$43</f>
        <v/>
      </c>
      <c r="E48" s="19">
        <f>$B48*(E$46*(1-'01_前提条件'!$C$39+'01_前提条件'!$C$42)-'01_前提条件'!$C$40-'01_前提条件'!$C$41)-'01_前提条件'!$C$43</f>
        <v/>
      </c>
      <c r="F48" s="19">
        <f>$B48*(F$46*(1-'01_前提条件'!$C$39+'01_前提条件'!$C$42)-'01_前提条件'!$C$40-'01_前提条件'!$C$41)-'01_前提条件'!$C$43</f>
        <v/>
      </c>
      <c r="G48" s="19">
        <f>$B48*(G$46*(1-'01_前提条件'!$C$39+'01_前提条件'!$C$42)-'01_前提条件'!$C$40-'01_前提条件'!$C$41)-'01_前提条件'!$C$43</f>
        <v/>
      </c>
      <c r="H48" s="19">
        <f>$B48*(H$46*(1-'01_前提条件'!$C$39+'01_前提条件'!$C$42)-'01_前提条件'!$C$40-'01_前提条件'!$C$41)-'01_前提条件'!$C$43</f>
        <v/>
      </c>
      <c r="I48" s="19">
        <f>$B48*(I$46*(1-'01_前提条件'!$C$39+'01_前提条件'!$C$42)-'01_前提条件'!$C$40-'01_前提条件'!$C$41)-'01_前提条件'!$C$43</f>
        <v/>
      </c>
      <c r="J48" s="19">
        <f>$B48*(J$46*(1-'01_前提条件'!$C$39+'01_前提条件'!$C$42)-'01_前提条件'!$C$40-'01_前提条件'!$C$41)-'01_前提条件'!$C$43</f>
        <v/>
      </c>
    </row>
    <row r="49">
      <c r="B49" s="29" t="n">
        <v>350</v>
      </c>
      <c r="C49" s="19">
        <f>$B49*(C$46*(1-'01_前提条件'!$C$39+'01_前提条件'!$C$42)-'01_前提条件'!$C$40-'01_前提条件'!$C$41)-'01_前提条件'!$C$43</f>
        <v/>
      </c>
      <c r="D49" s="19">
        <f>$B49*(D$46*(1-'01_前提条件'!$C$39+'01_前提条件'!$C$42)-'01_前提条件'!$C$40-'01_前提条件'!$C$41)-'01_前提条件'!$C$43</f>
        <v/>
      </c>
      <c r="E49" s="19">
        <f>$B49*(E$46*(1-'01_前提条件'!$C$39+'01_前提条件'!$C$42)-'01_前提条件'!$C$40-'01_前提条件'!$C$41)-'01_前提条件'!$C$43</f>
        <v/>
      </c>
      <c r="F49" s="19">
        <f>$B49*(F$46*(1-'01_前提条件'!$C$39+'01_前提条件'!$C$42)-'01_前提条件'!$C$40-'01_前提条件'!$C$41)-'01_前提条件'!$C$43</f>
        <v/>
      </c>
      <c r="G49" s="19">
        <f>$B49*(G$46*(1-'01_前提条件'!$C$39+'01_前提条件'!$C$42)-'01_前提条件'!$C$40-'01_前提条件'!$C$41)-'01_前提条件'!$C$43</f>
        <v/>
      </c>
      <c r="H49" s="19">
        <f>$B49*(H$46*(1-'01_前提条件'!$C$39+'01_前提条件'!$C$42)-'01_前提条件'!$C$40-'01_前提条件'!$C$41)-'01_前提条件'!$C$43</f>
        <v/>
      </c>
      <c r="I49" s="19">
        <f>$B49*(I$46*(1-'01_前提条件'!$C$39+'01_前提条件'!$C$42)-'01_前提条件'!$C$40-'01_前提条件'!$C$41)-'01_前提条件'!$C$43</f>
        <v/>
      </c>
      <c r="J49" s="19">
        <f>$B49*(J$46*(1-'01_前提条件'!$C$39+'01_前提条件'!$C$42)-'01_前提条件'!$C$40-'01_前提条件'!$C$41)-'01_前提条件'!$C$43</f>
        <v/>
      </c>
    </row>
    <row r="50">
      <c r="B50" s="29" t="n">
        <v>480</v>
      </c>
      <c r="C50" s="19">
        <f>$B50*(C$46*(1-'01_前提条件'!$C$39+'01_前提条件'!$C$42)-'01_前提条件'!$C$40-'01_前提条件'!$C$41)-'01_前提条件'!$C$43</f>
        <v/>
      </c>
      <c r="D50" s="19">
        <f>$B50*(D$46*(1-'01_前提条件'!$C$39+'01_前提条件'!$C$42)-'01_前提条件'!$C$40-'01_前提条件'!$C$41)-'01_前提条件'!$C$43</f>
        <v/>
      </c>
      <c r="E50" s="19">
        <f>$B50*(E$46*(1-'01_前提条件'!$C$39+'01_前提条件'!$C$42)-'01_前提条件'!$C$40-'01_前提条件'!$C$41)-'01_前提条件'!$C$43</f>
        <v/>
      </c>
      <c r="F50" s="19">
        <f>$B50*(F$46*(1-'01_前提条件'!$C$39+'01_前提条件'!$C$42)-'01_前提条件'!$C$40-'01_前提条件'!$C$41)-'01_前提条件'!$C$43</f>
        <v/>
      </c>
      <c r="G50" s="19">
        <f>$B50*(G$46*(1-'01_前提条件'!$C$39+'01_前提条件'!$C$42)-'01_前提条件'!$C$40-'01_前提条件'!$C$41)-'01_前提条件'!$C$43</f>
        <v/>
      </c>
      <c r="H50" s="19">
        <f>$B50*(H$46*(1-'01_前提条件'!$C$39+'01_前提条件'!$C$42)-'01_前提条件'!$C$40-'01_前提条件'!$C$41)-'01_前提条件'!$C$43</f>
        <v/>
      </c>
      <c r="I50" s="19">
        <f>$B50*(I$46*(1-'01_前提条件'!$C$39+'01_前提条件'!$C$42)-'01_前提条件'!$C$40-'01_前提条件'!$C$41)-'01_前提条件'!$C$43</f>
        <v/>
      </c>
      <c r="J50" s="19">
        <f>$B50*(J$46*(1-'01_前提条件'!$C$39+'01_前提条件'!$C$42)-'01_前提条件'!$C$40-'01_前提条件'!$C$41)-'01_前提条件'!$C$43</f>
        <v/>
      </c>
    </row>
    <row r="51">
      <c r="B51" s="29" t="n">
        <v>600</v>
      </c>
      <c r="C51" s="19">
        <f>$B51*(C$46*(1-'01_前提条件'!$C$39+'01_前提条件'!$C$42)-'01_前提条件'!$C$40-'01_前提条件'!$C$41)-'01_前提条件'!$C$43</f>
        <v/>
      </c>
      <c r="D51" s="19">
        <f>$B51*(D$46*(1-'01_前提条件'!$C$39+'01_前提条件'!$C$42)-'01_前提条件'!$C$40-'01_前提条件'!$C$41)-'01_前提条件'!$C$43</f>
        <v/>
      </c>
      <c r="E51" s="19">
        <f>$B51*(E$46*(1-'01_前提条件'!$C$39+'01_前提条件'!$C$42)-'01_前提条件'!$C$40-'01_前提条件'!$C$41)-'01_前提条件'!$C$43</f>
        <v/>
      </c>
      <c r="F51" s="19">
        <f>$B51*(F$46*(1-'01_前提条件'!$C$39+'01_前提条件'!$C$42)-'01_前提条件'!$C$40-'01_前提条件'!$C$41)-'01_前提条件'!$C$43</f>
        <v/>
      </c>
      <c r="G51" s="19">
        <f>$B51*(G$46*(1-'01_前提条件'!$C$39+'01_前提条件'!$C$42)-'01_前提条件'!$C$40-'01_前提条件'!$C$41)-'01_前提条件'!$C$43</f>
        <v/>
      </c>
      <c r="H51" s="19">
        <f>$B51*(H$46*(1-'01_前提条件'!$C$39+'01_前提条件'!$C$42)-'01_前提条件'!$C$40-'01_前提条件'!$C$41)-'01_前提条件'!$C$43</f>
        <v/>
      </c>
      <c r="I51" s="19">
        <f>$B51*(I$46*(1-'01_前提条件'!$C$39+'01_前提条件'!$C$42)-'01_前提条件'!$C$40-'01_前提条件'!$C$41)-'01_前提条件'!$C$43</f>
        <v/>
      </c>
      <c r="J51" s="19">
        <f>$B51*(J$46*(1-'01_前提条件'!$C$39+'01_前提条件'!$C$42)-'01_前提条件'!$C$40-'01_前提条件'!$C$41)-'01_前提条件'!$C$43</f>
        <v/>
      </c>
    </row>
    <row r="52">
      <c r="B52" s="29" t="n">
        <v>750</v>
      </c>
      <c r="C52" s="19">
        <f>$B52*(C$46*(1-'01_前提条件'!$C$39+'01_前提条件'!$C$42)-'01_前提条件'!$C$40-'01_前提条件'!$C$41)-'01_前提条件'!$C$43</f>
        <v/>
      </c>
      <c r="D52" s="19">
        <f>$B52*(D$46*(1-'01_前提条件'!$C$39+'01_前提条件'!$C$42)-'01_前提条件'!$C$40-'01_前提条件'!$C$41)-'01_前提条件'!$C$43</f>
        <v/>
      </c>
      <c r="E52" s="19">
        <f>$B52*(E$46*(1-'01_前提条件'!$C$39+'01_前提条件'!$C$42)-'01_前提条件'!$C$40-'01_前提条件'!$C$41)-'01_前提条件'!$C$43</f>
        <v/>
      </c>
      <c r="F52" s="19">
        <f>$B52*(F$46*(1-'01_前提条件'!$C$39+'01_前提条件'!$C$42)-'01_前提条件'!$C$40-'01_前提条件'!$C$41)-'01_前提条件'!$C$43</f>
        <v/>
      </c>
      <c r="G52" s="19">
        <f>$B52*(G$46*(1-'01_前提条件'!$C$39+'01_前提条件'!$C$42)-'01_前提条件'!$C$40-'01_前提条件'!$C$41)-'01_前提条件'!$C$43</f>
        <v/>
      </c>
      <c r="H52" s="19">
        <f>$B52*(H$46*(1-'01_前提条件'!$C$39+'01_前提条件'!$C$42)-'01_前提条件'!$C$40-'01_前提条件'!$C$41)-'01_前提条件'!$C$43</f>
        <v/>
      </c>
      <c r="I52" s="19">
        <f>$B52*(I$46*(1-'01_前提条件'!$C$39+'01_前提条件'!$C$42)-'01_前提条件'!$C$40-'01_前提条件'!$C$41)-'01_前提条件'!$C$43</f>
        <v/>
      </c>
      <c r="J52" s="19">
        <f>$B52*(J$46*(1-'01_前提条件'!$C$39+'01_前提条件'!$C$42)-'01_前提条件'!$C$40-'01_前提条件'!$C$41)-'01_前提条件'!$C$43</f>
        <v/>
      </c>
    </row>
    <row r="54">
      <c r="B54" s="26" t="inlineStr">
        <is>
          <t>▼ 結論</t>
        </is>
      </c>
    </row>
    <row r="55">
      <c r="B55" s="6" t="inlineStr">
        <is>
          <t>・基本ケース（年480回のF&amp;B・10名・客単価3万円）で 営業利益 4,428万円／営業利益率28.0%／税後 2,922万円。</t>
        </is>
      </c>
    </row>
    <row r="56">
      <c r="B56" s="6" t="inlineStr">
        <is>
          <t>・WineBankの初期投資1,500万円（什器・食器・グラス・初期ワイン在庫）に対しROI 295%、回収4.1か月。船舶リスクを負わないアセットライト構造。</t>
        </is>
      </c>
    </row>
    <row r="57">
      <c r="B57" s="6" t="inlineStr">
        <is>
          <t>・損益分岐は「1運航あたりF&amp;B売上12.3万円」かつ「年154回」。年154回＝稼働300日で1日0.51枠。ハードルは低い。</t>
        </is>
      </c>
    </row>
    <row r="58">
      <c r="B58" s="6" t="inlineStr">
        <is>
          <t>・ただし1運航あたりの売上が15万円を下回ると、年750回運航しても赤字。人数×単価の確保が営業リターンの生命線。</t>
        </is>
      </c>
    </row>
  </sheetData>
  <conditionalFormatting sqref="C47:J52">
    <cfRule type="cellIs" priority="1" operator="lessThan" dxfId="0">
      <formula>0</formula>
    </cfRule>
    <cfRule type="cellIs" priority="2" operator="greaterThanOrEqual" dxfId="1">
      <formula>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4"/>
  <sheetViews>
    <sheetView showGridLines="0" workbookViewId="0">
      <selection activeCell="A1" sqref="A1"/>
    </sheetView>
  </sheetViews>
  <sheetFormatPr baseColWidth="8" defaultRowHeight="15"/>
  <cols>
    <col width="3" customWidth="1" min="1" max="1"/>
    <col width="34" customWidth="1" min="2" max="2"/>
    <col width="13" customWidth="1" min="3" max="3"/>
    <col width="13" customWidth="1" min="4" max="4"/>
    <col width="13" customWidth="1" min="5" max="5"/>
    <col width="13" customWidth="1" min="6" max="6"/>
    <col width="4" customWidth="1" min="7" max="7"/>
    <col width="60" customWidth="1" min="8" max="8"/>
  </cols>
  <sheetData>
    <row r="1">
      <c r="A1" s="18" t="inlineStr">
        <is>
          <t>【整合性検証】発行口数と供給キャパシティ／関係者インセンティブ</t>
        </is>
      </c>
    </row>
    <row r="3">
      <c r="A3" s="7" t="inlineStr">
        <is>
          <t>■ 1. 会員需要 vs 運航枠の供給</t>
        </is>
      </c>
      <c r="B3" s="8" t="n"/>
      <c r="C3" s="8" t="n"/>
      <c r="D3" s="8" t="n"/>
      <c r="E3" s="8" t="n"/>
      <c r="F3" s="8" t="n"/>
      <c r="G3" s="8" t="n"/>
      <c r="H3" s="8" t="n"/>
    </row>
    <row r="4">
      <c r="B4" s="20" t="inlineStr">
        <is>
          <t>会員需要（口数×年間利用回数）</t>
        </is>
      </c>
      <c r="C4" s="40">
        <f>'01_前提条件'!$C$10*'01_前提条件'!$C$14</f>
        <v/>
      </c>
      <c r="D4" s="10" t="inlineStr">
        <is>
          <t>回/年</t>
        </is>
      </c>
      <c r="H4" s="12" t="inlineStr">
        <is>
          <t>p21「販売口数100口／年間利用10回」</t>
        </is>
      </c>
    </row>
    <row r="6">
      <c r="B6" s="9" t="inlineStr">
        <is>
          <t>年間稼働可能日数</t>
        </is>
      </c>
      <c r="C6" s="29" t="n">
        <v>365</v>
      </c>
      <c r="D6" s="29" t="n">
        <v>330</v>
      </c>
      <c r="E6" s="29" t="n">
        <v>300</v>
      </c>
      <c r="F6" s="29" t="n">
        <v>260</v>
      </c>
      <c r="H6" s="12" t="inlineStr">
        <is>
          <t>荒天・強風・JCI船検・整備・年末年始による停止を控除</t>
        </is>
      </c>
    </row>
    <row r="7">
      <c r="B7" s="10" t="inlineStr">
        <is>
          <t>供給枠（5枠/日）</t>
        </is>
      </c>
      <c r="C7" s="19">
        <f>C6*'01_前提条件'!$C$23</f>
        <v/>
      </c>
      <c r="D7" s="19">
        <f>D6*'01_前提条件'!$C$23</f>
        <v/>
      </c>
      <c r="E7" s="19">
        <f>E6*'01_前提条件'!$C$23</f>
        <v/>
      </c>
      <c r="F7" s="19">
        <f>F6*'01_前提条件'!$C$23</f>
        <v/>
      </c>
    </row>
    <row r="8">
      <c r="B8" s="20" t="inlineStr">
        <is>
          <t>会員需要による占有率</t>
        </is>
      </c>
      <c r="C8" s="41">
        <f>$C$4/C7</f>
        <v/>
      </c>
      <c r="D8" s="41">
        <f>$C$4/D7</f>
        <v/>
      </c>
      <c r="E8" s="41">
        <f>$C$4/E7</f>
        <v/>
      </c>
      <c r="F8" s="41">
        <f>$C$4/F7</f>
        <v/>
      </c>
    </row>
    <row r="9">
      <c r="B9" s="10" t="inlineStr">
        <is>
          <t>一般売りに回せる枠</t>
        </is>
      </c>
      <c r="C9" s="19">
        <f>C7-$C$4</f>
        <v/>
      </c>
      <c r="D9" s="19">
        <f>D7-$C$4</f>
        <v/>
      </c>
      <c r="E9" s="19">
        <f>E7-$C$4</f>
        <v/>
      </c>
      <c r="F9" s="19">
        <f>F7-$C$4</f>
        <v/>
      </c>
    </row>
    <row r="11">
      <c r="B11" s="31" t="inlineStr">
        <is>
          <t>★ 会員需要だけで供給の55〜77%を占有する。しかも需要は花火大会7イベント（5/30足立・7/25隅田川・8/1江戸川・8/11江東・10/24東京湾・12/24・12/25）と</t>
        </is>
      </c>
    </row>
    <row r="12">
      <c r="B12" s="6" t="inlineStr">
        <is>
          <t xml:space="preserve">　 桜シーズン（3月下旬〜4月上旬）・週末の18時／20時枠に集中する（p6）。ピーク日の予約充足は構造的に不可能で、会員クレーム・解約の主因になる。</t>
        </is>
      </c>
    </row>
    <row r="13">
      <c r="B13" s="6" t="inlineStr">
        <is>
          <t xml:space="preserve">　 → 1隻あたりの発行口数上限の設計根拠（ピーク日の会員1人あたり予約可能回数）を示す必要がある。100口は検証されていない。</t>
        </is>
      </c>
    </row>
    <row r="15">
      <c r="A15" s="7" t="inlineStr">
        <is>
          <t>■ 2. 東京ウォータウェイズのインセンティブ（枠の奪い合い）</t>
        </is>
      </c>
      <c r="B15" s="8" t="n"/>
      <c r="C15" s="8" t="n"/>
      <c r="D15" s="8" t="n"/>
      <c r="E15" s="8" t="n"/>
      <c r="F15" s="8" t="n"/>
      <c r="G15" s="8" t="n"/>
      <c r="H15" s="8" t="n"/>
    </row>
    <row r="16">
      <c r="B16" s="9" t="inlineStr"/>
      <c r="C16" s="9" t="inlineStr">
        <is>
          <t>会員運航</t>
        </is>
      </c>
      <c r="D16" s="9" t="inlineStr">
        <is>
          <t>一般売り</t>
        </is>
      </c>
      <c r="H16" s="9" t="inlineStr">
        <is>
          <t>出典</t>
        </is>
      </c>
    </row>
    <row r="17">
      <c r="B17" s="10" t="inlineStr">
        <is>
          <t>収入（万円/運航）</t>
        </is>
      </c>
      <c r="C17" s="42">
        <f>'01_前提条件'!$C$15</f>
        <v/>
      </c>
      <c r="D17" s="42">
        <f>'01_前提条件'!$C$21</f>
        <v/>
      </c>
      <c r="H17" s="12" t="inlineStr">
        <is>
          <t>p36 13万円 / p37 定価30万円</t>
        </is>
      </c>
    </row>
    <row r="18">
      <c r="B18" s="10" t="inlineStr">
        <is>
          <t>運航原価（万円）</t>
        </is>
      </c>
      <c r="C18" s="42">
        <f>-'01_前提条件'!$C$15+'01_前提条件'!$C$20</f>
        <v/>
      </c>
      <c r="D18" s="42">
        <f>-'01_前提条件'!$C$15+'01_前提条件'!$C$20</f>
        <v/>
      </c>
      <c r="H18" s="12" t="inlineStr">
        <is>
          <t>p17 小計10万円</t>
        </is>
      </c>
    </row>
    <row r="19">
      <c r="B19" s="10" t="inlineStr">
        <is>
          <t>TK②への修繕積立（万円）</t>
        </is>
      </c>
      <c r="C19" s="42">
        <f>0</f>
        <v/>
      </c>
      <c r="D19" s="42">
        <f>-'01_前提条件'!$C$22</f>
        <v/>
      </c>
      <c r="H19" s="12" t="inlineStr">
        <is>
          <t>p37 一般売り時のみ2万円</t>
        </is>
      </c>
    </row>
    <row r="20">
      <c r="B20" s="20" t="inlineStr">
        <is>
          <t>TWWの1運航利益（万円）</t>
        </is>
      </c>
      <c r="C20" s="43">
        <f>SUM(C17:C19)</f>
        <v/>
      </c>
      <c r="D20" s="43">
        <f>SUM(D17:D19)</f>
        <v/>
      </c>
    </row>
    <row r="21">
      <c r="B21" s="20" t="inlineStr">
        <is>
          <t>一般売り／会員運航 の倍率</t>
        </is>
      </c>
      <c r="C21" s="44">
        <f>D20/C20</f>
        <v/>
      </c>
    </row>
    <row r="23">
      <c r="B23" s="31" t="inlineStr">
        <is>
          <t>★ 東京ウォータウェイズは一般売りを優先する経済合理性を持つ（利益が6倍）。会員が繁忙日に予約できない構造的な利益相反。</t>
        </is>
      </c>
    </row>
    <row r="24">
      <c r="B24" s="6" t="inlineStr">
        <is>
          <t xml:space="preserve">　 → 「再運航委託契約（UMITO⇒東京ウォータウェイズ）」に会員優先予約のSLA（例：〇日前まで会員優先／繁忙日は会員枠を◯枠確保／未達時のペナルティ）を明記する必要がある。</t>
        </is>
      </c>
    </row>
    <row r="26">
      <c r="A26" s="7" t="inlineStr">
        <is>
          <t>■ 3. 年会費の帰属（スキーム最大のリカーリング収益が図に無い）</t>
        </is>
      </c>
      <c r="B26" s="8" t="n"/>
      <c r="C26" s="8" t="n"/>
      <c r="D26" s="8" t="n"/>
      <c r="E26" s="8" t="n"/>
      <c r="F26" s="8" t="n"/>
      <c r="G26" s="8" t="n"/>
      <c r="H26" s="8" t="n"/>
    </row>
    <row r="27">
      <c r="B27" s="10" t="inlineStr">
        <is>
          <t>年会費相当額（万円/口）</t>
        </is>
      </c>
      <c r="C27" s="11">
        <f>'01_前提条件'!$C$28</f>
        <v/>
      </c>
      <c r="H27" s="12" t="inlineStr">
        <is>
          <t>p39「年会費相当額：150万円／販売価格に対する年会費比率15%」</t>
        </is>
      </c>
    </row>
    <row r="28">
      <c r="B28" s="10" t="inlineStr">
        <is>
          <t>口数</t>
        </is>
      </c>
      <c r="C28" s="19">
        <f>'01_前提条件'!$C$10</f>
        <v/>
      </c>
    </row>
    <row r="29">
      <c r="B29" s="20" t="inlineStr">
        <is>
          <t>年会費 年間総額（万円）</t>
        </is>
      </c>
      <c r="C29" s="40">
        <f>C27*C28</f>
        <v/>
      </c>
      <c r="H29" s="37" t="inlineStr">
        <is>
          <t>＝年1.5億円。TK②の年間売上振替3,000万円の5倍</t>
        </is>
      </c>
    </row>
    <row r="30">
      <c r="B30" s="20" t="inlineStr">
        <is>
          <t>20年累計（万円）</t>
        </is>
      </c>
      <c r="C30" s="40">
        <f>C29*'01_前提条件'!$C$13</f>
        <v/>
      </c>
    </row>
    <row r="32">
      <c r="B32" s="31" t="inlineStr">
        <is>
          <t>★ p27/p28の図では年会費の徴収者はUMITO。p36は「会員から徴収する年会費と外注費にプラスの差額が生じる場合は利益として計上」とするのみで、</t>
        </is>
      </c>
    </row>
    <row r="33">
      <c r="B33" s="6" t="inlineStr">
        <is>
          <t xml:space="preserve">　 TK②（投資家）への配分が定義されていない。年1.5億円×20年＝30億円がp16の50:50按分の対象外だとすれば、投資家リターンの前提が根本から変わる。最優先で確認すべき論点。</t>
        </is>
      </c>
    </row>
    <row r="35">
      <c r="A35" s="7" t="inlineStr">
        <is>
          <t>■ 4. 会員1人あたりの20年総負担（会員権が売れるかの検証）</t>
        </is>
      </c>
      <c r="B35" s="8" t="n"/>
      <c r="C35" s="8" t="n"/>
      <c r="D35" s="8" t="n"/>
      <c r="E35" s="8" t="n"/>
      <c r="F35" s="8" t="n"/>
      <c r="G35" s="8" t="n"/>
      <c r="H35" s="8" t="n"/>
    </row>
    <row r="36">
      <c r="B36" s="9" t="inlineStr">
        <is>
          <t>費目</t>
        </is>
      </c>
      <c r="C36" s="9" t="inlineStr">
        <is>
          <t>金額(万円)</t>
        </is>
      </c>
      <c r="H36" s="9" t="inlineStr">
        <is>
          <t>内訳</t>
        </is>
      </c>
    </row>
    <row r="37">
      <c r="B37" s="10" t="inlineStr">
        <is>
          <t>会員権 取得価格</t>
        </is>
      </c>
      <c r="C37" s="19">
        <f>'01_前提条件'!$C$11</f>
        <v/>
      </c>
      <c r="H37" s="12" t="inlineStr">
        <is>
          <t>p21</t>
        </is>
      </c>
    </row>
    <row r="38">
      <c r="B38" s="10" t="inlineStr">
        <is>
          <t>年会費 20年分</t>
        </is>
      </c>
      <c r="C38" s="19">
        <f>'01_前提条件'!$C$28*'01_前提条件'!$C$13</f>
        <v/>
      </c>
      <c r="H38" s="12" t="inlineStr">
        <is>
          <t>p39 150万×20年</t>
        </is>
      </c>
    </row>
    <row r="39">
      <c r="B39" s="10" t="inlineStr">
        <is>
          <t>都度利用料 20年分</t>
        </is>
      </c>
      <c r="C39" s="19">
        <f>'01_前提条件'!$C$15*'01_前提条件'!$C$14*'01_前提条件'!$C$13</f>
        <v/>
      </c>
      <c r="H39" s="12" t="inlineStr">
        <is>
          <t>p36 13万×10回×20年</t>
        </is>
      </c>
    </row>
    <row r="40">
      <c r="B40" s="10" t="inlineStr">
        <is>
          <t>F&amp;B 20年分（10名×3万×10回）</t>
        </is>
      </c>
      <c r="C40" s="19">
        <f>10*3*'01_前提条件'!$C$14*'01_前提条件'!$C$13</f>
        <v/>
      </c>
      <c r="H40" s="12" t="inlineStr">
        <is>
          <t>本試算の基本ケース単価</t>
        </is>
      </c>
    </row>
    <row r="41">
      <c r="B41" s="20" t="inlineStr">
        <is>
          <t>20年総負担</t>
        </is>
      </c>
      <c r="C41" s="40">
        <f>SUM(C37:C40)</f>
        <v/>
      </c>
    </row>
    <row r="42">
      <c r="B42" s="20" t="inlineStr">
        <is>
          <t>1回（90分）あたり実質負担</t>
        </is>
      </c>
      <c r="C42" s="40">
        <f>C41/('01_前提条件'!$C$14*'01_前提条件'!$C$13)</f>
        <v/>
      </c>
    </row>
    <row r="44">
      <c r="B44" s="31" t="inlineStr">
        <is>
          <t>★ 会員1人あたり20年総負担は1億2,600万円、90分のクルーズ1回あたり実質63万円（10名で割ると1人6.3万円）。この価格で100口を売り切れるかが、全関係者のリターンを決める唯一の変数。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3" customWidth="1" min="1" max="1"/>
    <col width="5" customWidth="1" min="2" max="2"/>
    <col width="10" customWidth="1" min="3" max="3"/>
    <col width="34" customWidth="1" min="4" max="4"/>
    <col width="62" customWidth="1" min="5" max="5"/>
    <col width="44" customWidth="1" min="6" max="6"/>
  </cols>
  <sheetData>
    <row r="1">
      <c r="A1" s="18" t="inlineStr">
        <is>
          <t>【ダブルチェック】指摘事項一覧</t>
        </is>
      </c>
    </row>
    <row r="2">
      <c r="A2" s="2" t="inlineStr">
        <is>
          <t>対象：0824事業計画PDF(43p)／クルーザーデザインPJ図面2点／V2_0810契約進行表</t>
        </is>
      </c>
    </row>
    <row r="4">
      <c r="B4" s="45" t="inlineStr">
        <is>
          <t>No.</t>
        </is>
      </c>
      <c r="C4" s="45" t="inlineStr">
        <is>
          <t>重要度</t>
        </is>
      </c>
      <c r="D4" s="45" t="inlineStr">
        <is>
          <t>論点</t>
        </is>
      </c>
      <c r="E4" s="45" t="inlineStr">
        <is>
          <t>内容</t>
        </is>
      </c>
      <c r="F4" s="45" t="inlineStr">
        <is>
          <t>WineBankとしての対応・確認先</t>
        </is>
      </c>
    </row>
    <row r="5" ht="62" customHeight="1">
      <c r="B5" s="46" t="n">
        <v>1</v>
      </c>
      <c r="C5" s="47" t="inlineStr">
        <is>
          <t>高</t>
        </is>
      </c>
      <c r="D5" s="48" t="inlineStr">
        <is>
          <t>移転価格</t>
        </is>
      </c>
      <c r="E5" s="49" t="inlineStr">
        <is>
          <t>原価2億円の船を関連者間で4億円で売却（100%マークアップ）。TK②の減価償却基礎額4億円はこの価格に依存する。時価が否認されると譲渡益課税・寄附金認定に加え、償却額も縮みスキームの核が崩れる。</t>
        </is>
      </c>
      <c r="F5" s="49" t="inlineStr">
        <is>
          <t>第三者による船舶鑑定評価書を必須要件に。TMI総合法律事務所・れいわ税理士法人の書面意見を取得。</t>
        </is>
      </c>
    </row>
    <row r="6" ht="62" customHeight="1">
      <c r="B6" s="46" t="n">
        <v>2</v>
      </c>
      <c r="C6" s="47" t="inlineStr">
        <is>
          <t>高</t>
        </is>
      </c>
      <c r="D6" s="48" t="inlineStr">
        <is>
          <t>償却前提の二重記載</t>
        </is>
      </c>
      <c r="E6" s="49" t="inlineStr">
        <is>
          <t>p8/p12は「新築造船4億円・24か月・耐用4年（50/25/12.5/12.5%）」、p13は「築2年中古・耐用2年・初年度100%」。実際の図面（ELMO 2024/06/19）は既存船WATERWAYSⅢの『改造工事』。どれが本件の前提か未確定で、償却スピードが2倍違う。</t>
        </is>
      </c>
      <c r="F6" s="49" t="inlineStr">
        <is>
          <t>新造か中古改装かを確定させ、投資家向け資料を一本化。</t>
        </is>
      </c>
    </row>
    <row r="7" ht="62" customHeight="1">
      <c r="B7" s="46" t="n">
        <v>3</v>
      </c>
      <c r="C7" s="47" t="inlineStr">
        <is>
          <t>高</t>
        </is>
      </c>
      <c r="D7" s="48" t="inlineStr">
        <is>
          <t>リース区分の自己矛盾</t>
        </is>
      </c>
      <c r="E7" s="49" t="inlineStr">
        <is>
          <t>p31は「リース期間が経済的耐用年数の75%以上ならファイナンスリース」とする一方、p12/p13は耐用年数を4年／2年としている。20年（10年更新）のリースは4年の500%。『償却は速く、リースはオペレーティング』は両立しない可能性が高い。</t>
        </is>
      </c>
      <c r="F7" s="49" t="inlineStr">
        <is>
          <t>ファイナンスリース判定を受けるとTK②で償却できず、スキームの前提が消滅。書面意見必須。</t>
        </is>
      </c>
    </row>
    <row r="8" ht="62" customHeight="1">
      <c r="B8" s="46" t="n">
        <v>4</v>
      </c>
      <c r="C8" s="47" t="inlineStr">
        <is>
          <t>高</t>
        </is>
      </c>
      <c r="D8" s="48" t="inlineStr">
        <is>
          <t>消費税の欠落</t>
        </is>
      </c>
      <c r="E8" s="49" t="inlineStr">
        <is>
          <t>p32が「消費税は加味せず」と明記。会員権（施設利用権）の販売は課税資産の譲渡等で、10億円の販売なら仮受消費税1億円が原則販売時に発生。法人税の20年按分と消費税の課税時期は別物。船4億円の仮払4,000万円を控除しても初年度に約6,000万円の納税キャッシュアウト。</t>
        </is>
      </c>
      <c r="F8" s="49" t="inlineStr">
        <is>
          <t>TK②の資金繰り表に消費税を反映。前受金処理と課税時期の税務見解を取得。</t>
        </is>
      </c>
    </row>
    <row r="9" ht="62" customHeight="1">
      <c r="B9" s="46" t="n">
        <v>5</v>
      </c>
      <c r="C9" s="47" t="inlineStr">
        <is>
          <t>高</t>
        </is>
      </c>
      <c r="D9" s="48" t="inlineStr">
        <is>
          <t>TK②の維持費が未計上</t>
        </is>
      </c>
      <c r="E9" s="49" t="inlineStr">
        <is>
          <t>係留料・船舶保険・JCI船舶検査・定期整備・船外機交換（YAMAHA225PS×2、8〜12年で更新）・GK/TK維持コスト（役員派遣・税務・会計）が資料に一切ない。年1,600万円を超えると20年累計CFはゼロになる。</t>
        </is>
      </c>
      <c r="F9" s="49" t="inlineStr">
        <is>
          <t>20年の維持費・大規模修繕計画（DCF）の提出を求める。</t>
        </is>
      </c>
    </row>
    <row r="10" ht="62" customHeight="1">
      <c r="B10" s="46" t="n">
        <v>6</v>
      </c>
      <c r="C10" s="47" t="inlineStr">
        <is>
          <t>高</t>
        </is>
      </c>
      <c r="D10" s="48" t="inlineStr">
        <is>
          <t>年会費の帰属が未定義</t>
        </is>
      </c>
      <c r="E10" s="49" t="inlineStr">
        <is>
          <t>p39の年会費相当額150万円×100口＝年1.5億円（20年で30億円）。p27/p28では徴収者はUMITOと図示されるのみで、TK②（投資家）への配分が定義されていない。p16の50:50按分の対象外なら投資家リターンの前提が根本から変わる。</t>
        </is>
      </c>
      <c r="F10" s="49" t="inlineStr">
        <is>
          <t>本スキーム最大のリカーリング収益。按分対象に含まれるかを最優先で確認。</t>
        </is>
      </c>
    </row>
    <row r="11" ht="62" customHeight="1">
      <c r="B11" s="46" t="n">
        <v>7</v>
      </c>
      <c r="C11" s="47" t="inlineStr">
        <is>
          <t>高</t>
        </is>
      </c>
      <c r="D11" s="48" t="inlineStr">
        <is>
          <t>発行口数と供給の不整合</t>
        </is>
      </c>
      <c r="E11" s="49" t="inlineStr">
        <is>
          <t>100口×年10回＝年1,000運航の権利に対し、供給は5枠/日×稼働300日＝1,500枠。会員需要だけで67%を占有し、需要は花火7イベント・桜・週末夜に集中。ピーク日の予約充足は構造的に不可能。</t>
        </is>
      </c>
      <c r="F11" s="49" t="inlineStr">
        <is>
          <t>1隻あたり発行口数の上限根拠（ピーク日の充足シミュレーション）を要求。</t>
        </is>
      </c>
    </row>
    <row r="12" ht="62" customHeight="1">
      <c r="B12" s="46" t="n">
        <v>8</v>
      </c>
      <c r="C12" s="50" t="inlineStr">
        <is>
          <t>中</t>
        </is>
      </c>
      <c r="D12" s="48" t="inlineStr">
        <is>
          <t>TWWの利益相反</t>
        </is>
      </c>
      <c r="E12" s="49" t="inlineStr">
        <is>
          <t>会員運航の利益は3万円/運航、一般売りは18万円/運航で6倍。東京ウォータウェイズは一般売りを優先する経済合理性を持つ。</t>
        </is>
      </c>
      <c r="F12" s="49" t="inlineStr">
        <is>
          <t>「再運航委託契約」に会員優先予約のSLAとペナルティを明記。</t>
        </is>
      </c>
    </row>
    <row r="13" ht="62" customHeight="1">
      <c r="B13" s="46" t="n">
        <v>9</v>
      </c>
      <c r="C13" s="50" t="inlineStr">
        <is>
          <t>中</t>
        </is>
      </c>
      <c r="D13" s="48" t="inlineStr">
        <is>
          <t>按分の対象が不明確</t>
        </is>
      </c>
      <c r="E13" s="49" t="inlineStr">
        <is>
          <t>p16「1号船は収益を50%(UMITO):50%(投資家)で按分」の『収益』が、TK①の譲渡益なのかTK②の会員権利益なのか、両方なのかが定義されていない。投資家IRRが20.9%と38.7%で倍半分違う。</t>
        </is>
      </c>
      <c r="F13" s="49" t="inlineStr">
        <is>
          <t>按分対象・計算基礎・控除項目を匿名組合契約で定義。</t>
        </is>
      </c>
    </row>
    <row r="14" ht="62" customHeight="1">
      <c r="B14" s="46" t="n">
        <v>10</v>
      </c>
      <c r="C14" s="50" t="inlineStr">
        <is>
          <t>中</t>
        </is>
      </c>
      <c r="D14" s="48" t="inlineStr">
        <is>
          <t>AM報酬・組成費用が全面未開示</t>
        </is>
      </c>
      <c r="E14" s="49" t="inlineStr">
        <is>
          <t>YN&amp;C（ストラクチャリングAM）、東京ウォータウェイズ（造船AM）、れいわ税理士法人（役員派遣・出納）、UMITO子会社（AM②）、サブAM（TBD）、TMI（リーガル）、三井デザインテック（デザイン監修）。契約23本の報酬総額がゼロ記載。</t>
        </is>
      </c>
      <c r="F14" s="49" t="inlineStr">
        <is>
          <t>現状の投資リターン試算はすべて『上限値』。フィーテーブルの開示を要求。</t>
        </is>
      </c>
    </row>
    <row r="15" ht="62" customHeight="1">
      <c r="B15" s="46" t="n">
        <v>11</v>
      </c>
      <c r="C15" s="50" t="inlineStr">
        <is>
          <t>中</t>
        </is>
      </c>
      <c r="D15" s="48" t="inlineStr">
        <is>
          <t>UMITO手数料40%の水準</t>
        </is>
      </c>
      <c r="E15" s="49" t="inlineStr">
        <is>
          <t>会員権販売の受託手数料4億円（40%）は極めて高い。p36自身が「一部を前受収益として20年按分するよう指導される可能性」を認めている。按分となればUMITOの資金繰りとTK②への6億円送金タイミングが連動する。</t>
        </is>
      </c>
      <c r="F15" s="49" t="inlineStr">
        <is>
          <t>送金条件（エスクロー／分割送金の可否）を販売委託契約で確認。</t>
        </is>
      </c>
    </row>
    <row r="16" ht="62" customHeight="1">
      <c r="B16" s="46" t="n">
        <v>12</v>
      </c>
      <c r="C16" s="50" t="inlineStr">
        <is>
          <t>中</t>
        </is>
      </c>
      <c r="D16" s="48" t="inlineStr">
        <is>
          <t>コーディネーションフィーの母数</t>
        </is>
      </c>
      <c r="E16" s="49" t="inlineStr">
        <is>
          <t>p28「コーディネーションフィー（売上高の10%)」の『売上高』がF&amp;B売上か運航売上かで、WineBankの収益が大きく変わる（基本ケースでF&amp;B売上基準1,440万円 vs 運航売上基準は別途）。</t>
        </is>
      </c>
      <c r="F16" s="49" t="inlineStr">
        <is>
          <t>F&amp;B業務委託契約（東京ウォータウェイズ⇒WineBank）で母数を明文化。</t>
        </is>
      </c>
    </row>
    <row r="17" ht="62" customHeight="1">
      <c r="B17" s="46" t="n">
        <v>13</v>
      </c>
      <c r="C17" s="51" t="inlineStr">
        <is>
          <t>低</t>
        </is>
      </c>
      <c r="D17" s="48" t="inlineStr">
        <is>
          <t>p13の日付不整合</t>
        </is>
      </c>
      <c r="E17" s="49" t="inlineStr">
        <is>
          <t>「事業開始日：2024年7月31日」は本件（2026年8月資料）と不整合。他案件の記載が残存している可能性。また定率法は月割償却のため、期首取得でなければ初年度100%償却は成立しない（12月決算8月取得なら5/12＝41.7%）。</t>
        </is>
      </c>
      <c r="F17" s="49" t="inlineStr">
        <is>
          <t>投資家配布前に修正。</t>
        </is>
      </c>
    </row>
    <row r="18" ht="62" customHeight="1">
      <c r="B18" s="46" t="n">
        <v>14</v>
      </c>
      <c r="C18" s="51" t="inlineStr">
        <is>
          <t>低</t>
        </is>
      </c>
      <c r="D18" s="48" t="inlineStr">
        <is>
          <t>燃料費の丸め</t>
        </is>
      </c>
      <c r="E18" s="49" t="inlineStr">
        <is>
          <t>p17の燃料費：15ℓ/h×5h×230円＝17,250円に対し記載は17,000円（△250円）。なお twin 225PS の90分運航で75ℓは低め。実勢との乖離があればTWWの原価が過小。</t>
        </is>
      </c>
      <c r="F18" s="49" t="inlineStr">
        <is>
          <t>影響は軽微。ただし燃料費は変動費なので改定条項の有無を確認。</t>
        </is>
      </c>
    </row>
    <row r="19" ht="62" customHeight="1">
      <c r="B19" s="46" t="n">
        <v>15</v>
      </c>
      <c r="C19" s="51" t="inlineStr">
        <is>
          <t>低</t>
        </is>
      </c>
      <c r="D19" s="48" t="inlineStr">
        <is>
          <t>p8の「新築造船費用4億円」</t>
        </is>
      </c>
      <c r="E19" s="49" t="inlineStr">
        <is>
          <t>4億円はTK②への売却価格であって造船原価ではない（原価は2億円）。参考事例（野村不動産×ヤンマー×Fairmont）と自社原価が同一ページ上で混在し、誤読を招く。</t>
        </is>
      </c>
      <c r="F19" s="49" t="inlineStr">
        <is>
          <t>投資家向け資料で明確に区分。</t>
        </is>
      </c>
    </row>
    <row r="21">
      <c r="B21" s="26" t="inlineStr">
        <is>
          <t>■ 検算が資料どおりで問題なかった項目</t>
        </is>
      </c>
    </row>
    <row r="22">
      <c r="B22" s="6" t="inlineStr">
        <is>
          <t>・会員権 100口×1,000万円＝10億円／UMITO手数料40%＝4億円／TK②ネット6億円／年間売上振替 6億÷20年＝3,000万円</t>
        </is>
      </c>
    </row>
    <row r="23">
      <c r="B23" s="6" t="inlineStr">
        <is>
          <t>・1口あたり償却 1,000万÷20年＝50万円／1回あたり 50万÷10回＝5万円</t>
        </is>
      </c>
    </row>
    <row r="24">
      <c r="B24" s="6" t="inlineStr">
        <is>
          <t>・運航原価 船長5万＋船員3万＋桟橋0.3万＋燃料1.7万＝10万円／＋TWW利益3万＝都度利用料13万円</t>
        </is>
      </c>
    </row>
    <row r="25">
      <c r="B25" s="6" t="inlineStr">
        <is>
          <t>・200%定率法（耐用4年）50%/25%/12.5%/12.5% … 償却率0.500・保証率0.12499で再計算して一致</t>
        </is>
      </c>
    </row>
    <row r="26">
      <c r="B26" s="6" t="inlineStr">
        <is>
          <t>・中古資産の簡便法 (4年−2年)+2年×20%＝2.4年→2年（切捨） … 一致</t>
        </is>
      </c>
    </row>
    <row r="27">
      <c r="B27" s="6" t="inlineStr">
        <is>
          <t>・造船TK譲渡益 4億−2億＝2億円／年会費比率 150万÷1,000万＝15%、100万÷2,000万＝5%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2026-08-24T15:07:41Z</dcterms:created>
  <dcterms:modified xsi:type="dcterms:W3CDTF">2026-08-24T15:16:30Z</dcterms:modified>
</cp:coreProperties>
</file>